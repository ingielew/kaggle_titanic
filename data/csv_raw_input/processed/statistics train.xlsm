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12.xml" ContentType="application/vnd.openxmlformats-officedocument.spreadsheetml.pivotTable+xml"/>
  <Override PartName="/xl/drawings/drawing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5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jke\PycharmProjects\kaggle\Titanic\data\csv_raw_input\"/>
    </mc:Choice>
  </mc:AlternateContent>
  <xr:revisionPtr revIDLastSave="0" documentId="13_ncr:40009_{988520AE-153D-4DBF-81CA-54FE1204E9BB}" xr6:coauthVersionLast="46" xr6:coauthVersionMax="46" xr10:uidLastSave="{00000000-0000-0000-0000-000000000000}"/>
  <bookViews>
    <workbookView xWindow="28680" yWindow="-120" windowWidth="29040" windowHeight="15840"/>
  </bookViews>
  <sheets>
    <sheet name="train (version 1).xlsb" sheetId="1" r:id="rId1"/>
    <sheet name="Sheet2" sheetId="3" r:id="rId2"/>
    <sheet name="Sheet1" sheetId="2" r:id="rId3"/>
  </sheets>
  <definedNames>
    <definedName name="_xlnm._FilterDatabase" localSheetId="0" hidden="1">'train (version 1).xlsb'!$A$1:$Q$892</definedName>
  </definedNames>
  <calcPr calcId="0"/>
  <pivotCaches>
    <pivotCache cacheId="118" r:id="rId4"/>
    <pivotCache cacheId="117" r:id="rId5"/>
  </pivotCaches>
</workbook>
</file>

<file path=xl/calcChain.xml><?xml version="1.0" encoding="utf-8"?>
<calcChain xmlns="http://schemas.openxmlformats.org/spreadsheetml/2006/main">
  <c r="AA152" i="1" l="1"/>
  <c r="AA6" i="1"/>
  <c r="AA7" i="1"/>
  <c r="AA8" i="1"/>
  <c r="AA14" i="1"/>
  <c r="AA15" i="1"/>
  <c r="AA16" i="1"/>
  <c r="AA17" i="1"/>
  <c r="AA18" i="1"/>
  <c r="AA19" i="1"/>
  <c r="AA20" i="1"/>
  <c r="AA27" i="1"/>
  <c r="AA28" i="1"/>
  <c r="AA29" i="1"/>
  <c r="AA36" i="1"/>
  <c r="AA37" i="1"/>
  <c r="AA38" i="1"/>
  <c r="AA39" i="1"/>
  <c r="AA40" i="1"/>
  <c r="AA41" i="1"/>
  <c r="AA42" i="1"/>
  <c r="AA50" i="1"/>
  <c r="AA51" i="1"/>
  <c r="AA52" i="1"/>
  <c r="AA53" i="1"/>
  <c r="AA54" i="1"/>
  <c r="AA55" i="1"/>
  <c r="AA56" i="1"/>
  <c r="AA64" i="1"/>
  <c r="AA65" i="1"/>
  <c r="AA66" i="1"/>
  <c r="AA67" i="1"/>
  <c r="AA105" i="1"/>
  <c r="AA106" i="1"/>
  <c r="AA107" i="1"/>
  <c r="AA108" i="1"/>
  <c r="AA109" i="1"/>
  <c r="AA110" i="1"/>
  <c r="AA111" i="1"/>
  <c r="AA112" i="1"/>
  <c r="AA121" i="1"/>
  <c r="AA122" i="1"/>
  <c r="AA123" i="1"/>
  <c r="AA124" i="1"/>
  <c r="AA131" i="1"/>
  <c r="AA132" i="1"/>
  <c r="AA133" i="1"/>
  <c r="AA134" i="1"/>
  <c r="AA135" i="1"/>
  <c r="AA136" i="1"/>
  <c r="AA137" i="1"/>
  <c r="AA138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5" i="1"/>
  <c r="N5" i="3"/>
  <c r="N6" i="3"/>
  <c r="O6" i="3"/>
  <c r="N7" i="3"/>
  <c r="O7" i="3"/>
  <c r="N8" i="3"/>
  <c r="O8" i="3"/>
  <c r="N9" i="3"/>
  <c r="O9" i="3"/>
  <c r="N10" i="3"/>
  <c r="O10" i="3"/>
  <c r="N11" i="3"/>
  <c r="O11" i="3"/>
  <c r="N12" i="3"/>
  <c r="O12" i="3"/>
  <c r="N13" i="3"/>
  <c r="O13" i="3"/>
  <c r="N14" i="3"/>
  <c r="O14" i="3"/>
  <c r="N15" i="3"/>
  <c r="O15" i="3"/>
  <c r="N16" i="3"/>
  <c r="O16" i="3"/>
  <c r="N17" i="3"/>
  <c r="O17" i="3"/>
  <c r="N18" i="3"/>
  <c r="O18" i="3"/>
  <c r="N19" i="3"/>
  <c r="O19" i="3"/>
  <c r="N20" i="3"/>
  <c r="O20" i="3"/>
  <c r="N21" i="3"/>
  <c r="O21" i="3"/>
  <c r="N22" i="3"/>
  <c r="O22" i="3"/>
  <c r="N23" i="3"/>
  <c r="O23" i="3"/>
  <c r="N24" i="3"/>
  <c r="O24" i="3"/>
  <c r="N25" i="3"/>
  <c r="O25" i="3"/>
  <c r="N26" i="3"/>
  <c r="O26" i="3"/>
  <c r="N27" i="3"/>
  <c r="O27" i="3"/>
  <c r="N28" i="3"/>
  <c r="O28" i="3"/>
  <c r="N29" i="3"/>
  <c r="O29" i="3"/>
  <c r="N30" i="3"/>
  <c r="O30" i="3"/>
  <c r="N31" i="3"/>
  <c r="O31" i="3"/>
  <c r="N32" i="3"/>
  <c r="O32" i="3"/>
  <c r="N33" i="3"/>
  <c r="O33" i="3"/>
  <c r="N34" i="3"/>
  <c r="O34" i="3"/>
  <c r="N35" i="3"/>
  <c r="O35" i="3"/>
  <c r="N36" i="3"/>
  <c r="O36" i="3"/>
  <c r="N37" i="3"/>
  <c r="O37" i="3"/>
  <c r="N38" i="3"/>
  <c r="O38" i="3"/>
  <c r="N39" i="3"/>
  <c r="O39" i="3"/>
  <c r="N40" i="3"/>
  <c r="O40" i="3"/>
  <c r="N41" i="3"/>
  <c r="O41" i="3"/>
  <c r="N42" i="3"/>
  <c r="O42" i="3"/>
  <c r="N43" i="3"/>
  <c r="O43" i="3"/>
  <c r="N44" i="3"/>
  <c r="O44" i="3"/>
  <c r="N45" i="3"/>
  <c r="O45" i="3"/>
  <c r="N46" i="3"/>
  <c r="O46" i="3"/>
  <c r="N47" i="3"/>
  <c r="O47" i="3"/>
  <c r="N48" i="3"/>
  <c r="O48" i="3"/>
  <c r="N49" i="3"/>
  <c r="O49" i="3"/>
  <c r="N50" i="3"/>
  <c r="O50" i="3"/>
  <c r="N51" i="3"/>
  <c r="O51" i="3"/>
  <c r="N52" i="3"/>
  <c r="O52" i="3"/>
  <c r="N53" i="3"/>
  <c r="O53" i="3"/>
  <c r="N54" i="3"/>
  <c r="O54" i="3"/>
  <c r="N55" i="3"/>
  <c r="O55" i="3"/>
  <c r="N56" i="3"/>
  <c r="O56" i="3"/>
  <c r="N57" i="3"/>
  <c r="O57" i="3"/>
  <c r="N58" i="3"/>
  <c r="O58" i="3"/>
  <c r="N59" i="3"/>
  <c r="O59" i="3"/>
  <c r="N60" i="3"/>
  <c r="O60" i="3"/>
  <c r="N61" i="3"/>
  <c r="O61" i="3"/>
  <c r="N62" i="3"/>
  <c r="O62" i="3"/>
  <c r="N63" i="3"/>
  <c r="O63" i="3"/>
  <c r="N64" i="3"/>
  <c r="O64" i="3"/>
  <c r="N65" i="3"/>
  <c r="O65" i="3"/>
  <c r="N66" i="3"/>
  <c r="O66" i="3"/>
  <c r="N67" i="3"/>
  <c r="O67" i="3"/>
  <c r="N68" i="3"/>
  <c r="O68" i="3"/>
  <c r="N69" i="3"/>
  <c r="O69" i="3"/>
  <c r="N70" i="3"/>
  <c r="O70" i="3"/>
  <c r="N71" i="3"/>
  <c r="O71" i="3"/>
  <c r="N72" i="3"/>
  <c r="O72" i="3"/>
  <c r="N73" i="3"/>
  <c r="O73" i="3"/>
  <c r="N74" i="3"/>
  <c r="O74" i="3"/>
  <c r="N75" i="3"/>
  <c r="O75" i="3"/>
  <c r="N76" i="3"/>
  <c r="O76" i="3"/>
  <c r="N77" i="3"/>
  <c r="O77" i="3"/>
  <c r="N78" i="3"/>
  <c r="O78" i="3"/>
  <c r="N79" i="3"/>
  <c r="O79" i="3"/>
  <c r="N80" i="3"/>
  <c r="O80" i="3"/>
  <c r="N81" i="3"/>
  <c r="O81" i="3"/>
  <c r="N82" i="3"/>
  <c r="O82" i="3"/>
  <c r="N83" i="3"/>
  <c r="O83" i="3"/>
  <c r="N84" i="3"/>
  <c r="O84" i="3"/>
  <c r="N85" i="3"/>
  <c r="O85" i="3"/>
  <c r="N86" i="3"/>
  <c r="O86" i="3"/>
  <c r="N87" i="3"/>
  <c r="O87" i="3"/>
  <c r="N88" i="3"/>
  <c r="O88" i="3"/>
  <c r="O5" i="3"/>
  <c r="M3" i="1"/>
  <c r="N3" i="1" s="1"/>
  <c r="M4" i="1"/>
  <c r="N4" i="1" s="1"/>
  <c r="M5" i="1"/>
  <c r="N5" i="1" s="1"/>
  <c r="M6" i="1"/>
  <c r="N6" i="1" s="1"/>
  <c r="M7" i="1"/>
  <c r="N7" i="1" s="1"/>
  <c r="M8" i="1"/>
  <c r="N8" i="1" s="1"/>
  <c r="M9" i="1"/>
  <c r="N9" i="1" s="1"/>
  <c r="M10" i="1"/>
  <c r="N10" i="1" s="1"/>
  <c r="M11" i="1"/>
  <c r="N11" i="1" s="1"/>
  <c r="M12" i="1"/>
  <c r="N12" i="1" s="1"/>
  <c r="M13" i="1"/>
  <c r="N13" i="1" s="1"/>
  <c r="M14" i="1"/>
  <c r="N14" i="1" s="1"/>
  <c r="M15" i="1"/>
  <c r="N15" i="1" s="1"/>
  <c r="M16" i="1"/>
  <c r="N16" i="1" s="1"/>
  <c r="M17" i="1"/>
  <c r="N17" i="1" s="1"/>
  <c r="M18" i="1"/>
  <c r="N18" i="1" s="1"/>
  <c r="M19" i="1"/>
  <c r="N19" i="1" s="1"/>
  <c r="M20" i="1"/>
  <c r="N20" i="1" s="1"/>
  <c r="M21" i="1"/>
  <c r="N21" i="1" s="1"/>
  <c r="M22" i="1"/>
  <c r="N22" i="1" s="1"/>
  <c r="M23" i="1"/>
  <c r="N23" i="1" s="1"/>
  <c r="M24" i="1"/>
  <c r="N24" i="1" s="1"/>
  <c r="M25" i="1"/>
  <c r="N25" i="1" s="1"/>
  <c r="M26" i="1"/>
  <c r="N26" i="1" s="1"/>
  <c r="M27" i="1"/>
  <c r="N27" i="1" s="1"/>
  <c r="M28" i="1"/>
  <c r="N28" i="1" s="1"/>
  <c r="M29" i="1"/>
  <c r="N29" i="1" s="1"/>
  <c r="M30" i="1"/>
  <c r="N30" i="1" s="1"/>
  <c r="M31" i="1"/>
  <c r="N31" i="1" s="1"/>
  <c r="M32" i="1"/>
  <c r="N32" i="1" s="1"/>
  <c r="M33" i="1"/>
  <c r="N33" i="1" s="1"/>
  <c r="M34" i="1"/>
  <c r="N34" i="1" s="1"/>
  <c r="M35" i="1"/>
  <c r="N35" i="1" s="1"/>
  <c r="M36" i="1"/>
  <c r="N36" i="1" s="1"/>
  <c r="M37" i="1"/>
  <c r="N37" i="1" s="1"/>
  <c r="M38" i="1"/>
  <c r="N38" i="1" s="1"/>
  <c r="M39" i="1"/>
  <c r="N39" i="1" s="1"/>
  <c r="M40" i="1"/>
  <c r="N40" i="1" s="1"/>
  <c r="M41" i="1"/>
  <c r="N41" i="1" s="1"/>
  <c r="M42" i="1"/>
  <c r="N42" i="1" s="1"/>
  <c r="M43" i="1"/>
  <c r="N43" i="1" s="1"/>
  <c r="M44" i="1"/>
  <c r="N44" i="1" s="1"/>
  <c r="M45" i="1"/>
  <c r="N45" i="1" s="1"/>
  <c r="M46" i="1"/>
  <c r="N46" i="1" s="1"/>
  <c r="M47" i="1"/>
  <c r="N47" i="1" s="1"/>
  <c r="M48" i="1"/>
  <c r="N48" i="1" s="1"/>
  <c r="M49" i="1"/>
  <c r="N49" i="1" s="1"/>
  <c r="M50" i="1"/>
  <c r="N50" i="1" s="1"/>
  <c r="M51" i="1"/>
  <c r="N51" i="1" s="1"/>
  <c r="M52" i="1"/>
  <c r="N52" i="1" s="1"/>
  <c r="M53" i="1"/>
  <c r="N53" i="1" s="1"/>
  <c r="M54" i="1"/>
  <c r="N54" i="1" s="1"/>
  <c r="M55" i="1"/>
  <c r="N55" i="1" s="1"/>
  <c r="M56" i="1"/>
  <c r="N56" i="1" s="1"/>
  <c r="M57" i="1"/>
  <c r="N57" i="1" s="1"/>
  <c r="M58" i="1"/>
  <c r="N58" i="1" s="1"/>
  <c r="M59" i="1"/>
  <c r="N59" i="1" s="1"/>
  <c r="M60" i="1"/>
  <c r="N60" i="1" s="1"/>
  <c r="M61" i="1"/>
  <c r="N61" i="1" s="1"/>
  <c r="M62" i="1"/>
  <c r="N62" i="1" s="1"/>
  <c r="M63" i="1"/>
  <c r="N63" i="1" s="1"/>
  <c r="M64" i="1"/>
  <c r="N64" i="1" s="1"/>
  <c r="M65" i="1"/>
  <c r="N65" i="1" s="1"/>
  <c r="M66" i="1"/>
  <c r="N66" i="1" s="1"/>
  <c r="M67" i="1"/>
  <c r="N67" i="1" s="1"/>
  <c r="M68" i="1"/>
  <c r="N68" i="1" s="1"/>
  <c r="M69" i="1"/>
  <c r="N69" i="1" s="1"/>
  <c r="M70" i="1"/>
  <c r="N70" i="1" s="1"/>
  <c r="M71" i="1"/>
  <c r="N71" i="1" s="1"/>
  <c r="M72" i="1"/>
  <c r="N72" i="1" s="1"/>
  <c r="M73" i="1"/>
  <c r="N73" i="1" s="1"/>
  <c r="M74" i="1"/>
  <c r="N74" i="1" s="1"/>
  <c r="M75" i="1"/>
  <c r="N75" i="1" s="1"/>
  <c r="M76" i="1"/>
  <c r="N76" i="1" s="1"/>
  <c r="M77" i="1"/>
  <c r="N77" i="1" s="1"/>
  <c r="M78" i="1"/>
  <c r="N78" i="1" s="1"/>
  <c r="M79" i="1"/>
  <c r="N79" i="1" s="1"/>
  <c r="M80" i="1"/>
  <c r="N80" i="1" s="1"/>
  <c r="M81" i="1"/>
  <c r="N81" i="1" s="1"/>
  <c r="M82" i="1"/>
  <c r="N82" i="1" s="1"/>
  <c r="M83" i="1"/>
  <c r="N83" i="1" s="1"/>
  <c r="M84" i="1"/>
  <c r="N84" i="1" s="1"/>
  <c r="M85" i="1"/>
  <c r="N85" i="1" s="1"/>
  <c r="M86" i="1"/>
  <c r="N86" i="1" s="1"/>
  <c r="M87" i="1"/>
  <c r="N87" i="1" s="1"/>
  <c r="M88" i="1"/>
  <c r="N88" i="1" s="1"/>
  <c r="M89" i="1"/>
  <c r="N89" i="1" s="1"/>
  <c r="M90" i="1"/>
  <c r="N90" i="1" s="1"/>
  <c r="M91" i="1"/>
  <c r="N91" i="1" s="1"/>
  <c r="M92" i="1"/>
  <c r="N92" i="1" s="1"/>
  <c r="M93" i="1"/>
  <c r="N93" i="1" s="1"/>
  <c r="M94" i="1"/>
  <c r="N94" i="1" s="1"/>
  <c r="M95" i="1"/>
  <c r="N95" i="1" s="1"/>
  <c r="M96" i="1"/>
  <c r="N96" i="1" s="1"/>
  <c r="M97" i="1"/>
  <c r="N97" i="1" s="1"/>
  <c r="M98" i="1"/>
  <c r="N98" i="1" s="1"/>
  <c r="M99" i="1"/>
  <c r="N99" i="1" s="1"/>
  <c r="M100" i="1"/>
  <c r="N100" i="1" s="1"/>
  <c r="M101" i="1"/>
  <c r="N101" i="1" s="1"/>
  <c r="M102" i="1"/>
  <c r="N102" i="1" s="1"/>
  <c r="M103" i="1"/>
  <c r="N103" i="1" s="1"/>
  <c r="M104" i="1"/>
  <c r="N104" i="1" s="1"/>
  <c r="M105" i="1"/>
  <c r="N105" i="1" s="1"/>
  <c r="M106" i="1"/>
  <c r="N106" i="1" s="1"/>
  <c r="M107" i="1"/>
  <c r="N107" i="1" s="1"/>
  <c r="M108" i="1"/>
  <c r="N108" i="1" s="1"/>
  <c r="M109" i="1"/>
  <c r="N109" i="1" s="1"/>
  <c r="M110" i="1"/>
  <c r="N110" i="1" s="1"/>
  <c r="M111" i="1"/>
  <c r="N111" i="1" s="1"/>
  <c r="M112" i="1"/>
  <c r="N112" i="1" s="1"/>
  <c r="M113" i="1"/>
  <c r="N113" i="1" s="1"/>
  <c r="M114" i="1"/>
  <c r="N114" i="1" s="1"/>
  <c r="M115" i="1"/>
  <c r="N115" i="1" s="1"/>
  <c r="M116" i="1"/>
  <c r="N116" i="1" s="1"/>
  <c r="M117" i="1"/>
  <c r="N117" i="1" s="1"/>
  <c r="M118" i="1"/>
  <c r="N118" i="1" s="1"/>
  <c r="M119" i="1"/>
  <c r="N119" i="1" s="1"/>
  <c r="M120" i="1"/>
  <c r="N120" i="1" s="1"/>
  <c r="M121" i="1"/>
  <c r="N121" i="1" s="1"/>
  <c r="M122" i="1"/>
  <c r="N122" i="1" s="1"/>
  <c r="M123" i="1"/>
  <c r="N123" i="1" s="1"/>
  <c r="M124" i="1"/>
  <c r="N124" i="1" s="1"/>
  <c r="M125" i="1"/>
  <c r="N125" i="1" s="1"/>
  <c r="M126" i="1"/>
  <c r="N126" i="1" s="1"/>
  <c r="M127" i="1"/>
  <c r="N127" i="1" s="1"/>
  <c r="M128" i="1"/>
  <c r="N128" i="1" s="1"/>
  <c r="M129" i="1"/>
  <c r="N129" i="1" s="1"/>
  <c r="M130" i="1"/>
  <c r="N130" i="1" s="1"/>
  <c r="M131" i="1"/>
  <c r="N131" i="1" s="1"/>
  <c r="M132" i="1"/>
  <c r="N132" i="1" s="1"/>
  <c r="M133" i="1"/>
  <c r="N133" i="1" s="1"/>
  <c r="M134" i="1"/>
  <c r="N134" i="1" s="1"/>
  <c r="M135" i="1"/>
  <c r="N135" i="1" s="1"/>
  <c r="M136" i="1"/>
  <c r="N136" i="1" s="1"/>
  <c r="M137" i="1"/>
  <c r="N137" i="1" s="1"/>
  <c r="M138" i="1"/>
  <c r="N138" i="1" s="1"/>
  <c r="M139" i="1"/>
  <c r="N139" i="1" s="1"/>
  <c r="M140" i="1"/>
  <c r="N140" i="1" s="1"/>
  <c r="M141" i="1"/>
  <c r="N141" i="1" s="1"/>
  <c r="M142" i="1"/>
  <c r="N142" i="1" s="1"/>
  <c r="M143" i="1"/>
  <c r="N143" i="1" s="1"/>
  <c r="M144" i="1"/>
  <c r="N144" i="1" s="1"/>
  <c r="M145" i="1"/>
  <c r="N145" i="1" s="1"/>
  <c r="M146" i="1"/>
  <c r="N146" i="1" s="1"/>
  <c r="M147" i="1"/>
  <c r="N147" i="1" s="1"/>
  <c r="M148" i="1"/>
  <c r="N148" i="1" s="1"/>
  <c r="M149" i="1"/>
  <c r="N149" i="1" s="1"/>
  <c r="M150" i="1"/>
  <c r="N150" i="1" s="1"/>
  <c r="M151" i="1"/>
  <c r="N151" i="1" s="1"/>
  <c r="M152" i="1"/>
  <c r="N152" i="1" s="1"/>
  <c r="M153" i="1"/>
  <c r="N153" i="1" s="1"/>
  <c r="M154" i="1"/>
  <c r="N154" i="1" s="1"/>
  <c r="M155" i="1"/>
  <c r="N155" i="1" s="1"/>
  <c r="M156" i="1"/>
  <c r="N156" i="1" s="1"/>
  <c r="M157" i="1"/>
  <c r="N157" i="1" s="1"/>
  <c r="M158" i="1"/>
  <c r="N158" i="1" s="1"/>
  <c r="M159" i="1"/>
  <c r="N159" i="1" s="1"/>
  <c r="M160" i="1"/>
  <c r="N160" i="1" s="1"/>
  <c r="M161" i="1"/>
  <c r="N161" i="1" s="1"/>
  <c r="M162" i="1"/>
  <c r="N162" i="1" s="1"/>
  <c r="M163" i="1"/>
  <c r="N163" i="1" s="1"/>
  <c r="M164" i="1"/>
  <c r="N164" i="1" s="1"/>
  <c r="M165" i="1"/>
  <c r="N165" i="1" s="1"/>
  <c r="M166" i="1"/>
  <c r="N166" i="1" s="1"/>
  <c r="M167" i="1"/>
  <c r="N167" i="1" s="1"/>
  <c r="M168" i="1"/>
  <c r="N168" i="1" s="1"/>
  <c r="M169" i="1"/>
  <c r="N169" i="1" s="1"/>
  <c r="M170" i="1"/>
  <c r="N170" i="1" s="1"/>
  <c r="M171" i="1"/>
  <c r="N171" i="1" s="1"/>
  <c r="M172" i="1"/>
  <c r="N172" i="1" s="1"/>
  <c r="M173" i="1"/>
  <c r="N173" i="1" s="1"/>
  <c r="M174" i="1"/>
  <c r="N174" i="1" s="1"/>
  <c r="M175" i="1"/>
  <c r="N175" i="1" s="1"/>
  <c r="M176" i="1"/>
  <c r="N176" i="1" s="1"/>
  <c r="M177" i="1"/>
  <c r="N177" i="1" s="1"/>
  <c r="M178" i="1"/>
  <c r="N178" i="1" s="1"/>
  <c r="M179" i="1"/>
  <c r="N179" i="1" s="1"/>
  <c r="M180" i="1"/>
  <c r="N180" i="1" s="1"/>
  <c r="M181" i="1"/>
  <c r="N181" i="1" s="1"/>
  <c r="M182" i="1"/>
  <c r="N182" i="1" s="1"/>
  <c r="M183" i="1"/>
  <c r="N183" i="1" s="1"/>
  <c r="M184" i="1"/>
  <c r="N184" i="1" s="1"/>
  <c r="M185" i="1"/>
  <c r="N185" i="1" s="1"/>
  <c r="M186" i="1"/>
  <c r="N186" i="1" s="1"/>
  <c r="M187" i="1"/>
  <c r="N187" i="1" s="1"/>
  <c r="M188" i="1"/>
  <c r="N188" i="1" s="1"/>
  <c r="M189" i="1"/>
  <c r="N189" i="1" s="1"/>
  <c r="M190" i="1"/>
  <c r="N190" i="1" s="1"/>
  <c r="M191" i="1"/>
  <c r="N191" i="1" s="1"/>
  <c r="M192" i="1"/>
  <c r="N192" i="1" s="1"/>
  <c r="M193" i="1"/>
  <c r="N193" i="1" s="1"/>
  <c r="M194" i="1"/>
  <c r="N194" i="1" s="1"/>
  <c r="M195" i="1"/>
  <c r="N195" i="1" s="1"/>
  <c r="M196" i="1"/>
  <c r="N196" i="1" s="1"/>
  <c r="M197" i="1"/>
  <c r="N197" i="1" s="1"/>
  <c r="M198" i="1"/>
  <c r="N198" i="1" s="1"/>
  <c r="M199" i="1"/>
  <c r="N199" i="1" s="1"/>
  <c r="M200" i="1"/>
  <c r="N200" i="1" s="1"/>
  <c r="M201" i="1"/>
  <c r="N201" i="1" s="1"/>
  <c r="M202" i="1"/>
  <c r="N202" i="1" s="1"/>
  <c r="M203" i="1"/>
  <c r="N203" i="1" s="1"/>
  <c r="M204" i="1"/>
  <c r="N204" i="1" s="1"/>
  <c r="M205" i="1"/>
  <c r="N205" i="1" s="1"/>
  <c r="M206" i="1"/>
  <c r="N206" i="1" s="1"/>
  <c r="M207" i="1"/>
  <c r="N207" i="1" s="1"/>
  <c r="M208" i="1"/>
  <c r="N208" i="1" s="1"/>
  <c r="M209" i="1"/>
  <c r="N209" i="1" s="1"/>
  <c r="M210" i="1"/>
  <c r="N210" i="1" s="1"/>
  <c r="M211" i="1"/>
  <c r="N211" i="1" s="1"/>
  <c r="M212" i="1"/>
  <c r="N212" i="1" s="1"/>
  <c r="M213" i="1"/>
  <c r="N213" i="1" s="1"/>
  <c r="M214" i="1"/>
  <c r="N214" i="1" s="1"/>
  <c r="M215" i="1"/>
  <c r="N215" i="1" s="1"/>
  <c r="M216" i="1"/>
  <c r="N216" i="1" s="1"/>
  <c r="M217" i="1"/>
  <c r="N217" i="1" s="1"/>
  <c r="M218" i="1"/>
  <c r="N218" i="1" s="1"/>
  <c r="M219" i="1"/>
  <c r="N219" i="1" s="1"/>
  <c r="M220" i="1"/>
  <c r="N220" i="1" s="1"/>
  <c r="M221" i="1"/>
  <c r="N221" i="1" s="1"/>
  <c r="M222" i="1"/>
  <c r="N222" i="1" s="1"/>
  <c r="M223" i="1"/>
  <c r="N223" i="1" s="1"/>
  <c r="M224" i="1"/>
  <c r="N224" i="1" s="1"/>
  <c r="M225" i="1"/>
  <c r="N225" i="1" s="1"/>
  <c r="M226" i="1"/>
  <c r="N226" i="1" s="1"/>
  <c r="M227" i="1"/>
  <c r="N227" i="1" s="1"/>
  <c r="M228" i="1"/>
  <c r="N228" i="1" s="1"/>
  <c r="M229" i="1"/>
  <c r="N229" i="1" s="1"/>
  <c r="M230" i="1"/>
  <c r="N230" i="1" s="1"/>
  <c r="M231" i="1"/>
  <c r="N231" i="1" s="1"/>
  <c r="M232" i="1"/>
  <c r="N232" i="1" s="1"/>
  <c r="M233" i="1"/>
  <c r="N233" i="1" s="1"/>
  <c r="M234" i="1"/>
  <c r="N234" i="1" s="1"/>
  <c r="M235" i="1"/>
  <c r="N235" i="1" s="1"/>
  <c r="M236" i="1"/>
  <c r="N236" i="1" s="1"/>
  <c r="M237" i="1"/>
  <c r="N237" i="1" s="1"/>
  <c r="M238" i="1"/>
  <c r="N238" i="1" s="1"/>
  <c r="M239" i="1"/>
  <c r="N239" i="1" s="1"/>
  <c r="M240" i="1"/>
  <c r="N240" i="1" s="1"/>
  <c r="M241" i="1"/>
  <c r="N241" i="1" s="1"/>
  <c r="M242" i="1"/>
  <c r="N242" i="1" s="1"/>
  <c r="M243" i="1"/>
  <c r="N243" i="1" s="1"/>
  <c r="M244" i="1"/>
  <c r="N244" i="1" s="1"/>
  <c r="M245" i="1"/>
  <c r="N245" i="1" s="1"/>
  <c r="M246" i="1"/>
  <c r="N246" i="1" s="1"/>
  <c r="M247" i="1"/>
  <c r="N247" i="1" s="1"/>
  <c r="M248" i="1"/>
  <c r="N248" i="1" s="1"/>
  <c r="M249" i="1"/>
  <c r="N249" i="1" s="1"/>
  <c r="M250" i="1"/>
  <c r="N250" i="1" s="1"/>
  <c r="M251" i="1"/>
  <c r="N251" i="1" s="1"/>
  <c r="M252" i="1"/>
  <c r="N252" i="1" s="1"/>
  <c r="M253" i="1"/>
  <c r="N253" i="1" s="1"/>
  <c r="M254" i="1"/>
  <c r="N254" i="1" s="1"/>
  <c r="M255" i="1"/>
  <c r="N255" i="1" s="1"/>
  <c r="M256" i="1"/>
  <c r="N256" i="1" s="1"/>
  <c r="M257" i="1"/>
  <c r="N257" i="1" s="1"/>
  <c r="M258" i="1"/>
  <c r="N258" i="1" s="1"/>
  <c r="M259" i="1"/>
  <c r="N259" i="1" s="1"/>
  <c r="M260" i="1"/>
  <c r="N260" i="1" s="1"/>
  <c r="M261" i="1"/>
  <c r="N261" i="1" s="1"/>
  <c r="M262" i="1"/>
  <c r="N262" i="1" s="1"/>
  <c r="M263" i="1"/>
  <c r="N263" i="1" s="1"/>
  <c r="M264" i="1"/>
  <c r="N264" i="1" s="1"/>
  <c r="M265" i="1"/>
  <c r="N265" i="1" s="1"/>
  <c r="M266" i="1"/>
  <c r="N266" i="1" s="1"/>
  <c r="M267" i="1"/>
  <c r="N267" i="1" s="1"/>
  <c r="M268" i="1"/>
  <c r="N268" i="1" s="1"/>
  <c r="M269" i="1"/>
  <c r="N269" i="1" s="1"/>
  <c r="M270" i="1"/>
  <c r="N270" i="1" s="1"/>
  <c r="M271" i="1"/>
  <c r="N271" i="1" s="1"/>
  <c r="M272" i="1"/>
  <c r="N272" i="1" s="1"/>
  <c r="M273" i="1"/>
  <c r="N273" i="1" s="1"/>
  <c r="M274" i="1"/>
  <c r="N274" i="1" s="1"/>
  <c r="M275" i="1"/>
  <c r="N275" i="1" s="1"/>
  <c r="M276" i="1"/>
  <c r="N276" i="1" s="1"/>
  <c r="M277" i="1"/>
  <c r="N277" i="1" s="1"/>
  <c r="M278" i="1"/>
  <c r="N278" i="1" s="1"/>
  <c r="M279" i="1"/>
  <c r="N279" i="1" s="1"/>
  <c r="M280" i="1"/>
  <c r="N280" i="1" s="1"/>
  <c r="M281" i="1"/>
  <c r="N281" i="1" s="1"/>
  <c r="M282" i="1"/>
  <c r="N282" i="1" s="1"/>
  <c r="M283" i="1"/>
  <c r="N283" i="1" s="1"/>
  <c r="M284" i="1"/>
  <c r="N284" i="1" s="1"/>
  <c r="M285" i="1"/>
  <c r="N285" i="1" s="1"/>
  <c r="M286" i="1"/>
  <c r="N286" i="1" s="1"/>
  <c r="M287" i="1"/>
  <c r="N287" i="1" s="1"/>
  <c r="M288" i="1"/>
  <c r="N288" i="1" s="1"/>
  <c r="M289" i="1"/>
  <c r="N289" i="1" s="1"/>
  <c r="M290" i="1"/>
  <c r="N290" i="1" s="1"/>
  <c r="M291" i="1"/>
  <c r="N291" i="1" s="1"/>
  <c r="M292" i="1"/>
  <c r="N292" i="1" s="1"/>
  <c r="M293" i="1"/>
  <c r="N293" i="1" s="1"/>
  <c r="M294" i="1"/>
  <c r="N294" i="1" s="1"/>
  <c r="M295" i="1"/>
  <c r="N295" i="1" s="1"/>
  <c r="M296" i="1"/>
  <c r="N296" i="1" s="1"/>
  <c r="M297" i="1"/>
  <c r="N297" i="1" s="1"/>
  <c r="M298" i="1"/>
  <c r="N298" i="1" s="1"/>
  <c r="M299" i="1"/>
  <c r="N299" i="1" s="1"/>
  <c r="M300" i="1"/>
  <c r="N300" i="1" s="1"/>
  <c r="M301" i="1"/>
  <c r="N301" i="1" s="1"/>
  <c r="M302" i="1"/>
  <c r="N302" i="1" s="1"/>
  <c r="M303" i="1"/>
  <c r="N303" i="1" s="1"/>
  <c r="M304" i="1"/>
  <c r="N304" i="1" s="1"/>
  <c r="M305" i="1"/>
  <c r="N305" i="1" s="1"/>
  <c r="M306" i="1"/>
  <c r="N306" i="1" s="1"/>
  <c r="M307" i="1"/>
  <c r="N307" i="1" s="1"/>
  <c r="M308" i="1"/>
  <c r="N308" i="1" s="1"/>
  <c r="M309" i="1"/>
  <c r="N309" i="1" s="1"/>
  <c r="M310" i="1"/>
  <c r="N310" i="1" s="1"/>
  <c r="M311" i="1"/>
  <c r="N311" i="1" s="1"/>
  <c r="M312" i="1"/>
  <c r="N312" i="1" s="1"/>
  <c r="M313" i="1"/>
  <c r="N313" i="1" s="1"/>
  <c r="M314" i="1"/>
  <c r="N314" i="1" s="1"/>
  <c r="M315" i="1"/>
  <c r="N315" i="1" s="1"/>
  <c r="M316" i="1"/>
  <c r="N316" i="1" s="1"/>
  <c r="M317" i="1"/>
  <c r="N317" i="1" s="1"/>
  <c r="M318" i="1"/>
  <c r="N318" i="1" s="1"/>
  <c r="M319" i="1"/>
  <c r="N319" i="1" s="1"/>
  <c r="M320" i="1"/>
  <c r="N320" i="1" s="1"/>
  <c r="M321" i="1"/>
  <c r="N321" i="1" s="1"/>
  <c r="M322" i="1"/>
  <c r="N322" i="1" s="1"/>
  <c r="M323" i="1"/>
  <c r="N323" i="1" s="1"/>
  <c r="M324" i="1"/>
  <c r="N324" i="1" s="1"/>
  <c r="M325" i="1"/>
  <c r="N325" i="1" s="1"/>
  <c r="M326" i="1"/>
  <c r="N326" i="1" s="1"/>
  <c r="M327" i="1"/>
  <c r="N327" i="1" s="1"/>
  <c r="M328" i="1"/>
  <c r="N328" i="1" s="1"/>
  <c r="M329" i="1"/>
  <c r="N329" i="1" s="1"/>
  <c r="M330" i="1"/>
  <c r="N330" i="1" s="1"/>
  <c r="M331" i="1"/>
  <c r="N331" i="1" s="1"/>
  <c r="M332" i="1"/>
  <c r="N332" i="1" s="1"/>
  <c r="M333" i="1"/>
  <c r="N333" i="1" s="1"/>
  <c r="M334" i="1"/>
  <c r="N334" i="1" s="1"/>
  <c r="M335" i="1"/>
  <c r="N335" i="1" s="1"/>
  <c r="M336" i="1"/>
  <c r="N336" i="1" s="1"/>
  <c r="M337" i="1"/>
  <c r="N337" i="1" s="1"/>
  <c r="M338" i="1"/>
  <c r="N338" i="1" s="1"/>
  <c r="M339" i="1"/>
  <c r="N339" i="1" s="1"/>
  <c r="M340" i="1"/>
  <c r="N340" i="1" s="1"/>
  <c r="M341" i="1"/>
  <c r="N341" i="1" s="1"/>
  <c r="M342" i="1"/>
  <c r="N342" i="1" s="1"/>
  <c r="M343" i="1"/>
  <c r="N343" i="1" s="1"/>
  <c r="M344" i="1"/>
  <c r="N344" i="1" s="1"/>
  <c r="M345" i="1"/>
  <c r="N345" i="1" s="1"/>
  <c r="M346" i="1"/>
  <c r="N346" i="1" s="1"/>
  <c r="M347" i="1"/>
  <c r="N347" i="1" s="1"/>
  <c r="M348" i="1"/>
  <c r="N348" i="1" s="1"/>
  <c r="M349" i="1"/>
  <c r="N349" i="1" s="1"/>
  <c r="M350" i="1"/>
  <c r="N350" i="1" s="1"/>
  <c r="M351" i="1"/>
  <c r="N351" i="1" s="1"/>
  <c r="M352" i="1"/>
  <c r="N352" i="1" s="1"/>
  <c r="M353" i="1"/>
  <c r="N353" i="1" s="1"/>
  <c r="M354" i="1"/>
  <c r="N354" i="1" s="1"/>
  <c r="M355" i="1"/>
  <c r="N355" i="1" s="1"/>
  <c r="M356" i="1"/>
  <c r="N356" i="1" s="1"/>
  <c r="M357" i="1"/>
  <c r="N357" i="1" s="1"/>
  <c r="M358" i="1"/>
  <c r="N358" i="1" s="1"/>
  <c r="M359" i="1"/>
  <c r="N359" i="1" s="1"/>
  <c r="M360" i="1"/>
  <c r="N360" i="1" s="1"/>
  <c r="M361" i="1"/>
  <c r="N361" i="1" s="1"/>
  <c r="M362" i="1"/>
  <c r="N362" i="1" s="1"/>
  <c r="M363" i="1"/>
  <c r="N363" i="1" s="1"/>
  <c r="M364" i="1"/>
  <c r="N364" i="1" s="1"/>
  <c r="M365" i="1"/>
  <c r="N365" i="1" s="1"/>
  <c r="M366" i="1"/>
  <c r="N366" i="1" s="1"/>
  <c r="M367" i="1"/>
  <c r="N367" i="1" s="1"/>
  <c r="M368" i="1"/>
  <c r="N368" i="1" s="1"/>
  <c r="M369" i="1"/>
  <c r="N369" i="1" s="1"/>
  <c r="M370" i="1"/>
  <c r="N370" i="1" s="1"/>
  <c r="M371" i="1"/>
  <c r="N371" i="1" s="1"/>
  <c r="M372" i="1"/>
  <c r="N372" i="1" s="1"/>
  <c r="M373" i="1"/>
  <c r="N373" i="1" s="1"/>
  <c r="M374" i="1"/>
  <c r="N374" i="1" s="1"/>
  <c r="M375" i="1"/>
  <c r="N375" i="1" s="1"/>
  <c r="M376" i="1"/>
  <c r="N376" i="1" s="1"/>
  <c r="M377" i="1"/>
  <c r="N377" i="1" s="1"/>
  <c r="M378" i="1"/>
  <c r="N378" i="1" s="1"/>
  <c r="M379" i="1"/>
  <c r="N379" i="1" s="1"/>
  <c r="M380" i="1"/>
  <c r="N380" i="1" s="1"/>
  <c r="M381" i="1"/>
  <c r="N381" i="1" s="1"/>
  <c r="M382" i="1"/>
  <c r="N382" i="1" s="1"/>
  <c r="M383" i="1"/>
  <c r="N383" i="1" s="1"/>
  <c r="M384" i="1"/>
  <c r="N384" i="1" s="1"/>
  <c r="M385" i="1"/>
  <c r="N385" i="1" s="1"/>
  <c r="M386" i="1"/>
  <c r="N386" i="1" s="1"/>
  <c r="M387" i="1"/>
  <c r="N387" i="1" s="1"/>
  <c r="M388" i="1"/>
  <c r="N388" i="1" s="1"/>
  <c r="M389" i="1"/>
  <c r="N389" i="1" s="1"/>
  <c r="M390" i="1"/>
  <c r="N390" i="1" s="1"/>
  <c r="M391" i="1"/>
  <c r="N391" i="1" s="1"/>
  <c r="M392" i="1"/>
  <c r="N392" i="1" s="1"/>
  <c r="M393" i="1"/>
  <c r="N393" i="1" s="1"/>
  <c r="M394" i="1"/>
  <c r="N394" i="1" s="1"/>
  <c r="M395" i="1"/>
  <c r="N395" i="1" s="1"/>
  <c r="M396" i="1"/>
  <c r="N396" i="1" s="1"/>
  <c r="M397" i="1"/>
  <c r="N397" i="1" s="1"/>
  <c r="M398" i="1"/>
  <c r="N398" i="1" s="1"/>
  <c r="M399" i="1"/>
  <c r="N399" i="1" s="1"/>
  <c r="M400" i="1"/>
  <c r="N400" i="1" s="1"/>
  <c r="M401" i="1"/>
  <c r="N401" i="1" s="1"/>
  <c r="M402" i="1"/>
  <c r="N402" i="1" s="1"/>
  <c r="M403" i="1"/>
  <c r="N403" i="1" s="1"/>
  <c r="M404" i="1"/>
  <c r="N404" i="1" s="1"/>
  <c r="M405" i="1"/>
  <c r="N405" i="1" s="1"/>
  <c r="M406" i="1"/>
  <c r="N406" i="1" s="1"/>
  <c r="M407" i="1"/>
  <c r="N407" i="1" s="1"/>
  <c r="M408" i="1"/>
  <c r="N408" i="1" s="1"/>
  <c r="M409" i="1"/>
  <c r="N409" i="1" s="1"/>
  <c r="M410" i="1"/>
  <c r="N410" i="1" s="1"/>
  <c r="M411" i="1"/>
  <c r="N411" i="1" s="1"/>
  <c r="M412" i="1"/>
  <c r="N412" i="1" s="1"/>
  <c r="M413" i="1"/>
  <c r="N413" i="1" s="1"/>
  <c r="M414" i="1"/>
  <c r="N414" i="1" s="1"/>
  <c r="M415" i="1"/>
  <c r="N415" i="1" s="1"/>
  <c r="M416" i="1"/>
  <c r="N416" i="1" s="1"/>
  <c r="M417" i="1"/>
  <c r="N417" i="1" s="1"/>
  <c r="M418" i="1"/>
  <c r="N418" i="1" s="1"/>
  <c r="M419" i="1"/>
  <c r="N419" i="1" s="1"/>
  <c r="M420" i="1"/>
  <c r="N420" i="1" s="1"/>
  <c r="M421" i="1"/>
  <c r="N421" i="1" s="1"/>
  <c r="M422" i="1"/>
  <c r="N422" i="1" s="1"/>
  <c r="M423" i="1"/>
  <c r="N423" i="1" s="1"/>
  <c r="M424" i="1"/>
  <c r="N424" i="1" s="1"/>
  <c r="M425" i="1"/>
  <c r="N425" i="1" s="1"/>
  <c r="M426" i="1"/>
  <c r="N426" i="1" s="1"/>
  <c r="M427" i="1"/>
  <c r="N427" i="1" s="1"/>
  <c r="M428" i="1"/>
  <c r="N428" i="1" s="1"/>
  <c r="M429" i="1"/>
  <c r="N429" i="1" s="1"/>
  <c r="M430" i="1"/>
  <c r="N430" i="1" s="1"/>
  <c r="M431" i="1"/>
  <c r="N431" i="1" s="1"/>
  <c r="M432" i="1"/>
  <c r="N432" i="1" s="1"/>
  <c r="M433" i="1"/>
  <c r="N433" i="1" s="1"/>
  <c r="M434" i="1"/>
  <c r="N434" i="1" s="1"/>
  <c r="M435" i="1"/>
  <c r="N435" i="1" s="1"/>
  <c r="M436" i="1"/>
  <c r="N436" i="1" s="1"/>
  <c r="M437" i="1"/>
  <c r="N437" i="1" s="1"/>
  <c r="M438" i="1"/>
  <c r="N438" i="1" s="1"/>
  <c r="M439" i="1"/>
  <c r="N439" i="1" s="1"/>
  <c r="M440" i="1"/>
  <c r="N440" i="1" s="1"/>
  <c r="M441" i="1"/>
  <c r="N441" i="1" s="1"/>
  <c r="M442" i="1"/>
  <c r="N442" i="1" s="1"/>
  <c r="M443" i="1"/>
  <c r="N443" i="1" s="1"/>
  <c r="M444" i="1"/>
  <c r="N444" i="1" s="1"/>
  <c r="M445" i="1"/>
  <c r="N445" i="1" s="1"/>
  <c r="M446" i="1"/>
  <c r="N446" i="1" s="1"/>
  <c r="M447" i="1"/>
  <c r="N447" i="1" s="1"/>
  <c r="M448" i="1"/>
  <c r="N448" i="1" s="1"/>
  <c r="M449" i="1"/>
  <c r="N449" i="1" s="1"/>
  <c r="M450" i="1"/>
  <c r="N450" i="1" s="1"/>
  <c r="M451" i="1"/>
  <c r="N451" i="1" s="1"/>
  <c r="M452" i="1"/>
  <c r="N452" i="1" s="1"/>
  <c r="M453" i="1"/>
  <c r="N453" i="1" s="1"/>
  <c r="M454" i="1"/>
  <c r="N454" i="1" s="1"/>
  <c r="M455" i="1"/>
  <c r="N455" i="1" s="1"/>
  <c r="M456" i="1"/>
  <c r="N456" i="1" s="1"/>
  <c r="M457" i="1"/>
  <c r="N457" i="1" s="1"/>
  <c r="M458" i="1"/>
  <c r="N458" i="1" s="1"/>
  <c r="M459" i="1"/>
  <c r="N459" i="1" s="1"/>
  <c r="M460" i="1"/>
  <c r="N460" i="1" s="1"/>
  <c r="M461" i="1"/>
  <c r="N461" i="1" s="1"/>
  <c r="M462" i="1"/>
  <c r="N462" i="1" s="1"/>
  <c r="M463" i="1"/>
  <c r="N463" i="1" s="1"/>
  <c r="M464" i="1"/>
  <c r="N464" i="1" s="1"/>
  <c r="M465" i="1"/>
  <c r="N465" i="1" s="1"/>
  <c r="M466" i="1"/>
  <c r="N466" i="1" s="1"/>
  <c r="M467" i="1"/>
  <c r="N467" i="1" s="1"/>
  <c r="M468" i="1"/>
  <c r="N468" i="1" s="1"/>
  <c r="M469" i="1"/>
  <c r="N469" i="1" s="1"/>
  <c r="M470" i="1"/>
  <c r="N470" i="1" s="1"/>
  <c r="M471" i="1"/>
  <c r="N471" i="1" s="1"/>
  <c r="M472" i="1"/>
  <c r="N472" i="1" s="1"/>
  <c r="M473" i="1"/>
  <c r="N473" i="1" s="1"/>
  <c r="M474" i="1"/>
  <c r="N474" i="1" s="1"/>
  <c r="M475" i="1"/>
  <c r="N475" i="1" s="1"/>
  <c r="M476" i="1"/>
  <c r="N476" i="1" s="1"/>
  <c r="M477" i="1"/>
  <c r="N477" i="1" s="1"/>
  <c r="M478" i="1"/>
  <c r="N478" i="1" s="1"/>
  <c r="M479" i="1"/>
  <c r="N479" i="1" s="1"/>
  <c r="M480" i="1"/>
  <c r="N480" i="1" s="1"/>
  <c r="M481" i="1"/>
  <c r="N481" i="1" s="1"/>
  <c r="M482" i="1"/>
  <c r="N482" i="1" s="1"/>
  <c r="M483" i="1"/>
  <c r="N483" i="1" s="1"/>
  <c r="M484" i="1"/>
  <c r="N484" i="1" s="1"/>
  <c r="M485" i="1"/>
  <c r="N485" i="1" s="1"/>
  <c r="M486" i="1"/>
  <c r="N486" i="1" s="1"/>
  <c r="M487" i="1"/>
  <c r="N487" i="1" s="1"/>
  <c r="M488" i="1"/>
  <c r="N488" i="1" s="1"/>
  <c r="M489" i="1"/>
  <c r="N489" i="1" s="1"/>
  <c r="M490" i="1"/>
  <c r="N490" i="1" s="1"/>
  <c r="M491" i="1"/>
  <c r="N491" i="1" s="1"/>
  <c r="M492" i="1"/>
  <c r="N492" i="1" s="1"/>
  <c r="M493" i="1"/>
  <c r="N493" i="1" s="1"/>
  <c r="M494" i="1"/>
  <c r="N494" i="1" s="1"/>
  <c r="M495" i="1"/>
  <c r="N495" i="1" s="1"/>
  <c r="M496" i="1"/>
  <c r="N496" i="1" s="1"/>
  <c r="M497" i="1"/>
  <c r="N497" i="1" s="1"/>
  <c r="M498" i="1"/>
  <c r="N498" i="1" s="1"/>
  <c r="M499" i="1"/>
  <c r="N499" i="1" s="1"/>
  <c r="M500" i="1"/>
  <c r="N500" i="1" s="1"/>
  <c r="M501" i="1"/>
  <c r="N501" i="1" s="1"/>
  <c r="M502" i="1"/>
  <c r="N502" i="1" s="1"/>
  <c r="M503" i="1"/>
  <c r="N503" i="1" s="1"/>
  <c r="M504" i="1"/>
  <c r="N504" i="1" s="1"/>
  <c r="M505" i="1"/>
  <c r="N505" i="1" s="1"/>
  <c r="M506" i="1"/>
  <c r="N506" i="1" s="1"/>
  <c r="M507" i="1"/>
  <c r="N507" i="1" s="1"/>
  <c r="M508" i="1"/>
  <c r="N508" i="1" s="1"/>
  <c r="M509" i="1"/>
  <c r="N509" i="1" s="1"/>
  <c r="M510" i="1"/>
  <c r="N510" i="1" s="1"/>
  <c r="M511" i="1"/>
  <c r="N511" i="1" s="1"/>
  <c r="M512" i="1"/>
  <c r="N512" i="1" s="1"/>
  <c r="M513" i="1"/>
  <c r="N513" i="1" s="1"/>
  <c r="M514" i="1"/>
  <c r="N514" i="1" s="1"/>
  <c r="M515" i="1"/>
  <c r="N515" i="1" s="1"/>
  <c r="M516" i="1"/>
  <c r="N516" i="1" s="1"/>
  <c r="M517" i="1"/>
  <c r="N517" i="1" s="1"/>
  <c r="M518" i="1"/>
  <c r="N518" i="1" s="1"/>
  <c r="M519" i="1"/>
  <c r="N519" i="1" s="1"/>
  <c r="M520" i="1"/>
  <c r="N520" i="1" s="1"/>
  <c r="M521" i="1"/>
  <c r="N521" i="1" s="1"/>
  <c r="M522" i="1"/>
  <c r="N522" i="1" s="1"/>
  <c r="M523" i="1"/>
  <c r="N523" i="1" s="1"/>
  <c r="M524" i="1"/>
  <c r="N524" i="1" s="1"/>
  <c r="M525" i="1"/>
  <c r="N525" i="1" s="1"/>
  <c r="M526" i="1"/>
  <c r="N526" i="1" s="1"/>
  <c r="M527" i="1"/>
  <c r="N527" i="1" s="1"/>
  <c r="M528" i="1"/>
  <c r="N528" i="1" s="1"/>
  <c r="M529" i="1"/>
  <c r="N529" i="1" s="1"/>
  <c r="M530" i="1"/>
  <c r="N530" i="1" s="1"/>
  <c r="M531" i="1"/>
  <c r="N531" i="1" s="1"/>
  <c r="M532" i="1"/>
  <c r="N532" i="1" s="1"/>
  <c r="M533" i="1"/>
  <c r="N533" i="1" s="1"/>
  <c r="M534" i="1"/>
  <c r="N534" i="1" s="1"/>
  <c r="M535" i="1"/>
  <c r="N535" i="1" s="1"/>
  <c r="M536" i="1"/>
  <c r="N536" i="1" s="1"/>
  <c r="M537" i="1"/>
  <c r="N537" i="1" s="1"/>
  <c r="M538" i="1"/>
  <c r="N538" i="1" s="1"/>
  <c r="M539" i="1"/>
  <c r="N539" i="1" s="1"/>
  <c r="M540" i="1"/>
  <c r="N540" i="1" s="1"/>
  <c r="M541" i="1"/>
  <c r="N541" i="1" s="1"/>
  <c r="M542" i="1"/>
  <c r="N542" i="1" s="1"/>
  <c r="M543" i="1"/>
  <c r="N543" i="1" s="1"/>
  <c r="M544" i="1"/>
  <c r="N544" i="1" s="1"/>
  <c r="M545" i="1"/>
  <c r="N545" i="1" s="1"/>
  <c r="M546" i="1"/>
  <c r="N546" i="1" s="1"/>
  <c r="M547" i="1"/>
  <c r="N547" i="1" s="1"/>
  <c r="M548" i="1"/>
  <c r="N548" i="1" s="1"/>
  <c r="M549" i="1"/>
  <c r="N549" i="1" s="1"/>
  <c r="M550" i="1"/>
  <c r="N550" i="1" s="1"/>
  <c r="M551" i="1"/>
  <c r="N551" i="1" s="1"/>
  <c r="M552" i="1"/>
  <c r="N552" i="1" s="1"/>
  <c r="M553" i="1"/>
  <c r="N553" i="1" s="1"/>
  <c r="M554" i="1"/>
  <c r="N554" i="1" s="1"/>
  <c r="M555" i="1"/>
  <c r="N555" i="1" s="1"/>
  <c r="M556" i="1"/>
  <c r="N556" i="1" s="1"/>
  <c r="M557" i="1"/>
  <c r="N557" i="1" s="1"/>
  <c r="M558" i="1"/>
  <c r="N558" i="1" s="1"/>
  <c r="M559" i="1"/>
  <c r="N559" i="1" s="1"/>
  <c r="M560" i="1"/>
  <c r="N560" i="1" s="1"/>
  <c r="M561" i="1"/>
  <c r="N561" i="1" s="1"/>
  <c r="M562" i="1"/>
  <c r="N562" i="1" s="1"/>
  <c r="M563" i="1"/>
  <c r="N563" i="1" s="1"/>
  <c r="M564" i="1"/>
  <c r="N564" i="1" s="1"/>
  <c r="M565" i="1"/>
  <c r="N565" i="1" s="1"/>
  <c r="M566" i="1"/>
  <c r="N566" i="1" s="1"/>
  <c r="M567" i="1"/>
  <c r="N567" i="1" s="1"/>
  <c r="M568" i="1"/>
  <c r="N568" i="1" s="1"/>
  <c r="M569" i="1"/>
  <c r="N569" i="1" s="1"/>
  <c r="M570" i="1"/>
  <c r="N570" i="1" s="1"/>
  <c r="M571" i="1"/>
  <c r="N571" i="1" s="1"/>
  <c r="M572" i="1"/>
  <c r="N572" i="1" s="1"/>
  <c r="M573" i="1"/>
  <c r="N573" i="1" s="1"/>
  <c r="M574" i="1"/>
  <c r="N574" i="1" s="1"/>
  <c r="M575" i="1"/>
  <c r="N575" i="1" s="1"/>
  <c r="M576" i="1"/>
  <c r="N576" i="1" s="1"/>
  <c r="M577" i="1"/>
  <c r="N577" i="1" s="1"/>
  <c r="M578" i="1"/>
  <c r="N578" i="1" s="1"/>
  <c r="M579" i="1"/>
  <c r="N579" i="1" s="1"/>
  <c r="M580" i="1"/>
  <c r="N580" i="1" s="1"/>
  <c r="M581" i="1"/>
  <c r="N581" i="1" s="1"/>
  <c r="M582" i="1"/>
  <c r="N582" i="1" s="1"/>
  <c r="M583" i="1"/>
  <c r="N583" i="1" s="1"/>
  <c r="M584" i="1"/>
  <c r="N584" i="1" s="1"/>
  <c r="M585" i="1"/>
  <c r="N585" i="1" s="1"/>
  <c r="M586" i="1"/>
  <c r="N586" i="1" s="1"/>
  <c r="M587" i="1"/>
  <c r="N587" i="1" s="1"/>
  <c r="M588" i="1"/>
  <c r="N588" i="1" s="1"/>
  <c r="M589" i="1"/>
  <c r="N589" i="1" s="1"/>
  <c r="M590" i="1"/>
  <c r="N590" i="1" s="1"/>
  <c r="M591" i="1"/>
  <c r="N591" i="1" s="1"/>
  <c r="M592" i="1"/>
  <c r="N592" i="1" s="1"/>
  <c r="M593" i="1"/>
  <c r="N593" i="1" s="1"/>
  <c r="M594" i="1"/>
  <c r="N594" i="1" s="1"/>
  <c r="M595" i="1"/>
  <c r="N595" i="1" s="1"/>
  <c r="M596" i="1"/>
  <c r="N596" i="1" s="1"/>
  <c r="M597" i="1"/>
  <c r="N597" i="1" s="1"/>
  <c r="M598" i="1"/>
  <c r="N598" i="1" s="1"/>
  <c r="M599" i="1"/>
  <c r="N599" i="1" s="1"/>
  <c r="M600" i="1"/>
  <c r="N600" i="1" s="1"/>
  <c r="M601" i="1"/>
  <c r="N601" i="1" s="1"/>
  <c r="M602" i="1"/>
  <c r="N602" i="1" s="1"/>
  <c r="M603" i="1"/>
  <c r="N603" i="1" s="1"/>
  <c r="M604" i="1"/>
  <c r="N604" i="1" s="1"/>
  <c r="M605" i="1"/>
  <c r="N605" i="1" s="1"/>
  <c r="M606" i="1"/>
  <c r="N606" i="1" s="1"/>
  <c r="M607" i="1"/>
  <c r="N607" i="1" s="1"/>
  <c r="M608" i="1"/>
  <c r="N608" i="1" s="1"/>
  <c r="M609" i="1"/>
  <c r="N609" i="1" s="1"/>
  <c r="M610" i="1"/>
  <c r="N610" i="1" s="1"/>
  <c r="M611" i="1"/>
  <c r="N611" i="1" s="1"/>
  <c r="M612" i="1"/>
  <c r="N612" i="1" s="1"/>
  <c r="M613" i="1"/>
  <c r="N613" i="1" s="1"/>
  <c r="M614" i="1"/>
  <c r="N614" i="1" s="1"/>
  <c r="M615" i="1"/>
  <c r="N615" i="1" s="1"/>
  <c r="M616" i="1"/>
  <c r="N616" i="1" s="1"/>
  <c r="M617" i="1"/>
  <c r="N617" i="1" s="1"/>
  <c r="M618" i="1"/>
  <c r="N618" i="1" s="1"/>
  <c r="M619" i="1"/>
  <c r="N619" i="1" s="1"/>
  <c r="M620" i="1"/>
  <c r="N620" i="1" s="1"/>
  <c r="M621" i="1"/>
  <c r="N621" i="1" s="1"/>
  <c r="M622" i="1"/>
  <c r="N622" i="1" s="1"/>
  <c r="M623" i="1"/>
  <c r="N623" i="1" s="1"/>
  <c r="M624" i="1"/>
  <c r="N624" i="1" s="1"/>
  <c r="M625" i="1"/>
  <c r="N625" i="1" s="1"/>
  <c r="M626" i="1"/>
  <c r="N626" i="1" s="1"/>
  <c r="M627" i="1"/>
  <c r="N627" i="1" s="1"/>
  <c r="M628" i="1"/>
  <c r="N628" i="1" s="1"/>
  <c r="M629" i="1"/>
  <c r="N629" i="1" s="1"/>
  <c r="M630" i="1"/>
  <c r="N630" i="1" s="1"/>
  <c r="M631" i="1"/>
  <c r="N631" i="1" s="1"/>
  <c r="M632" i="1"/>
  <c r="N632" i="1" s="1"/>
  <c r="M633" i="1"/>
  <c r="N633" i="1" s="1"/>
  <c r="M634" i="1"/>
  <c r="N634" i="1" s="1"/>
  <c r="M635" i="1"/>
  <c r="N635" i="1" s="1"/>
  <c r="M636" i="1"/>
  <c r="N636" i="1" s="1"/>
  <c r="M637" i="1"/>
  <c r="N637" i="1" s="1"/>
  <c r="M638" i="1"/>
  <c r="N638" i="1" s="1"/>
  <c r="M639" i="1"/>
  <c r="N639" i="1" s="1"/>
  <c r="M640" i="1"/>
  <c r="N640" i="1" s="1"/>
  <c r="M641" i="1"/>
  <c r="N641" i="1" s="1"/>
  <c r="M642" i="1"/>
  <c r="N642" i="1" s="1"/>
  <c r="M643" i="1"/>
  <c r="N643" i="1" s="1"/>
  <c r="M644" i="1"/>
  <c r="N644" i="1" s="1"/>
  <c r="M645" i="1"/>
  <c r="N645" i="1" s="1"/>
  <c r="M646" i="1"/>
  <c r="N646" i="1" s="1"/>
  <c r="M647" i="1"/>
  <c r="N647" i="1" s="1"/>
  <c r="M648" i="1"/>
  <c r="N648" i="1" s="1"/>
  <c r="M649" i="1"/>
  <c r="N649" i="1" s="1"/>
  <c r="M650" i="1"/>
  <c r="N650" i="1" s="1"/>
  <c r="M651" i="1"/>
  <c r="N651" i="1" s="1"/>
  <c r="M652" i="1"/>
  <c r="N652" i="1" s="1"/>
  <c r="M653" i="1"/>
  <c r="N653" i="1" s="1"/>
  <c r="M654" i="1"/>
  <c r="N654" i="1" s="1"/>
  <c r="M655" i="1"/>
  <c r="N655" i="1" s="1"/>
  <c r="M656" i="1"/>
  <c r="N656" i="1" s="1"/>
  <c r="M657" i="1"/>
  <c r="N657" i="1" s="1"/>
  <c r="M658" i="1"/>
  <c r="N658" i="1" s="1"/>
  <c r="M659" i="1"/>
  <c r="N659" i="1" s="1"/>
  <c r="M660" i="1"/>
  <c r="N660" i="1" s="1"/>
  <c r="M661" i="1"/>
  <c r="N661" i="1" s="1"/>
  <c r="M662" i="1"/>
  <c r="N662" i="1" s="1"/>
  <c r="M663" i="1"/>
  <c r="N663" i="1" s="1"/>
  <c r="M664" i="1"/>
  <c r="N664" i="1" s="1"/>
  <c r="M665" i="1"/>
  <c r="N665" i="1" s="1"/>
  <c r="M666" i="1"/>
  <c r="N666" i="1" s="1"/>
  <c r="M667" i="1"/>
  <c r="N667" i="1" s="1"/>
  <c r="M668" i="1"/>
  <c r="N668" i="1" s="1"/>
  <c r="M669" i="1"/>
  <c r="N669" i="1" s="1"/>
  <c r="M670" i="1"/>
  <c r="N670" i="1" s="1"/>
  <c r="M671" i="1"/>
  <c r="N671" i="1" s="1"/>
  <c r="M672" i="1"/>
  <c r="N672" i="1" s="1"/>
  <c r="M673" i="1"/>
  <c r="N673" i="1" s="1"/>
  <c r="M674" i="1"/>
  <c r="N674" i="1" s="1"/>
  <c r="M675" i="1"/>
  <c r="N675" i="1" s="1"/>
  <c r="M676" i="1"/>
  <c r="N676" i="1" s="1"/>
  <c r="M677" i="1"/>
  <c r="N677" i="1" s="1"/>
  <c r="M678" i="1"/>
  <c r="N678" i="1" s="1"/>
  <c r="M679" i="1"/>
  <c r="N679" i="1" s="1"/>
  <c r="M680" i="1"/>
  <c r="N680" i="1" s="1"/>
  <c r="M681" i="1"/>
  <c r="N681" i="1" s="1"/>
  <c r="M682" i="1"/>
  <c r="N682" i="1" s="1"/>
  <c r="M683" i="1"/>
  <c r="N683" i="1" s="1"/>
  <c r="M684" i="1"/>
  <c r="N684" i="1" s="1"/>
  <c r="M685" i="1"/>
  <c r="N685" i="1" s="1"/>
  <c r="M686" i="1"/>
  <c r="N686" i="1" s="1"/>
  <c r="M687" i="1"/>
  <c r="N687" i="1" s="1"/>
  <c r="M688" i="1"/>
  <c r="N688" i="1" s="1"/>
  <c r="M689" i="1"/>
  <c r="N689" i="1" s="1"/>
  <c r="M690" i="1"/>
  <c r="N690" i="1" s="1"/>
  <c r="M691" i="1"/>
  <c r="N691" i="1" s="1"/>
  <c r="M692" i="1"/>
  <c r="N692" i="1" s="1"/>
  <c r="M693" i="1"/>
  <c r="N693" i="1" s="1"/>
  <c r="M694" i="1"/>
  <c r="N694" i="1" s="1"/>
  <c r="M695" i="1"/>
  <c r="N695" i="1" s="1"/>
  <c r="M696" i="1"/>
  <c r="N696" i="1" s="1"/>
  <c r="M697" i="1"/>
  <c r="N697" i="1" s="1"/>
  <c r="M698" i="1"/>
  <c r="N698" i="1" s="1"/>
  <c r="M699" i="1"/>
  <c r="N699" i="1" s="1"/>
  <c r="M700" i="1"/>
  <c r="N700" i="1" s="1"/>
  <c r="M701" i="1"/>
  <c r="N701" i="1" s="1"/>
  <c r="M702" i="1"/>
  <c r="N702" i="1" s="1"/>
  <c r="M703" i="1"/>
  <c r="N703" i="1" s="1"/>
  <c r="M704" i="1"/>
  <c r="N704" i="1" s="1"/>
  <c r="M705" i="1"/>
  <c r="N705" i="1" s="1"/>
  <c r="M706" i="1"/>
  <c r="N706" i="1" s="1"/>
  <c r="M707" i="1"/>
  <c r="N707" i="1" s="1"/>
  <c r="M708" i="1"/>
  <c r="N708" i="1" s="1"/>
  <c r="M709" i="1"/>
  <c r="N709" i="1" s="1"/>
  <c r="M710" i="1"/>
  <c r="N710" i="1" s="1"/>
  <c r="M711" i="1"/>
  <c r="N711" i="1" s="1"/>
  <c r="M712" i="1"/>
  <c r="N712" i="1" s="1"/>
  <c r="M713" i="1"/>
  <c r="N713" i="1" s="1"/>
  <c r="M714" i="1"/>
  <c r="N714" i="1" s="1"/>
  <c r="M715" i="1"/>
  <c r="N715" i="1" s="1"/>
  <c r="M716" i="1"/>
  <c r="N716" i="1" s="1"/>
  <c r="M717" i="1"/>
  <c r="N717" i="1" s="1"/>
  <c r="M718" i="1"/>
  <c r="N718" i="1" s="1"/>
  <c r="M719" i="1"/>
  <c r="N719" i="1" s="1"/>
  <c r="M720" i="1"/>
  <c r="N720" i="1" s="1"/>
  <c r="M721" i="1"/>
  <c r="N721" i="1" s="1"/>
  <c r="M722" i="1"/>
  <c r="N722" i="1" s="1"/>
  <c r="M723" i="1"/>
  <c r="N723" i="1" s="1"/>
  <c r="M724" i="1"/>
  <c r="N724" i="1" s="1"/>
  <c r="M725" i="1"/>
  <c r="N725" i="1" s="1"/>
  <c r="M726" i="1"/>
  <c r="N726" i="1" s="1"/>
  <c r="M727" i="1"/>
  <c r="N727" i="1" s="1"/>
  <c r="M728" i="1"/>
  <c r="N728" i="1" s="1"/>
  <c r="M729" i="1"/>
  <c r="N729" i="1" s="1"/>
  <c r="M730" i="1"/>
  <c r="N730" i="1" s="1"/>
  <c r="M731" i="1"/>
  <c r="N731" i="1" s="1"/>
  <c r="M732" i="1"/>
  <c r="N732" i="1" s="1"/>
  <c r="M733" i="1"/>
  <c r="N733" i="1" s="1"/>
  <c r="M734" i="1"/>
  <c r="N734" i="1" s="1"/>
  <c r="M735" i="1"/>
  <c r="N735" i="1" s="1"/>
  <c r="M736" i="1"/>
  <c r="N736" i="1" s="1"/>
  <c r="M737" i="1"/>
  <c r="N737" i="1" s="1"/>
  <c r="M738" i="1"/>
  <c r="N738" i="1" s="1"/>
  <c r="M739" i="1"/>
  <c r="N739" i="1" s="1"/>
  <c r="M740" i="1"/>
  <c r="N740" i="1" s="1"/>
  <c r="M741" i="1"/>
  <c r="N741" i="1" s="1"/>
  <c r="M742" i="1"/>
  <c r="N742" i="1" s="1"/>
  <c r="M743" i="1"/>
  <c r="N743" i="1" s="1"/>
  <c r="M744" i="1"/>
  <c r="N744" i="1" s="1"/>
  <c r="M745" i="1"/>
  <c r="N745" i="1" s="1"/>
  <c r="M746" i="1"/>
  <c r="N746" i="1" s="1"/>
  <c r="M747" i="1"/>
  <c r="N747" i="1" s="1"/>
  <c r="M748" i="1"/>
  <c r="N748" i="1" s="1"/>
  <c r="M749" i="1"/>
  <c r="N749" i="1" s="1"/>
  <c r="M750" i="1"/>
  <c r="N750" i="1" s="1"/>
  <c r="M751" i="1"/>
  <c r="N751" i="1" s="1"/>
  <c r="M752" i="1"/>
  <c r="N752" i="1" s="1"/>
  <c r="M753" i="1"/>
  <c r="N753" i="1" s="1"/>
  <c r="M754" i="1"/>
  <c r="N754" i="1" s="1"/>
  <c r="M755" i="1"/>
  <c r="N755" i="1" s="1"/>
  <c r="M756" i="1"/>
  <c r="N756" i="1" s="1"/>
  <c r="M757" i="1"/>
  <c r="N757" i="1" s="1"/>
  <c r="M758" i="1"/>
  <c r="N758" i="1" s="1"/>
  <c r="M759" i="1"/>
  <c r="N759" i="1" s="1"/>
  <c r="M760" i="1"/>
  <c r="N760" i="1" s="1"/>
  <c r="M761" i="1"/>
  <c r="N761" i="1" s="1"/>
  <c r="M762" i="1"/>
  <c r="N762" i="1" s="1"/>
  <c r="M763" i="1"/>
  <c r="N763" i="1" s="1"/>
  <c r="M764" i="1"/>
  <c r="N764" i="1" s="1"/>
  <c r="M765" i="1"/>
  <c r="N765" i="1" s="1"/>
  <c r="M766" i="1"/>
  <c r="N766" i="1" s="1"/>
  <c r="M767" i="1"/>
  <c r="N767" i="1" s="1"/>
  <c r="M768" i="1"/>
  <c r="N768" i="1" s="1"/>
  <c r="M769" i="1"/>
  <c r="N769" i="1" s="1"/>
  <c r="M770" i="1"/>
  <c r="N770" i="1" s="1"/>
  <c r="M771" i="1"/>
  <c r="N771" i="1" s="1"/>
  <c r="M772" i="1"/>
  <c r="N772" i="1" s="1"/>
  <c r="M773" i="1"/>
  <c r="N773" i="1" s="1"/>
  <c r="M774" i="1"/>
  <c r="N774" i="1" s="1"/>
  <c r="M775" i="1"/>
  <c r="N775" i="1" s="1"/>
  <c r="M776" i="1"/>
  <c r="N776" i="1" s="1"/>
  <c r="M777" i="1"/>
  <c r="N777" i="1" s="1"/>
  <c r="M778" i="1"/>
  <c r="N778" i="1" s="1"/>
  <c r="M779" i="1"/>
  <c r="N779" i="1" s="1"/>
  <c r="M780" i="1"/>
  <c r="N780" i="1" s="1"/>
  <c r="M781" i="1"/>
  <c r="N781" i="1" s="1"/>
  <c r="M782" i="1"/>
  <c r="N782" i="1" s="1"/>
  <c r="M783" i="1"/>
  <c r="N783" i="1" s="1"/>
  <c r="M784" i="1"/>
  <c r="N784" i="1" s="1"/>
  <c r="M785" i="1"/>
  <c r="N785" i="1" s="1"/>
  <c r="M786" i="1"/>
  <c r="N786" i="1" s="1"/>
  <c r="M787" i="1"/>
  <c r="N787" i="1" s="1"/>
  <c r="M788" i="1"/>
  <c r="N788" i="1" s="1"/>
  <c r="M789" i="1"/>
  <c r="N789" i="1" s="1"/>
  <c r="M790" i="1"/>
  <c r="N790" i="1" s="1"/>
  <c r="M791" i="1"/>
  <c r="N791" i="1" s="1"/>
  <c r="M792" i="1"/>
  <c r="N792" i="1" s="1"/>
  <c r="M793" i="1"/>
  <c r="N793" i="1" s="1"/>
  <c r="M794" i="1"/>
  <c r="N794" i="1" s="1"/>
  <c r="M795" i="1"/>
  <c r="N795" i="1" s="1"/>
  <c r="M796" i="1"/>
  <c r="N796" i="1" s="1"/>
  <c r="M797" i="1"/>
  <c r="N797" i="1" s="1"/>
  <c r="M798" i="1"/>
  <c r="N798" i="1" s="1"/>
  <c r="M799" i="1"/>
  <c r="N799" i="1" s="1"/>
  <c r="M800" i="1"/>
  <c r="N800" i="1" s="1"/>
  <c r="M801" i="1"/>
  <c r="N801" i="1" s="1"/>
  <c r="M802" i="1"/>
  <c r="N802" i="1" s="1"/>
  <c r="M803" i="1"/>
  <c r="N803" i="1" s="1"/>
  <c r="M804" i="1"/>
  <c r="N804" i="1" s="1"/>
  <c r="M805" i="1"/>
  <c r="N805" i="1" s="1"/>
  <c r="M806" i="1"/>
  <c r="N806" i="1" s="1"/>
  <c r="M807" i="1"/>
  <c r="N807" i="1" s="1"/>
  <c r="M808" i="1"/>
  <c r="N808" i="1" s="1"/>
  <c r="M809" i="1"/>
  <c r="N809" i="1" s="1"/>
  <c r="M810" i="1"/>
  <c r="N810" i="1" s="1"/>
  <c r="M811" i="1"/>
  <c r="N811" i="1" s="1"/>
  <c r="M812" i="1"/>
  <c r="N812" i="1" s="1"/>
  <c r="M813" i="1"/>
  <c r="N813" i="1" s="1"/>
  <c r="M814" i="1"/>
  <c r="N814" i="1" s="1"/>
  <c r="M815" i="1"/>
  <c r="N815" i="1" s="1"/>
  <c r="M816" i="1"/>
  <c r="N816" i="1" s="1"/>
  <c r="M817" i="1"/>
  <c r="N817" i="1" s="1"/>
  <c r="M818" i="1"/>
  <c r="N818" i="1" s="1"/>
  <c r="M819" i="1"/>
  <c r="N819" i="1" s="1"/>
  <c r="M820" i="1"/>
  <c r="N820" i="1" s="1"/>
  <c r="M821" i="1"/>
  <c r="N821" i="1" s="1"/>
  <c r="M822" i="1"/>
  <c r="N822" i="1" s="1"/>
  <c r="M823" i="1"/>
  <c r="N823" i="1" s="1"/>
  <c r="M824" i="1"/>
  <c r="N824" i="1" s="1"/>
  <c r="M825" i="1"/>
  <c r="N825" i="1" s="1"/>
  <c r="M826" i="1"/>
  <c r="N826" i="1" s="1"/>
  <c r="M827" i="1"/>
  <c r="N827" i="1" s="1"/>
  <c r="M828" i="1"/>
  <c r="N828" i="1" s="1"/>
  <c r="M829" i="1"/>
  <c r="N829" i="1" s="1"/>
  <c r="M830" i="1"/>
  <c r="N830" i="1" s="1"/>
  <c r="M831" i="1"/>
  <c r="N831" i="1" s="1"/>
  <c r="M832" i="1"/>
  <c r="N832" i="1" s="1"/>
  <c r="M833" i="1"/>
  <c r="N833" i="1" s="1"/>
  <c r="M834" i="1"/>
  <c r="N834" i="1" s="1"/>
  <c r="M835" i="1"/>
  <c r="N835" i="1" s="1"/>
  <c r="M836" i="1"/>
  <c r="N836" i="1" s="1"/>
  <c r="M837" i="1"/>
  <c r="N837" i="1" s="1"/>
  <c r="M838" i="1"/>
  <c r="N838" i="1" s="1"/>
  <c r="M839" i="1"/>
  <c r="N839" i="1" s="1"/>
  <c r="M840" i="1"/>
  <c r="N840" i="1" s="1"/>
  <c r="M841" i="1"/>
  <c r="N841" i="1" s="1"/>
  <c r="M842" i="1"/>
  <c r="N842" i="1" s="1"/>
  <c r="M843" i="1"/>
  <c r="N843" i="1" s="1"/>
  <c r="M844" i="1"/>
  <c r="N844" i="1" s="1"/>
  <c r="M845" i="1"/>
  <c r="N845" i="1" s="1"/>
  <c r="M846" i="1"/>
  <c r="N846" i="1" s="1"/>
  <c r="M847" i="1"/>
  <c r="N847" i="1" s="1"/>
  <c r="M848" i="1"/>
  <c r="N848" i="1" s="1"/>
  <c r="M849" i="1"/>
  <c r="N849" i="1" s="1"/>
  <c r="M850" i="1"/>
  <c r="N850" i="1" s="1"/>
  <c r="M851" i="1"/>
  <c r="N851" i="1" s="1"/>
  <c r="M852" i="1"/>
  <c r="N852" i="1" s="1"/>
  <c r="M853" i="1"/>
  <c r="N853" i="1" s="1"/>
  <c r="M854" i="1"/>
  <c r="N854" i="1" s="1"/>
  <c r="M855" i="1"/>
  <c r="N855" i="1" s="1"/>
  <c r="M856" i="1"/>
  <c r="N856" i="1" s="1"/>
  <c r="M857" i="1"/>
  <c r="N857" i="1" s="1"/>
  <c r="M858" i="1"/>
  <c r="N858" i="1" s="1"/>
  <c r="M859" i="1"/>
  <c r="N859" i="1" s="1"/>
  <c r="M860" i="1"/>
  <c r="N860" i="1" s="1"/>
  <c r="M861" i="1"/>
  <c r="N861" i="1" s="1"/>
  <c r="M862" i="1"/>
  <c r="N862" i="1" s="1"/>
  <c r="M863" i="1"/>
  <c r="N863" i="1" s="1"/>
  <c r="M864" i="1"/>
  <c r="N864" i="1" s="1"/>
  <c r="M865" i="1"/>
  <c r="N865" i="1" s="1"/>
  <c r="M866" i="1"/>
  <c r="N866" i="1" s="1"/>
  <c r="M867" i="1"/>
  <c r="N867" i="1" s="1"/>
  <c r="M868" i="1"/>
  <c r="N868" i="1" s="1"/>
  <c r="M869" i="1"/>
  <c r="N869" i="1" s="1"/>
  <c r="M870" i="1"/>
  <c r="N870" i="1" s="1"/>
  <c r="M871" i="1"/>
  <c r="N871" i="1" s="1"/>
  <c r="M872" i="1"/>
  <c r="N872" i="1" s="1"/>
  <c r="M873" i="1"/>
  <c r="N873" i="1" s="1"/>
  <c r="M874" i="1"/>
  <c r="N874" i="1" s="1"/>
  <c r="M875" i="1"/>
  <c r="N875" i="1" s="1"/>
  <c r="M876" i="1"/>
  <c r="N876" i="1" s="1"/>
  <c r="M877" i="1"/>
  <c r="N877" i="1" s="1"/>
  <c r="M878" i="1"/>
  <c r="N878" i="1" s="1"/>
  <c r="M879" i="1"/>
  <c r="N879" i="1" s="1"/>
  <c r="M880" i="1"/>
  <c r="N880" i="1" s="1"/>
  <c r="M881" i="1"/>
  <c r="N881" i="1" s="1"/>
  <c r="M882" i="1"/>
  <c r="N882" i="1" s="1"/>
  <c r="M883" i="1"/>
  <c r="N883" i="1" s="1"/>
  <c r="M884" i="1"/>
  <c r="N884" i="1" s="1"/>
  <c r="M885" i="1"/>
  <c r="N885" i="1" s="1"/>
  <c r="M886" i="1"/>
  <c r="N886" i="1" s="1"/>
  <c r="M887" i="1"/>
  <c r="N887" i="1" s="1"/>
  <c r="M888" i="1"/>
  <c r="N888" i="1" s="1"/>
  <c r="M889" i="1"/>
  <c r="N889" i="1" s="1"/>
  <c r="M890" i="1"/>
  <c r="N890" i="1" s="1"/>
  <c r="M891" i="1"/>
  <c r="N891" i="1" s="1"/>
  <c r="M892" i="1"/>
  <c r="N892" i="1" s="1"/>
  <c r="M2" i="1"/>
  <c r="N2" i="1" s="1"/>
  <c r="Z263" i="1"/>
  <c r="AB263" i="1"/>
  <c r="Z264" i="1"/>
  <c r="AB264" i="1"/>
  <c r="Z265" i="1"/>
  <c r="AB265" i="1"/>
  <c r="Z266" i="1"/>
  <c r="AB266" i="1"/>
  <c r="Z267" i="1"/>
  <c r="AB267" i="1"/>
  <c r="Z268" i="1"/>
  <c r="AB268" i="1"/>
  <c r="Z269" i="1"/>
  <c r="AB269" i="1"/>
  <c r="Z270" i="1"/>
  <c r="AB270" i="1"/>
  <c r="Z271" i="1"/>
  <c r="AB271" i="1"/>
  <c r="Z272" i="1"/>
  <c r="AB272" i="1"/>
  <c r="Z273" i="1"/>
  <c r="AB273" i="1"/>
  <c r="Z274" i="1"/>
  <c r="AB274" i="1"/>
  <c r="Z275" i="1"/>
  <c r="AB275" i="1"/>
  <c r="Z276" i="1"/>
  <c r="AB276" i="1"/>
  <c r="Z277" i="1"/>
  <c r="AB277" i="1"/>
  <c r="Z278" i="1"/>
  <c r="AB278" i="1"/>
  <c r="Z279" i="1"/>
  <c r="AB279" i="1"/>
  <c r="Z280" i="1"/>
  <c r="AB280" i="1"/>
  <c r="Z281" i="1"/>
  <c r="AB281" i="1"/>
  <c r="Z282" i="1"/>
  <c r="AB282" i="1"/>
  <c r="Z283" i="1"/>
  <c r="AB283" i="1"/>
  <c r="Z284" i="1"/>
  <c r="AB284" i="1"/>
  <c r="Z285" i="1"/>
  <c r="AB285" i="1"/>
  <c r="Z286" i="1"/>
  <c r="AB286" i="1"/>
  <c r="Z287" i="1"/>
  <c r="AB287" i="1"/>
  <c r="Z288" i="1"/>
  <c r="AB288" i="1"/>
  <c r="Z289" i="1"/>
  <c r="AB289" i="1"/>
  <c r="Z290" i="1"/>
  <c r="AB290" i="1"/>
  <c r="Z291" i="1"/>
  <c r="AB291" i="1"/>
  <c r="Z292" i="1"/>
  <c r="AB292" i="1"/>
  <c r="Z293" i="1"/>
  <c r="AB293" i="1"/>
  <c r="Z294" i="1"/>
  <c r="AB294" i="1"/>
  <c r="Z295" i="1"/>
  <c r="AB295" i="1"/>
  <c r="Z296" i="1"/>
  <c r="AB296" i="1"/>
  <c r="Z297" i="1"/>
  <c r="AB297" i="1"/>
  <c r="Z298" i="1"/>
  <c r="AB298" i="1"/>
  <c r="Z299" i="1"/>
  <c r="AB299" i="1"/>
  <c r="Z300" i="1"/>
  <c r="AB300" i="1"/>
  <c r="Z301" i="1"/>
  <c r="AB301" i="1"/>
  <c r="Z302" i="1"/>
  <c r="AB302" i="1"/>
  <c r="Z303" i="1"/>
  <c r="AB303" i="1"/>
  <c r="Z304" i="1"/>
  <c r="AB304" i="1"/>
  <c r="Z305" i="1"/>
  <c r="AB305" i="1"/>
  <c r="Z306" i="1"/>
  <c r="AB306" i="1"/>
  <c r="Z307" i="1"/>
  <c r="AB307" i="1"/>
  <c r="Z308" i="1"/>
  <c r="AB308" i="1"/>
  <c r="Z309" i="1"/>
  <c r="AB309" i="1"/>
  <c r="Z310" i="1"/>
  <c r="AB310" i="1"/>
  <c r="Z311" i="1"/>
  <c r="AB311" i="1"/>
  <c r="Z312" i="1"/>
  <c r="AB312" i="1"/>
  <c r="Z313" i="1"/>
  <c r="AB313" i="1"/>
  <c r="Z314" i="1"/>
  <c r="AB314" i="1"/>
  <c r="Z315" i="1"/>
  <c r="AB315" i="1"/>
  <c r="Z316" i="1"/>
  <c r="AB316" i="1"/>
  <c r="Z317" i="1"/>
  <c r="AB317" i="1"/>
  <c r="Z318" i="1"/>
  <c r="AB318" i="1"/>
  <c r="Z152" i="1"/>
  <c r="AB152" i="1"/>
  <c r="Z153" i="1"/>
  <c r="AB153" i="1"/>
  <c r="Z154" i="1"/>
  <c r="AB154" i="1"/>
  <c r="Z155" i="1"/>
  <c r="AB155" i="1"/>
  <c r="Z156" i="1"/>
  <c r="AB156" i="1"/>
  <c r="Z157" i="1"/>
  <c r="AB157" i="1"/>
  <c r="Z158" i="1"/>
  <c r="AB158" i="1"/>
  <c r="Z159" i="1"/>
  <c r="AB159" i="1"/>
  <c r="Z160" i="1"/>
  <c r="AB160" i="1"/>
  <c r="Z161" i="1"/>
  <c r="AB161" i="1"/>
  <c r="Z162" i="1"/>
  <c r="AB162" i="1"/>
  <c r="Z163" i="1"/>
  <c r="AB163" i="1"/>
  <c r="Z164" i="1"/>
  <c r="AB164" i="1"/>
  <c r="Z165" i="1"/>
  <c r="AB165" i="1"/>
  <c r="Z166" i="1"/>
  <c r="AB166" i="1"/>
  <c r="Z167" i="1"/>
  <c r="AB167" i="1"/>
  <c r="Z168" i="1"/>
  <c r="AB168" i="1"/>
  <c r="Z169" i="1"/>
  <c r="AB169" i="1"/>
  <c r="Z170" i="1"/>
  <c r="AB170" i="1"/>
  <c r="Z171" i="1"/>
  <c r="AB171" i="1"/>
  <c r="Z172" i="1"/>
  <c r="AB172" i="1"/>
  <c r="Z173" i="1"/>
  <c r="AB173" i="1"/>
  <c r="Z174" i="1"/>
  <c r="AB174" i="1"/>
  <c r="Z175" i="1"/>
  <c r="AB175" i="1"/>
  <c r="Z176" i="1"/>
  <c r="AB176" i="1"/>
  <c r="Z177" i="1"/>
  <c r="AB177" i="1"/>
  <c r="Z178" i="1"/>
  <c r="AB178" i="1"/>
  <c r="Z179" i="1"/>
  <c r="AB179" i="1"/>
  <c r="Z180" i="1"/>
  <c r="AB180" i="1"/>
  <c r="Z181" i="1"/>
  <c r="AB181" i="1"/>
  <c r="Z182" i="1"/>
  <c r="AB182" i="1"/>
  <c r="Z183" i="1"/>
  <c r="AB183" i="1"/>
  <c r="Z184" i="1"/>
  <c r="AB184" i="1"/>
  <c r="Z185" i="1"/>
  <c r="AB185" i="1"/>
  <c r="Z186" i="1"/>
  <c r="AB186" i="1"/>
  <c r="Z187" i="1"/>
  <c r="AB187" i="1"/>
  <c r="Z188" i="1"/>
  <c r="AB188" i="1"/>
  <c r="Z189" i="1"/>
  <c r="AB189" i="1"/>
  <c r="Z190" i="1"/>
  <c r="AB190" i="1"/>
  <c r="Z191" i="1"/>
  <c r="AB191" i="1"/>
  <c r="Z192" i="1"/>
  <c r="AB192" i="1"/>
  <c r="Z193" i="1"/>
  <c r="AB193" i="1"/>
  <c r="Z194" i="1"/>
  <c r="AB194" i="1"/>
  <c r="Z195" i="1"/>
  <c r="AB195" i="1"/>
  <c r="Z196" i="1"/>
  <c r="AB196" i="1"/>
  <c r="Z197" i="1"/>
  <c r="AB197" i="1"/>
  <c r="Z198" i="1"/>
  <c r="AB198" i="1"/>
  <c r="Z199" i="1"/>
  <c r="AB199" i="1"/>
  <c r="Z200" i="1"/>
  <c r="AB200" i="1"/>
  <c r="Z201" i="1"/>
  <c r="AB201" i="1"/>
  <c r="Z202" i="1"/>
  <c r="AB202" i="1"/>
  <c r="Z203" i="1"/>
  <c r="AB203" i="1"/>
  <c r="Z204" i="1"/>
  <c r="AB204" i="1"/>
  <c r="Z205" i="1"/>
  <c r="AB205" i="1"/>
  <c r="Z206" i="1"/>
  <c r="AB206" i="1"/>
  <c r="Z207" i="1"/>
  <c r="AB207" i="1"/>
  <c r="Z208" i="1"/>
  <c r="AB208" i="1"/>
  <c r="Z209" i="1"/>
  <c r="AB209" i="1"/>
  <c r="Z210" i="1"/>
  <c r="AB210" i="1"/>
  <c r="Z211" i="1"/>
  <c r="AB211" i="1"/>
  <c r="Z212" i="1"/>
  <c r="AB212" i="1"/>
  <c r="Z213" i="1"/>
  <c r="AB213" i="1"/>
  <c r="Z214" i="1"/>
  <c r="AB214" i="1"/>
  <c r="Z215" i="1"/>
  <c r="AB215" i="1"/>
  <c r="Z216" i="1"/>
  <c r="AB216" i="1"/>
  <c r="Z217" i="1"/>
  <c r="AB217" i="1"/>
  <c r="Z218" i="1"/>
  <c r="AB218" i="1"/>
  <c r="Z219" i="1"/>
  <c r="AB219" i="1"/>
  <c r="Z220" i="1"/>
  <c r="AB220" i="1"/>
  <c r="Z221" i="1"/>
  <c r="AB221" i="1"/>
  <c r="Z222" i="1"/>
  <c r="AB222" i="1"/>
  <c r="Z223" i="1"/>
  <c r="AB223" i="1"/>
  <c r="Z224" i="1"/>
  <c r="AB224" i="1"/>
  <c r="Z225" i="1"/>
  <c r="AB225" i="1"/>
  <c r="Z226" i="1"/>
  <c r="AB226" i="1"/>
  <c r="Z227" i="1"/>
  <c r="AB227" i="1"/>
  <c r="Z228" i="1"/>
  <c r="AB228" i="1"/>
  <c r="Z229" i="1"/>
  <c r="AB229" i="1"/>
  <c r="Z230" i="1"/>
  <c r="AB230" i="1"/>
  <c r="Z231" i="1"/>
  <c r="AB231" i="1"/>
  <c r="Z232" i="1"/>
  <c r="AB232" i="1"/>
  <c r="Z233" i="1"/>
  <c r="AB233" i="1"/>
  <c r="Z234" i="1"/>
  <c r="AB234" i="1"/>
  <c r="Z235" i="1"/>
  <c r="AB235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2" i="1"/>
  <c r="Z138" i="1"/>
  <c r="AB138" i="1"/>
  <c r="Z131" i="1"/>
  <c r="AB131" i="1"/>
  <c r="Z132" i="1"/>
  <c r="AB132" i="1"/>
  <c r="Z133" i="1"/>
  <c r="AB133" i="1"/>
  <c r="Z134" i="1"/>
  <c r="AB134" i="1"/>
  <c r="Z135" i="1"/>
  <c r="AB135" i="1"/>
  <c r="Z136" i="1"/>
  <c r="AB136" i="1"/>
  <c r="Z137" i="1"/>
  <c r="AB137" i="1"/>
  <c r="Z27" i="1"/>
  <c r="AB27" i="1"/>
  <c r="Z28" i="1"/>
  <c r="AB28" i="1"/>
  <c r="Z36" i="1"/>
  <c r="AB36" i="1"/>
  <c r="Z37" i="1"/>
  <c r="AB37" i="1"/>
  <c r="Z38" i="1"/>
  <c r="AB38" i="1"/>
  <c r="Z39" i="1"/>
  <c r="AB39" i="1"/>
  <c r="Z40" i="1"/>
  <c r="AB40" i="1"/>
  <c r="Z41" i="1"/>
  <c r="AB41" i="1"/>
  <c r="Z42" i="1"/>
  <c r="AB42" i="1"/>
  <c r="Z50" i="1"/>
  <c r="AB50" i="1"/>
  <c r="Z51" i="1"/>
  <c r="AB51" i="1"/>
  <c r="Z52" i="1"/>
  <c r="AB52" i="1"/>
  <c r="Z53" i="1"/>
  <c r="AB53" i="1"/>
  <c r="Z54" i="1"/>
  <c r="AB54" i="1"/>
  <c r="Z55" i="1"/>
  <c r="AB55" i="1"/>
  <c r="Z56" i="1"/>
  <c r="AB56" i="1"/>
  <c r="Z64" i="1"/>
  <c r="AB64" i="1"/>
  <c r="Z65" i="1"/>
  <c r="AB65" i="1"/>
  <c r="Z66" i="1"/>
  <c r="AB66" i="1"/>
  <c r="Z67" i="1"/>
  <c r="AB67" i="1"/>
  <c r="Z105" i="1"/>
  <c r="AB105" i="1"/>
  <c r="Z106" i="1"/>
  <c r="AB106" i="1"/>
  <c r="Z107" i="1"/>
  <c r="AB107" i="1"/>
  <c r="Z108" i="1"/>
  <c r="AB108" i="1"/>
  <c r="Z109" i="1"/>
  <c r="AB109" i="1"/>
  <c r="Z110" i="1"/>
  <c r="AB110" i="1"/>
  <c r="Z111" i="1"/>
  <c r="AB111" i="1"/>
  <c r="Z112" i="1"/>
  <c r="AB112" i="1"/>
  <c r="Z121" i="1"/>
  <c r="AB121" i="1"/>
  <c r="Z122" i="1"/>
  <c r="AB122" i="1"/>
  <c r="Z123" i="1"/>
  <c r="AB123" i="1"/>
  <c r="AB6" i="1"/>
  <c r="AB7" i="1"/>
  <c r="AB14" i="1"/>
  <c r="AB15" i="1"/>
  <c r="AB16" i="1"/>
  <c r="AB17" i="1"/>
  <c r="AB18" i="1"/>
  <c r="AB19" i="1"/>
  <c r="AB5" i="1"/>
  <c r="Z6" i="1"/>
  <c r="Z7" i="1"/>
  <c r="Z14" i="1"/>
  <c r="Z15" i="1"/>
  <c r="Z16" i="1"/>
  <c r="Z17" i="1"/>
  <c r="Z18" i="1"/>
  <c r="Z19" i="1"/>
  <c r="Z5" i="1"/>
  <c r="E627" i="1"/>
  <c r="E57" i="1"/>
  <c r="E806" i="1"/>
  <c r="E641" i="1"/>
  <c r="E136" i="1"/>
  <c r="E122" i="1"/>
  <c r="E637" i="1"/>
  <c r="E126" i="1"/>
  <c r="E790" i="1"/>
  <c r="E229" i="1"/>
  <c r="E219" i="1"/>
  <c r="E96" i="1"/>
  <c r="E90" i="1"/>
  <c r="E114" i="1"/>
  <c r="E91" i="1"/>
  <c r="E635" i="1"/>
  <c r="E116" i="1"/>
  <c r="E166" i="1"/>
  <c r="E21" i="1"/>
  <c r="E695" i="1"/>
  <c r="E657" i="1"/>
  <c r="E775" i="1"/>
  <c r="E660" i="1"/>
  <c r="E678" i="1"/>
  <c r="E793" i="1"/>
  <c r="E6" i="1"/>
  <c r="E805" i="1"/>
  <c r="E77" i="1"/>
  <c r="E53" i="1"/>
  <c r="E650" i="1"/>
  <c r="E706" i="1"/>
  <c r="E632" i="1"/>
  <c r="E175" i="1"/>
  <c r="E679" i="1"/>
  <c r="E127" i="1"/>
  <c r="E795" i="1"/>
  <c r="E709" i="1"/>
  <c r="E656" i="1"/>
  <c r="E826" i="1"/>
  <c r="E629" i="1"/>
  <c r="E105" i="1"/>
  <c r="E631" i="1"/>
  <c r="E647" i="1"/>
  <c r="E99" i="1"/>
  <c r="E101" i="1"/>
  <c r="E780" i="1"/>
  <c r="E807" i="1"/>
  <c r="E402" i="1"/>
  <c r="E89" i="1"/>
  <c r="E676" i="1"/>
  <c r="E217" i="1"/>
  <c r="E80" i="1"/>
  <c r="E104" i="1"/>
  <c r="E666" i="1"/>
  <c r="E673" i="1"/>
  <c r="E661" i="1"/>
  <c r="E146" i="1"/>
  <c r="E672" i="1"/>
  <c r="E82" i="1"/>
  <c r="E124" i="1"/>
  <c r="E176" i="1"/>
  <c r="E206" i="1"/>
  <c r="E346" i="1"/>
  <c r="E796" i="1"/>
  <c r="E696" i="1"/>
  <c r="E222" i="1"/>
  <c r="E828" i="1"/>
  <c r="E655" i="1"/>
  <c r="E685" i="1"/>
  <c r="E64" i="1"/>
  <c r="E681" i="1"/>
  <c r="E667" i="1"/>
  <c r="E132" i="1"/>
  <c r="E125" i="1"/>
  <c r="E103" i="1"/>
  <c r="E813" i="1"/>
  <c r="E798" i="1"/>
  <c r="E339" i="1"/>
  <c r="E642" i="1"/>
  <c r="E130" i="1"/>
  <c r="E643" i="1"/>
  <c r="E54" i="1"/>
  <c r="E135" i="1"/>
  <c r="E435" i="1"/>
  <c r="E85" i="1"/>
  <c r="E702" i="1"/>
  <c r="E277" i="1"/>
  <c r="E50" i="1"/>
  <c r="E185" i="1"/>
  <c r="E665" i="1"/>
  <c r="E133" i="1"/>
  <c r="E648" i="1"/>
  <c r="E286" i="1"/>
  <c r="E640" i="1"/>
  <c r="E794" i="1"/>
  <c r="E658" i="1"/>
  <c r="E202" i="1"/>
  <c r="E141" i="1"/>
  <c r="E446" i="1"/>
  <c r="E51" i="1"/>
  <c r="E170" i="1"/>
  <c r="E59" i="1"/>
  <c r="E636" i="1"/>
  <c r="E651" i="1"/>
  <c r="E207" i="1"/>
  <c r="E108" i="1"/>
  <c r="E677" i="1"/>
  <c r="E810" i="1"/>
  <c r="E652" i="1"/>
  <c r="E787" i="1"/>
  <c r="E711" i="1"/>
  <c r="E633" i="1"/>
  <c r="E639" i="1"/>
  <c r="E171" i="1"/>
  <c r="E226" i="1"/>
  <c r="E809" i="1"/>
  <c r="E785" i="1"/>
  <c r="E675" i="1"/>
  <c r="E634" i="1"/>
  <c r="E344" i="1"/>
  <c r="E797" i="1"/>
  <c r="E423" i="1"/>
  <c r="E638" i="1"/>
  <c r="E84" i="1"/>
  <c r="E204" i="1"/>
  <c r="E645" i="1"/>
  <c r="E686" i="1"/>
  <c r="E55" i="1"/>
  <c r="E145" i="1"/>
  <c r="E95" i="1"/>
  <c r="E697" i="1"/>
  <c r="E816" i="1"/>
  <c r="E196" i="1"/>
  <c r="E663" i="1"/>
  <c r="E47" i="1"/>
  <c r="E300" i="1"/>
  <c r="E3" i="1"/>
  <c r="E44" i="1"/>
  <c r="E890" i="1"/>
  <c r="E248" i="1"/>
  <c r="E621" i="1"/>
  <c r="E465" i="1"/>
  <c r="E682" i="1"/>
  <c r="E824" i="1"/>
  <c r="E143" i="1"/>
  <c r="E812" i="1"/>
  <c r="E252" i="1"/>
  <c r="E330" i="1"/>
  <c r="E684" i="1"/>
  <c r="E301" i="1"/>
  <c r="E205" i="1"/>
  <c r="E138" i="1"/>
  <c r="E177" i="1"/>
  <c r="E626" i="1"/>
  <c r="E134" i="1"/>
  <c r="E825" i="1"/>
  <c r="E699" i="1"/>
  <c r="E814" i="1"/>
  <c r="E758" i="1"/>
  <c r="E316" i="1"/>
  <c r="E142" i="1"/>
  <c r="E117" i="1"/>
  <c r="E319" i="1"/>
  <c r="E214" i="1"/>
  <c r="E128" i="1"/>
  <c r="E853" i="1"/>
  <c r="E169" i="1"/>
  <c r="E65" i="1"/>
  <c r="E121" i="1"/>
  <c r="E769" i="1"/>
  <c r="E800" i="1"/>
  <c r="E630" i="1"/>
  <c r="E275" i="1"/>
  <c r="E61" i="1"/>
  <c r="E139" i="1"/>
  <c r="E137" i="1"/>
  <c r="E646" i="1"/>
  <c r="E140" i="1"/>
  <c r="E777" i="1"/>
  <c r="E62" i="1"/>
  <c r="E624" i="1"/>
  <c r="E772" i="1"/>
  <c r="E76" i="1"/>
  <c r="E799" i="1"/>
  <c r="E86" i="1"/>
  <c r="E4" i="1"/>
  <c r="E649" i="1"/>
  <c r="E687" i="1"/>
  <c r="E653" i="1"/>
  <c r="E815" i="1"/>
  <c r="E773" i="1"/>
  <c r="E802" i="1"/>
  <c r="E659" i="1"/>
  <c r="E107" i="1"/>
  <c r="E804" i="1"/>
  <c r="E654" i="1"/>
  <c r="E671" i="1"/>
  <c r="E625" i="1"/>
  <c r="E818" i="1"/>
  <c r="E781" i="1"/>
  <c r="E203" i="1"/>
  <c r="E63" i="1"/>
  <c r="E165" i="1"/>
  <c r="E129" i="1"/>
  <c r="E704" i="1"/>
  <c r="E662" i="1"/>
  <c r="E803" i="1"/>
  <c r="E670" i="1"/>
  <c r="E131" i="1"/>
  <c r="E830" i="1"/>
  <c r="E889" i="1"/>
  <c r="E437" i="1"/>
  <c r="E669" i="1"/>
  <c r="E668" i="1"/>
  <c r="E182" i="1"/>
  <c r="E163" i="1"/>
  <c r="E542" i="1"/>
  <c r="E561" i="1"/>
  <c r="E543" i="1"/>
  <c r="E225" i="1"/>
  <c r="E834" i="1"/>
  <c r="E19" i="1"/>
  <c r="E873" i="1"/>
  <c r="E215" i="1"/>
  <c r="E197" i="1"/>
  <c r="E218" i="1"/>
  <c r="E210" i="1"/>
  <c r="E102" i="1"/>
  <c r="E530" i="1"/>
  <c r="E87" i="1"/>
  <c r="E599" i="1"/>
  <c r="E545" i="1"/>
  <c r="E835" i="1"/>
  <c r="E109" i="1"/>
  <c r="E164" i="1"/>
  <c r="E756" i="1"/>
  <c r="E535" i="1"/>
  <c r="E612" i="1"/>
  <c r="E220" i="1"/>
  <c r="E16" i="1"/>
  <c r="E597" i="1"/>
  <c r="E208" i="1"/>
  <c r="E608" i="1"/>
  <c r="E549" i="1"/>
  <c r="E98" i="1"/>
  <c r="E201" i="1"/>
  <c r="E510" i="1"/>
  <c r="E606" i="1"/>
  <c r="E590" i="1"/>
  <c r="E743" i="1"/>
  <c r="E609" i="1"/>
  <c r="E527" i="1"/>
  <c r="E168" i="1"/>
  <c r="E521" i="1"/>
  <c r="E557" i="1"/>
  <c r="E5" i="1"/>
  <c r="E617" i="1"/>
  <c r="E25" i="1"/>
  <c r="E588" i="1"/>
  <c r="E584" i="1"/>
  <c r="E216" i="1"/>
  <c r="E760" i="1"/>
  <c r="E211" i="1"/>
  <c r="E737" i="1"/>
  <c r="E88" i="1"/>
  <c r="E23" i="1"/>
  <c r="E516" i="1"/>
  <c r="E553" i="1"/>
  <c r="E602" i="1"/>
  <c r="E231" i="1"/>
  <c r="E523" i="1"/>
  <c r="E576" i="1"/>
  <c r="E11" i="1"/>
  <c r="E144" i="1"/>
  <c r="E513" i="1"/>
  <c r="E160" i="1"/>
  <c r="E546" i="1"/>
  <c r="E734" i="1"/>
  <c r="E291" i="1"/>
  <c r="E531" i="1"/>
  <c r="E739" i="1"/>
  <c r="E610" i="1"/>
  <c r="E529" i="1"/>
  <c r="E547" i="1"/>
  <c r="E611" i="1"/>
  <c r="E533" i="1"/>
  <c r="E712" i="1"/>
  <c r="E17" i="1"/>
  <c r="E579" i="1"/>
  <c r="E2" i="1"/>
  <c r="E15" i="1"/>
  <c r="E544" i="1"/>
  <c r="E295" i="1"/>
  <c r="E106" i="1"/>
  <c r="E755" i="1"/>
  <c r="E30" i="1"/>
  <c r="E744" i="1"/>
  <c r="E550" i="1"/>
  <c r="E560" i="1"/>
  <c r="E738" i="1"/>
  <c r="E723" i="1"/>
  <c r="E749" i="1"/>
  <c r="E512" i="1"/>
  <c r="E748" i="1"/>
  <c r="E879" i="1"/>
  <c r="E506" i="1"/>
  <c r="E92" i="1"/>
  <c r="E725" i="1"/>
  <c r="E230" i="1"/>
  <c r="E161" i="1"/>
  <c r="E601" i="1"/>
  <c r="E524" i="1"/>
  <c r="E198" i="1"/>
  <c r="E159" i="1"/>
  <c r="E591" i="1"/>
  <c r="E199" i="1"/>
  <c r="E28" i="1"/>
  <c r="E714" i="1"/>
  <c r="E766" i="1"/>
  <c r="E200" i="1"/>
  <c r="E613" i="1"/>
  <c r="E24" i="1"/>
  <c r="E732" i="1"/>
  <c r="E767" i="1"/>
  <c r="E167" i="1"/>
  <c r="E874" i="1"/>
  <c r="E876" i="1"/>
  <c r="E209" i="1"/>
  <c r="E548" i="1"/>
  <c r="E618" i="1"/>
  <c r="E94" i="1"/>
  <c r="E555" i="1"/>
  <c r="E577" i="1"/>
  <c r="E746" i="1"/>
  <c r="E583" i="1"/>
  <c r="E93" i="1"/>
  <c r="E558" i="1"/>
  <c r="E20" i="1"/>
  <c r="E615" i="1"/>
  <c r="E607" i="1"/>
  <c r="E713" i="1"/>
  <c r="E349" i="1"/>
  <c r="E582" i="1"/>
  <c r="E212" i="1"/>
  <c r="E600" i="1"/>
  <c r="E110" i="1"/>
  <c r="E716" i="1"/>
  <c r="E111" i="1"/>
  <c r="E589" i="1"/>
  <c r="E718" i="1"/>
  <c r="E224" i="1"/>
  <c r="E552" i="1"/>
  <c r="E720" i="1"/>
  <c r="E27" i="1"/>
  <c r="E534" i="1"/>
  <c r="E508" i="1"/>
  <c r="E614" i="1"/>
  <c r="E519" i="1"/>
  <c r="E710" i="1"/>
  <c r="E536" i="1"/>
  <c r="E820" i="1"/>
  <c r="E526" i="1"/>
  <c r="E715" i="1"/>
  <c r="E585" i="1"/>
  <c r="E742" i="1"/>
  <c r="E595" i="1"/>
  <c r="E518" i="1"/>
  <c r="E733" i="1"/>
  <c r="E616" i="1"/>
  <c r="E517" i="1"/>
  <c r="E722" i="1"/>
  <c r="E113" i="1"/>
  <c r="E731" i="1"/>
  <c r="E562" i="1"/>
  <c r="E750" i="1"/>
  <c r="E520" i="1"/>
  <c r="E213" i="1"/>
  <c r="E540" i="1"/>
  <c r="E752" i="1"/>
  <c r="E31" i="1"/>
  <c r="E43" i="1"/>
  <c r="E727" i="1"/>
  <c r="E572" i="1"/>
  <c r="E115" i="1"/>
  <c r="E573" i="1"/>
  <c r="E539" i="1"/>
  <c r="E574" i="1"/>
  <c r="E554" i="1"/>
  <c r="E571" i="1"/>
  <c r="E753" i="1"/>
  <c r="E593" i="1"/>
  <c r="E586" i="1"/>
  <c r="E13" i="1"/>
  <c r="E564" i="1"/>
  <c r="E147" i="1"/>
  <c r="E567" i="1"/>
  <c r="E604" i="1"/>
  <c r="E191" i="1"/>
  <c r="E619" i="1"/>
  <c r="E256" i="1"/>
  <c r="E32" i="1"/>
  <c r="E299" i="1"/>
  <c r="E347" i="1"/>
  <c r="E396" i="1"/>
  <c r="E119" i="1"/>
  <c r="E243" i="1"/>
  <c r="E414" i="1"/>
  <c r="E325" i="1"/>
  <c r="E500" i="1"/>
  <c r="E466" i="1"/>
  <c r="E417" i="1"/>
  <c r="E348" i="1"/>
  <c r="E428" i="1"/>
  <c r="E172" i="1"/>
  <c r="E266" i="1"/>
  <c r="E463" i="1"/>
  <c r="E831" i="1"/>
  <c r="E845" i="1"/>
  <c r="E173" i="1"/>
  <c r="E426" i="1"/>
  <c r="E174" i="1"/>
  <c r="E178" i="1"/>
  <c r="E179" i="1"/>
  <c r="E180" i="1"/>
  <c r="E363" i="1"/>
  <c r="E269" i="1"/>
  <c r="E257" i="1"/>
  <c r="E181" i="1"/>
  <c r="E514" i="1"/>
  <c r="E184" i="1"/>
  <c r="E664" i="1"/>
  <c r="E405" i="1"/>
  <c r="E881" i="1"/>
  <c r="E882" i="1"/>
  <c r="E97" i="1"/>
  <c r="E276" i="1"/>
  <c r="E484" i="1"/>
  <c r="E186" i="1"/>
  <c r="E594" i="1"/>
  <c r="E883" i="1"/>
  <c r="E393" i="1"/>
  <c r="E884" i="1"/>
  <c r="E305" i="1"/>
  <c r="E461" i="1"/>
  <c r="E452" i="1"/>
  <c r="E279" i="1"/>
  <c r="E8" i="1"/>
  <c r="E473" i="1"/>
  <c r="E471" i="1"/>
  <c r="E401" i="1"/>
  <c r="E227" i="1"/>
  <c r="E310" i="1"/>
  <c r="E359" i="1"/>
  <c r="E848" i="1"/>
  <c r="E281" i="1"/>
  <c r="E386" i="1"/>
  <c r="E474" i="1"/>
  <c r="E355" i="1"/>
  <c r="E779" i="1"/>
  <c r="E479" i="1"/>
  <c r="E858" i="1"/>
  <c r="E862" i="1"/>
  <c r="E36" i="1"/>
  <c r="E470" i="1"/>
  <c r="E415" i="1"/>
  <c r="E832" i="1"/>
  <c r="E236" i="1"/>
  <c r="E444" i="1"/>
  <c r="E153" i="1"/>
  <c r="E79" i="1"/>
  <c r="E240" i="1"/>
  <c r="E849" i="1"/>
  <c r="E422" i="1"/>
  <c r="E33" i="1"/>
  <c r="E481" i="1"/>
  <c r="E334" i="1"/>
  <c r="E10" i="1"/>
  <c r="E264" i="1"/>
  <c r="E239" i="1"/>
  <c r="E486" i="1"/>
  <c r="E56" i="1"/>
  <c r="E302" i="1"/>
  <c r="E439" i="1"/>
  <c r="E490" i="1"/>
  <c r="E270" i="1"/>
  <c r="E315" i="1"/>
  <c r="E409" i="1"/>
  <c r="E886" i="1"/>
  <c r="E505" i="1"/>
  <c r="E397" i="1"/>
  <c r="E45" i="1"/>
  <c r="E326" i="1"/>
  <c r="E148" i="1"/>
  <c r="E429" i="1"/>
  <c r="E483" i="1"/>
  <c r="E502" i="1"/>
  <c r="E357" i="1"/>
  <c r="E333" i="1"/>
  <c r="E863" i="1"/>
  <c r="E855" i="1"/>
  <c r="E866" i="1"/>
  <c r="E459" i="1"/>
  <c r="E867" i="1"/>
  <c r="E284" i="1"/>
  <c r="E861" i="1"/>
  <c r="E247" i="1"/>
  <c r="E447" i="1"/>
  <c r="E278" i="1"/>
  <c r="E475" i="1"/>
  <c r="E515" i="1"/>
  <c r="E75" i="1"/>
  <c r="E253" i="1"/>
  <c r="E868" i="1"/>
  <c r="E29" i="1"/>
  <c r="E58" i="1"/>
  <c r="E774" i="1"/>
  <c r="E522" i="1"/>
  <c r="E123" i="1"/>
  <c r="E254" i="1"/>
  <c r="E525" i="1"/>
  <c r="E440" i="1"/>
  <c r="E430" i="1"/>
  <c r="E528" i="1"/>
  <c r="E14" i="1"/>
  <c r="E22" i="1"/>
  <c r="E46" i="1"/>
  <c r="E537" i="1"/>
  <c r="E436" i="1"/>
  <c r="E491" i="1"/>
  <c r="E448" i="1"/>
  <c r="E241" i="1"/>
  <c r="E303" i="1"/>
  <c r="E833" i="1"/>
  <c r="E495" i="1"/>
  <c r="E683" i="1"/>
  <c r="E431" i="1"/>
  <c r="E692" i="1"/>
  <c r="E271" i="1"/>
  <c r="E413" i="1"/>
  <c r="E801" i="1"/>
  <c r="E151" i="1"/>
  <c r="E691" i="1"/>
  <c r="E434" i="1"/>
  <c r="E690" i="1"/>
  <c r="E507" i="1"/>
  <c r="E221" i="1"/>
  <c r="E551" i="1"/>
  <c r="E403" i="1"/>
  <c r="E453" i="1"/>
  <c r="E244" i="1"/>
  <c r="E293" i="1"/>
  <c r="E156" i="1"/>
  <c r="E455" i="1"/>
  <c r="E387" i="1"/>
  <c r="E559" i="1"/>
  <c r="E365" i="1"/>
  <c r="E367" i="1"/>
  <c r="E290" i="1"/>
  <c r="E538" i="1"/>
  <c r="E294" i="1"/>
  <c r="E565" i="1"/>
  <c r="E566" i="1"/>
  <c r="E155" i="1"/>
  <c r="E568" i="1"/>
  <c r="E569" i="1"/>
  <c r="E570" i="1"/>
  <c r="E361" i="1"/>
  <c r="E399" i="1"/>
  <c r="E255" i="1"/>
  <c r="E376" i="1"/>
  <c r="E575" i="1"/>
  <c r="E469" i="1"/>
  <c r="E317" i="1"/>
  <c r="E817" i="1"/>
  <c r="E464" i="1"/>
  <c r="E819" i="1"/>
  <c r="E596" i="1"/>
  <c r="E838" i="1"/>
  <c r="E192" i="1"/>
  <c r="E194" i="1"/>
  <c r="E494" i="1"/>
  <c r="E851" i="1"/>
  <c r="E532" i="1"/>
  <c r="E364" i="1"/>
  <c r="E312" i="1"/>
  <c r="E449" i="1"/>
  <c r="E321" i="1"/>
  <c r="E578" i="1"/>
  <c r="E410" i="1"/>
  <c r="E541" i="1"/>
  <c r="E78" i="1"/>
  <c r="E864" i="1"/>
  <c r="E233" i="1"/>
  <c r="E782" i="1"/>
  <c r="E282" i="1"/>
  <c r="E480" i="1"/>
  <c r="E350" i="1"/>
  <c r="E232" i="1"/>
  <c r="E840" i="1"/>
  <c r="E438" i="1"/>
  <c r="E827" i="1"/>
  <c r="E37" i="1"/>
  <c r="E187" i="1"/>
  <c r="E454" i="1"/>
  <c r="E338" i="1"/>
  <c r="E280" i="1"/>
  <c r="E120" i="1"/>
  <c r="E328" i="1"/>
  <c r="E324" i="1"/>
  <c r="E39" i="1"/>
  <c r="E478" i="1"/>
  <c r="E857" i="1"/>
  <c r="E34" i="1"/>
  <c r="E488" i="1"/>
  <c r="E441" i="1"/>
  <c r="E503" i="1"/>
  <c r="E468" i="1"/>
  <c r="E499" i="1"/>
  <c r="E622" i="1"/>
  <c r="E623" i="1"/>
  <c r="E52" i="1"/>
  <c r="E689" i="1"/>
  <c r="E456" i="1"/>
  <c r="E118" i="1"/>
  <c r="E628" i="1"/>
  <c r="E498" i="1"/>
  <c r="E424" i="1"/>
  <c r="E304" i="1"/>
  <c r="E298" i="1"/>
  <c r="E60" i="1"/>
  <c r="E73" i="1"/>
  <c r="E296" i="1"/>
  <c r="E48" i="1"/>
  <c r="E12" i="1"/>
  <c r="E460" i="1"/>
  <c r="E432" i="1"/>
  <c r="E237" i="1"/>
  <c r="E740" i="1"/>
  <c r="E251" i="1"/>
  <c r="E476" i="1"/>
  <c r="E154" i="1"/>
  <c r="E250" i="1"/>
  <c r="E238" i="1"/>
  <c r="E309" i="1"/>
  <c r="E69" i="1"/>
  <c r="E81" i="1"/>
  <c r="E66" i="1"/>
  <c r="E72" i="1"/>
  <c r="E741" i="1"/>
  <c r="E265" i="1"/>
  <c r="E493" i="1"/>
  <c r="E842" i="1"/>
  <c r="E288" i="1"/>
  <c r="E871" i="1"/>
  <c r="E327" i="1"/>
  <c r="E267" i="1"/>
  <c r="E188" i="1"/>
  <c r="E379" i="1"/>
  <c r="E246" i="1"/>
  <c r="E860" i="1"/>
  <c r="E152" i="1"/>
  <c r="E263" i="1"/>
  <c r="E195" i="1"/>
  <c r="E385" i="1"/>
  <c r="E68" i="1"/>
  <c r="E262" i="1"/>
  <c r="E380" i="1"/>
  <c r="E366" i="1"/>
  <c r="E337" i="1"/>
  <c r="E496" i="1"/>
  <c r="E674" i="1"/>
  <c r="E371" i="1"/>
  <c r="E859" i="1"/>
  <c r="E370" i="1"/>
  <c r="E235" i="1"/>
  <c r="E887" i="1"/>
  <c r="E680" i="1"/>
  <c r="E374" i="1"/>
  <c r="E384" i="1"/>
  <c r="E150" i="1"/>
  <c r="E362" i="1"/>
  <c r="E353" i="1"/>
  <c r="E381" i="1"/>
  <c r="E375" i="1"/>
  <c r="E688" i="1"/>
  <c r="E373" i="1"/>
  <c r="E268" i="1"/>
  <c r="E391" i="1"/>
  <c r="E563" i="1"/>
  <c r="E377" i="1"/>
  <c r="E497" i="1"/>
  <c r="E378" i="1"/>
  <c r="E416" i="1"/>
  <c r="E418" i="1"/>
  <c r="E698" i="1"/>
  <c r="E318" i="1"/>
  <c r="E700" i="1"/>
  <c r="E885" i="1"/>
  <c r="E412" i="1"/>
  <c r="E703" i="1"/>
  <c r="E467" i="1"/>
  <c r="E705" i="1"/>
  <c r="E354" i="1"/>
  <c r="E707" i="1"/>
  <c r="E708" i="1"/>
  <c r="E260" i="1"/>
  <c r="E388" i="1"/>
  <c r="E351" i="1"/>
  <c r="E501" i="1"/>
  <c r="E323" i="1"/>
  <c r="E504" i="1"/>
  <c r="E259" i="1"/>
  <c r="E322" i="1"/>
  <c r="E717" i="1"/>
  <c r="E41" i="1"/>
  <c r="E719" i="1"/>
  <c r="E808" i="1"/>
  <c r="E721" i="1"/>
  <c r="E49" i="1"/>
  <c r="E245" i="1"/>
  <c r="E724" i="1"/>
  <c r="E457" i="1"/>
  <c r="E726" i="1"/>
  <c r="E157" i="1"/>
  <c r="E728" i="1"/>
  <c r="E729" i="1"/>
  <c r="E730" i="1"/>
  <c r="E308" i="1"/>
  <c r="E345" i="1"/>
  <c r="E358" i="1"/>
  <c r="E421" i="1"/>
  <c r="E735" i="1"/>
  <c r="E736" i="1"/>
  <c r="E18" i="1"/>
  <c r="E307" i="1"/>
  <c r="E425" i="1"/>
  <c r="E242" i="1"/>
  <c r="E821" i="1"/>
  <c r="E829" i="1"/>
  <c r="E340" i="1"/>
  <c r="E693" i="1"/>
  <c r="E372" i="1"/>
  <c r="E745" i="1"/>
  <c r="E395" i="1"/>
  <c r="E747" i="1"/>
  <c r="E406" i="1"/>
  <c r="E38" i="1"/>
  <c r="E274" i="1"/>
  <c r="E751" i="1"/>
  <c r="E329" i="1"/>
  <c r="E407" i="1"/>
  <c r="E754" i="1"/>
  <c r="E765" i="1"/>
  <c r="E368" i="1"/>
  <c r="E757" i="1"/>
  <c r="E183" i="1"/>
  <c r="E759" i="1"/>
  <c r="E836" i="1"/>
  <c r="E761" i="1"/>
  <c r="E762" i="1"/>
  <c r="E763" i="1"/>
  <c r="E764" i="1"/>
  <c r="E880" i="1"/>
  <c r="E383" i="1"/>
  <c r="E42" i="1"/>
  <c r="E768" i="1"/>
  <c r="E249" i="1"/>
  <c r="E770" i="1"/>
  <c r="E771" i="1"/>
  <c r="E343" i="1"/>
  <c r="E477" i="1"/>
  <c r="E856" i="1"/>
  <c r="E190" i="1"/>
  <c r="E776" i="1"/>
  <c r="E852" i="1"/>
  <c r="E189" i="1"/>
  <c r="E272" i="1"/>
  <c r="E369" i="1"/>
  <c r="E336" i="1"/>
  <c r="E149" i="1"/>
  <c r="E783" i="1"/>
  <c r="E620" i="1"/>
  <c r="E313" i="1"/>
  <c r="E786" i="1"/>
  <c r="E394" i="1"/>
  <c r="E556" i="1"/>
  <c r="E789" i="1"/>
  <c r="E342" i="1"/>
  <c r="E791" i="1"/>
  <c r="E792" i="1"/>
  <c r="E847" i="1"/>
  <c r="E392" i="1"/>
  <c r="E7" i="1"/>
  <c r="E443" i="1"/>
  <c r="E331" i="1"/>
  <c r="E489" i="1"/>
  <c r="E112" i="1"/>
  <c r="E35" i="1"/>
  <c r="E511" i="1"/>
  <c r="E158" i="1"/>
  <c r="E694" i="1"/>
  <c r="E9" i="1"/>
  <c r="E320" i="1"/>
  <c r="E258" i="1"/>
  <c r="E482" i="1"/>
  <c r="E292" i="1"/>
  <c r="E40" i="1"/>
  <c r="E223" i="1"/>
  <c r="E811" i="1"/>
  <c r="E285" i="1"/>
  <c r="E451" i="1"/>
  <c r="E389" i="1"/>
  <c r="E335" i="1"/>
  <c r="E314" i="1"/>
  <c r="E472" i="1"/>
  <c r="E71" i="1"/>
  <c r="E788" i="1"/>
  <c r="E433" i="1"/>
  <c r="E844" i="1"/>
  <c r="E822" i="1"/>
  <c r="E581" i="1"/>
  <c r="E837" i="1"/>
  <c r="E450" i="1"/>
  <c r="E332" i="1"/>
  <c r="E644" i="1"/>
  <c r="E427" i="1"/>
  <c r="E854" i="1"/>
  <c r="E306" i="1"/>
  <c r="E603" i="1"/>
  <c r="E580" i="1"/>
  <c r="E872" i="1"/>
  <c r="E74" i="1"/>
  <c r="E297" i="1"/>
  <c r="E283" i="1"/>
  <c r="E509" i="1"/>
  <c r="E228" i="1"/>
  <c r="E846" i="1"/>
  <c r="E841" i="1"/>
  <c r="E878" i="1"/>
  <c r="E390" i="1"/>
  <c r="E360" i="1"/>
  <c r="E587" i="1"/>
  <c r="E458" i="1"/>
  <c r="E875" i="1"/>
  <c r="E404" i="1"/>
  <c r="E442" i="1"/>
  <c r="E411" i="1"/>
  <c r="E870" i="1"/>
  <c r="E261" i="1"/>
  <c r="E419" i="1"/>
  <c r="E311" i="1"/>
  <c r="E784" i="1"/>
  <c r="E26" i="1"/>
  <c r="E234" i="1"/>
  <c r="E408" i="1"/>
  <c r="E485" i="1"/>
  <c r="E287" i="1"/>
  <c r="E273" i="1"/>
  <c r="E605" i="1"/>
  <c r="E839" i="1"/>
  <c r="E83" i="1"/>
  <c r="E823" i="1"/>
  <c r="E865" i="1"/>
  <c r="E400" i="1"/>
  <c r="E877" i="1"/>
  <c r="E487" i="1"/>
  <c r="E869" i="1"/>
  <c r="E888" i="1"/>
  <c r="E70" i="1"/>
  <c r="E592" i="1"/>
  <c r="E492" i="1"/>
  <c r="E193" i="1"/>
  <c r="E162" i="1"/>
  <c r="E420" i="1"/>
  <c r="E445" i="1"/>
  <c r="E598" i="1"/>
  <c r="E289" i="1"/>
  <c r="E778" i="1"/>
  <c r="E341" i="1"/>
  <c r="E398" i="1"/>
  <c r="E356" i="1"/>
  <c r="E462" i="1"/>
  <c r="E701" i="1"/>
  <c r="E850" i="1"/>
  <c r="E382" i="1"/>
  <c r="E352" i="1"/>
  <c r="E843" i="1"/>
  <c r="E67" i="1"/>
  <c r="E891" i="1"/>
  <c r="E892" i="1"/>
  <c r="E100" i="1"/>
  <c r="P632" i="1"/>
  <c r="P175" i="1"/>
  <c r="P679" i="1"/>
  <c r="P127" i="1"/>
  <c r="P795" i="1"/>
  <c r="P709" i="1"/>
  <c r="P656" i="1"/>
  <c r="P826" i="1"/>
  <c r="P629" i="1"/>
  <c r="P105" i="1"/>
  <c r="P631" i="1"/>
  <c r="P647" i="1"/>
  <c r="P99" i="1"/>
  <c r="P101" i="1"/>
  <c r="P780" i="1"/>
  <c r="P807" i="1"/>
  <c r="P402" i="1"/>
  <c r="P89" i="1"/>
  <c r="P676" i="1"/>
  <c r="P217" i="1"/>
  <c r="P80" i="1"/>
  <c r="P104" i="1"/>
  <c r="P666" i="1"/>
  <c r="P673" i="1"/>
  <c r="P661" i="1"/>
  <c r="P146" i="1"/>
  <c r="P672" i="1"/>
  <c r="P82" i="1"/>
  <c r="P124" i="1"/>
  <c r="P176" i="1"/>
  <c r="P206" i="1"/>
  <c r="P346" i="1"/>
  <c r="P796" i="1"/>
  <c r="P696" i="1"/>
  <c r="P222" i="1"/>
  <c r="P828" i="1"/>
  <c r="P655" i="1"/>
  <c r="P685" i="1"/>
  <c r="P64" i="1"/>
  <c r="P681" i="1"/>
  <c r="P667" i="1"/>
  <c r="P132" i="1"/>
  <c r="P125" i="1"/>
  <c r="P103" i="1"/>
  <c r="P813" i="1"/>
  <c r="P798" i="1"/>
  <c r="P339" i="1"/>
  <c r="P642" i="1"/>
  <c r="P130" i="1"/>
  <c r="P643" i="1"/>
  <c r="P54" i="1"/>
  <c r="P135" i="1"/>
  <c r="P435" i="1"/>
  <c r="P85" i="1"/>
  <c r="P702" i="1"/>
  <c r="P277" i="1"/>
  <c r="P50" i="1"/>
  <c r="P185" i="1"/>
  <c r="P665" i="1"/>
  <c r="P133" i="1"/>
  <c r="P648" i="1"/>
  <c r="P286" i="1"/>
  <c r="P640" i="1"/>
  <c r="P794" i="1"/>
  <c r="P658" i="1"/>
  <c r="P202" i="1"/>
  <c r="P141" i="1"/>
  <c r="P446" i="1"/>
  <c r="P51" i="1"/>
  <c r="P170" i="1"/>
  <c r="P59" i="1"/>
  <c r="P636" i="1"/>
  <c r="P651" i="1"/>
  <c r="P207" i="1"/>
  <c r="P108" i="1"/>
  <c r="P677" i="1"/>
  <c r="P810" i="1"/>
  <c r="P652" i="1"/>
  <c r="P787" i="1"/>
  <c r="P711" i="1"/>
  <c r="P633" i="1"/>
  <c r="P639" i="1"/>
  <c r="P171" i="1"/>
  <c r="P226" i="1"/>
  <c r="P809" i="1"/>
  <c r="P785" i="1"/>
  <c r="P675" i="1"/>
  <c r="P634" i="1"/>
  <c r="P344" i="1"/>
  <c r="P797" i="1"/>
  <c r="P423" i="1"/>
  <c r="P638" i="1"/>
  <c r="P84" i="1"/>
  <c r="P204" i="1"/>
  <c r="P645" i="1"/>
  <c r="P686" i="1"/>
  <c r="P55" i="1"/>
  <c r="P145" i="1"/>
  <c r="P95" i="1"/>
  <c r="P697" i="1"/>
  <c r="P816" i="1"/>
  <c r="P196" i="1"/>
  <c r="P663" i="1"/>
  <c r="P47" i="1"/>
  <c r="P300" i="1"/>
  <c r="P3" i="1"/>
  <c r="P44" i="1"/>
  <c r="P890" i="1"/>
  <c r="P248" i="1"/>
  <c r="P621" i="1"/>
  <c r="P465" i="1"/>
  <c r="P682" i="1"/>
  <c r="P824" i="1"/>
  <c r="P143" i="1"/>
  <c r="P812" i="1"/>
  <c r="P252" i="1"/>
  <c r="P330" i="1"/>
  <c r="P684" i="1"/>
  <c r="P301" i="1"/>
  <c r="P205" i="1"/>
  <c r="P138" i="1"/>
  <c r="P177" i="1"/>
  <c r="P626" i="1"/>
  <c r="P134" i="1"/>
  <c r="P825" i="1"/>
  <c r="P699" i="1"/>
  <c r="P814" i="1"/>
  <c r="P758" i="1"/>
  <c r="P316" i="1"/>
  <c r="P142" i="1"/>
  <c r="P117" i="1"/>
  <c r="P319" i="1"/>
  <c r="P214" i="1"/>
  <c r="P128" i="1"/>
  <c r="P853" i="1"/>
  <c r="P169" i="1"/>
  <c r="P65" i="1"/>
  <c r="P121" i="1"/>
  <c r="P769" i="1"/>
  <c r="P800" i="1"/>
  <c r="P630" i="1"/>
  <c r="P275" i="1"/>
  <c r="P61" i="1"/>
  <c r="P139" i="1"/>
  <c r="P137" i="1"/>
  <c r="P646" i="1"/>
  <c r="P140" i="1"/>
  <c r="P777" i="1"/>
  <c r="P62" i="1"/>
  <c r="P624" i="1"/>
  <c r="P772" i="1"/>
  <c r="P76" i="1"/>
  <c r="P799" i="1"/>
  <c r="P86" i="1"/>
  <c r="P4" i="1"/>
  <c r="P649" i="1"/>
  <c r="P687" i="1"/>
  <c r="P653" i="1"/>
  <c r="P815" i="1"/>
  <c r="P773" i="1"/>
  <c r="P802" i="1"/>
  <c r="P659" i="1"/>
  <c r="P107" i="1"/>
  <c r="P804" i="1"/>
  <c r="P654" i="1"/>
  <c r="P671" i="1"/>
  <c r="P625" i="1"/>
  <c r="P818" i="1"/>
  <c r="P781" i="1"/>
  <c r="P203" i="1"/>
  <c r="P63" i="1"/>
  <c r="P165" i="1"/>
  <c r="P129" i="1"/>
  <c r="P704" i="1"/>
  <c r="P662" i="1"/>
  <c r="P803" i="1"/>
  <c r="P670" i="1"/>
  <c r="P131" i="1"/>
  <c r="P830" i="1"/>
  <c r="P889" i="1"/>
  <c r="P437" i="1"/>
  <c r="P669" i="1"/>
  <c r="P668" i="1"/>
  <c r="P182" i="1"/>
  <c r="P163" i="1"/>
  <c r="P542" i="1"/>
  <c r="P561" i="1"/>
  <c r="P543" i="1"/>
  <c r="P225" i="1"/>
  <c r="P834" i="1"/>
  <c r="P19" i="1"/>
  <c r="P873" i="1"/>
  <c r="P215" i="1"/>
  <c r="P197" i="1"/>
  <c r="P218" i="1"/>
  <c r="P210" i="1"/>
  <c r="P102" i="1"/>
  <c r="P530" i="1"/>
  <c r="P87" i="1"/>
  <c r="P599" i="1"/>
  <c r="P545" i="1"/>
  <c r="P835" i="1"/>
  <c r="P109" i="1"/>
  <c r="P164" i="1"/>
  <c r="P756" i="1"/>
  <c r="P535" i="1"/>
  <c r="P612" i="1"/>
  <c r="P220" i="1"/>
  <c r="P16" i="1"/>
  <c r="P597" i="1"/>
  <c r="P208" i="1"/>
  <c r="P608" i="1"/>
  <c r="P549" i="1"/>
  <c r="P98" i="1"/>
  <c r="P201" i="1"/>
  <c r="P510" i="1"/>
  <c r="P606" i="1"/>
  <c r="P590" i="1"/>
  <c r="P743" i="1"/>
  <c r="P609" i="1"/>
  <c r="P527" i="1"/>
  <c r="P168" i="1"/>
  <c r="P521" i="1"/>
  <c r="P557" i="1"/>
  <c r="P5" i="1"/>
  <c r="P617" i="1"/>
  <c r="P25" i="1"/>
  <c r="P588" i="1"/>
  <c r="P584" i="1"/>
  <c r="P216" i="1"/>
  <c r="P760" i="1"/>
  <c r="P211" i="1"/>
  <c r="P737" i="1"/>
  <c r="P88" i="1"/>
  <c r="P23" i="1"/>
  <c r="P516" i="1"/>
  <c r="P553" i="1"/>
  <c r="P602" i="1"/>
  <c r="P231" i="1"/>
  <c r="P523" i="1"/>
  <c r="P576" i="1"/>
  <c r="P11" i="1"/>
  <c r="P144" i="1"/>
  <c r="P513" i="1"/>
  <c r="P160" i="1"/>
  <c r="P546" i="1"/>
  <c r="P734" i="1"/>
  <c r="P291" i="1"/>
  <c r="P531" i="1"/>
  <c r="P739" i="1"/>
  <c r="P610" i="1"/>
  <c r="P529" i="1"/>
  <c r="P547" i="1"/>
  <c r="P611" i="1"/>
  <c r="P533" i="1"/>
  <c r="P712" i="1"/>
  <c r="P17" i="1"/>
  <c r="P579" i="1"/>
  <c r="P2" i="1"/>
  <c r="P15" i="1"/>
  <c r="P544" i="1"/>
  <c r="P295" i="1"/>
  <c r="P106" i="1"/>
  <c r="P755" i="1"/>
  <c r="P30" i="1"/>
  <c r="P744" i="1"/>
  <c r="P550" i="1"/>
  <c r="P560" i="1"/>
  <c r="P738" i="1"/>
  <c r="P723" i="1"/>
  <c r="P749" i="1"/>
  <c r="P512" i="1"/>
  <c r="P748" i="1"/>
  <c r="P879" i="1"/>
  <c r="P506" i="1"/>
  <c r="P92" i="1"/>
  <c r="P725" i="1"/>
  <c r="P230" i="1"/>
  <c r="P161" i="1"/>
  <c r="P601" i="1"/>
  <c r="P524" i="1"/>
  <c r="P198" i="1"/>
  <c r="P159" i="1"/>
  <c r="P591" i="1"/>
  <c r="P199" i="1"/>
  <c r="P28" i="1"/>
  <c r="P714" i="1"/>
  <c r="P766" i="1"/>
  <c r="P200" i="1"/>
  <c r="P613" i="1"/>
  <c r="P24" i="1"/>
  <c r="P732" i="1"/>
  <c r="P767" i="1"/>
  <c r="P167" i="1"/>
  <c r="P874" i="1"/>
  <c r="P876" i="1"/>
  <c r="P209" i="1"/>
  <c r="P548" i="1"/>
  <c r="P618" i="1"/>
  <c r="P94" i="1"/>
  <c r="P555" i="1"/>
  <c r="P577" i="1"/>
  <c r="P746" i="1"/>
  <c r="P583" i="1"/>
  <c r="P93" i="1"/>
  <c r="P558" i="1"/>
  <c r="P20" i="1"/>
  <c r="P615" i="1"/>
  <c r="P607" i="1"/>
  <c r="P713" i="1"/>
  <c r="P349" i="1"/>
  <c r="P582" i="1"/>
  <c r="P212" i="1"/>
  <c r="P600" i="1"/>
  <c r="P110" i="1"/>
  <c r="P716" i="1"/>
  <c r="P111" i="1"/>
  <c r="P589" i="1"/>
  <c r="P718" i="1"/>
  <c r="P224" i="1"/>
  <c r="P552" i="1"/>
  <c r="P720" i="1"/>
  <c r="P27" i="1"/>
  <c r="P534" i="1"/>
  <c r="P508" i="1"/>
  <c r="P614" i="1"/>
  <c r="P519" i="1"/>
  <c r="P710" i="1"/>
  <c r="P536" i="1"/>
  <c r="P820" i="1"/>
  <c r="P526" i="1"/>
  <c r="P715" i="1"/>
  <c r="P585" i="1"/>
  <c r="P742" i="1"/>
  <c r="P595" i="1"/>
  <c r="P518" i="1"/>
  <c r="P733" i="1"/>
  <c r="P616" i="1"/>
  <c r="P517" i="1"/>
  <c r="P722" i="1"/>
  <c r="P113" i="1"/>
  <c r="P731" i="1"/>
  <c r="P562" i="1"/>
  <c r="P750" i="1"/>
  <c r="P520" i="1"/>
  <c r="P213" i="1"/>
  <c r="P540" i="1"/>
  <c r="P752" i="1"/>
  <c r="P31" i="1"/>
  <c r="P43" i="1"/>
  <c r="P727" i="1"/>
  <c r="P572" i="1"/>
  <c r="P115" i="1"/>
  <c r="P573" i="1"/>
  <c r="P539" i="1"/>
  <c r="P574" i="1"/>
  <c r="P554" i="1"/>
  <c r="P571" i="1"/>
  <c r="P753" i="1"/>
  <c r="P593" i="1"/>
  <c r="P586" i="1"/>
  <c r="P13" i="1"/>
  <c r="P564" i="1"/>
  <c r="P147" i="1"/>
  <c r="P567" i="1"/>
  <c r="P604" i="1"/>
  <c r="P191" i="1"/>
  <c r="P619" i="1"/>
  <c r="P256" i="1"/>
  <c r="P32" i="1"/>
  <c r="P299" i="1"/>
  <c r="P347" i="1"/>
  <c r="P396" i="1"/>
  <c r="P119" i="1"/>
  <c r="P243" i="1"/>
  <c r="P414" i="1"/>
  <c r="P325" i="1"/>
  <c r="P500" i="1"/>
  <c r="P466" i="1"/>
  <c r="P417" i="1"/>
  <c r="P348" i="1"/>
  <c r="P428" i="1"/>
  <c r="P172" i="1"/>
  <c r="P266" i="1"/>
  <c r="P463" i="1"/>
  <c r="P831" i="1"/>
  <c r="P845" i="1"/>
  <c r="P173" i="1"/>
  <c r="P426" i="1"/>
  <c r="P174" i="1"/>
  <c r="P178" i="1"/>
  <c r="P179" i="1"/>
  <c r="P180" i="1"/>
  <c r="P363" i="1"/>
  <c r="P269" i="1"/>
  <c r="P257" i="1"/>
  <c r="P181" i="1"/>
  <c r="P514" i="1"/>
  <c r="P184" i="1"/>
  <c r="P664" i="1"/>
  <c r="P405" i="1"/>
  <c r="P881" i="1"/>
  <c r="P882" i="1"/>
  <c r="P97" i="1"/>
  <c r="P276" i="1"/>
  <c r="P484" i="1"/>
  <c r="P186" i="1"/>
  <c r="P594" i="1"/>
  <c r="P883" i="1"/>
  <c r="P393" i="1"/>
  <c r="P884" i="1"/>
  <c r="P305" i="1"/>
  <c r="P461" i="1"/>
  <c r="P452" i="1"/>
  <c r="P279" i="1"/>
  <c r="P8" i="1"/>
  <c r="P473" i="1"/>
  <c r="P471" i="1"/>
  <c r="P401" i="1"/>
  <c r="P227" i="1"/>
  <c r="P310" i="1"/>
  <c r="P359" i="1"/>
  <c r="P848" i="1"/>
  <c r="P281" i="1"/>
  <c r="P386" i="1"/>
  <c r="P474" i="1"/>
  <c r="P355" i="1"/>
  <c r="P779" i="1"/>
  <c r="P479" i="1"/>
  <c r="P858" i="1"/>
  <c r="P862" i="1"/>
  <c r="P36" i="1"/>
  <c r="P470" i="1"/>
  <c r="P415" i="1"/>
  <c r="P832" i="1"/>
  <c r="P236" i="1"/>
  <c r="P444" i="1"/>
  <c r="P153" i="1"/>
  <c r="P79" i="1"/>
  <c r="P240" i="1"/>
  <c r="P849" i="1"/>
  <c r="P422" i="1"/>
  <c r="P33" i="1"/>
  <c r="P481" i="1"/>
  <c r="P334" i="1"/>
  <c r="P10" i="1"/>
  <c r="P264" i="1"/>
  <c r="P239" i="1"/>
  <c r="P486" i="1"/>
  <c r="P56" i="1"/>
  <c r="P302" i="1"/>
  <c r="P439" i="1"/>
  <c r="P490" i="1"/>
  <c r="P270" i="1"/>
  <c r="P315" i="1"/>
  <c r="P409" i="1"/>
  <c r="P886" i="1"/>
  <c r="P505" i="1"/>
  <c r="P397" i="1"/>
  <c r="P45" i="1"/>
  <c r="P326" i="1"/>
  <c r="P148" i="1"/>
  <c r="P429" i="1"/>
  <c r="P483" i="1"/>
  <c r="P502" i="1"/>
  <c r="P357" i="1"/>
  <c r="P333" i="1"/>
  <c r="P863" i="1"/>
  <c r="P855" i="1"/>
  <c r="P866" i="1"/>
  <c r="P459" i="1"/>
  <c r="P867" i="1"/>
  <c r="P284" i="1"/>
  <c r="P861" i="1"/>
  <c r="P247" i="1"/>
  <c r="P447" i="1"/>
  <c r="P278" i="1"/>
  <c r="P475" i="1"/>
  <c r="P515" i="1"/>
  <c r="P75" i="1"/>
  <c r="P253" i="1"/>
  <c r="P868" i="1"/>
  <c r="P29" i="1"/>
  <c r="P58" i="1"/>
  <c r="P774" i="1"/>
  <c r="P522" i="1"/>
  <c r="P123" i="1"/>
  <c r="P254" i="1"/>
  <c r="P525" i="1"/>
  <c r="P440" i="1"/>
  <c r="P430" i="1"/>
  <c r="P528" i="1"/>
  <c r="P14" i="1"/>
  <c r="P22" i="1"/>
  <c r="P46" i="1"/>
  <c r="P537" i="1"/>
  <c r="P436" i="1"/>
  <c r="P491" i="1"/>
  <c r="P448" i="1"/>
  <c r="P241" i="1"/>
  <c r="P303" i="1"/>
  <c r="P833" i="1"/>
  <c r="P495" i="1"/>
  <c r="P683" i="1"/>
  <c r="P431" i="1"/>
  <c r="P692" i="1"/>
  <c r="P271" i="1"/>
  <c r="P413" i="1"/>
  <c r="P801" i="1"/>
  <c r="P151" i="1"/>
  <c r="P691" i="1"/>
  <c r="P434" i="1"/>
  <c r="P690" i="1"/>
  <c r="P507" i="1"/>
  <c r="P221" i="1"/>
  <c r="P551" i="1"/>
  <c r="P403" i="1"/>
  <c r="P453" i="1"/>
  <c r="P244" i="1"/>
  <c r="P293" i="1"/>
  <c r="P156" i="1"/>
  <c r="P455" i="1"/>
  <c r="P387" i="1"/>
  <c r="P559" i="1"/>
  <c r="P365" i="1"/>
  <c r="P367" i="1"/>
  <c r="P290" i="1"/>
  <c r="P538" i="1"/>
  <c r="P294" i="1"/>
  <c r="P565" i="1"/>
  <c r="P566" i="1"/>
  <c r="P155" i="1"/>
  <c r="P568" i="1"/>
  <c r="P569" i="1"/>
  <c r="P570" i="1"/>
  <c r="P361" i="1"/>
  <c r="P399" i="1"/>
  <c r="P255" i="1"/>
  <c r="P376" i="1"/>
  <c r="P575" i="1"/>
  <c r="P469" i="1"/>
  <c r="P317" i="1"/>
  <c r="P817" i="1"/>
  <c r="P464" i="1"/>
  <c r="P819" i="1"/>
  <c r="P596" i="1"/>
  <c r="P838" i="1"/>
  <c r="P192" i="1"/>
  <c r="P194" i="1"/>
  <c r="P494" i="1"/>
  <c r="P851" i="1"/>
  <c r="P532" i="1"/>
  <c r="P364" i="1"/>
  <c r="P312" i="1"/>
  <c r="P449" i="1"/>
  <c r="P321" i="1"/>
  <c r="P578" i="1"/>
  <c r="P410" i="1"/>
  <c r="P541" i="1"/>
  <c r="P78" i="1"/>
  <c r="P864" i="1"/>
  <c r="P233" i="1"/>
  <c r="P782" i="1"/>
  <c r="P282" i="1"/>
  <c r="P480" i="1"/>
  <c r="P350" i="1"/>
  <c r="P232" i="1"/>
  <c r="P840" i="1"/>
  <c r="P438" i="1"/>
  <c r="P827" i="1"/>
  <c r="P37" i="1"/>
  <c r="P187" i="1"/>
  <c r="P454" i="1"/>
  <c r="P338" i="1"/>
  <c r="P280" i="1"/>
  <c r="P120" i="1"/>
  <c r="P328" i="1"/>
  <c r="P324" i="1"/>
  <c r="P39" i="1"/>
  <c r="P478" i="1"/>
  <c r="P857" i="1"/>
  <c r="P34" i="1"/>
  <c r="P488" i="1"/>
  <c r="P441" i="1"/>
  <c r="P503" i="1"/>
  <c r="P468" i="1"/>
  <c r="P499" i="1"/>
  <c r="P622" i="1"/>
  <c r="P623" i="1"/>
  <c r="P52" i="1"/>
  <c r="P689" i="1"/>
  <c r="P456" i="1"/>
  <c r="P118" i="1"/>
  <c r="P628" i="1"/>
  <c r="P498" i="1"/>
  <c r="P424" i="1"/>
  <c r="P304" i="1"/>
  <c r="P298" i="1"/>
  <c r="P60" i="1"/>
  <c r="P73" i="1"/>
  <c r="P296" i="1"/>
  <c r="P48" i="1"/>
  <c r="P12" i="1"/>
  <c r="P460" i="1"/>
  <c r="P432" i="1"/>
  <c r="P237" i="1"/>
  <c r="P740" i="1"/>
  <c r="P251" i="1"/>
  <c r="P476" i="1"/>
  <c r="P154" i="1"/>
  <c r="P250" i="1"/>
  <c r="P238" i="1"/>
  <c r="P309" i="1"/>
  <c r="P69" i="1"/>
  <c r="P81" i="1"/>
  <c r="P66" i="1"/>
  <c r="P72" i="1"/>
  <c r="P741" i="1"/>
  <c r="P265" i="1"/>
  <c r="P493" i="1"/>
  <c r="P842" i="1"/>
  <c r="P288" i="1"/>
  <c r="P871" i="1"/>
  <c r="P327" i="1"/>
  <c r="P267" i="1"/>
  <c r="P188" i="1"/>
  <c r="P379" i="1"/>
  <c r="P246" i="1"/>
  <c r="P860" i="1"/>
  <c r="P152" i="1"/>
  <c r="P263" i="1"/>
  <c r="P195" i="1"/>
  <c r="P385" i="1"/>
  <c r="P68" i="1"/>
  <c r="P262" i="1"/>
  <c r="P380" i="1"/>
  <c r="P366" i="1"/>
  <c r="P337" i="1"/>
  <c r="P496" i="1"/>
  <c r="P674" i="1"/>
  <c r="P371" i="1"/>
  <c r="P859" i="1"/>
  <c r="P370" i="1"/>
  <c r="P235" i="1"/>
  <c r="P887" i="1"/>
  <c r="P680" i="1"/>
  <c r="P374" i="1"/>
  <c r="P384" i="1"/>
  <c r="P150" i="1"/>
  <c r="P362" i="1"/>
  <c r="P353" i="1"/>
  <c r="P381" i="1"/>
  <c r="P375" i="1"/>
  <c r="P688" i="1"/>
  <c r="P373" i="1"/>
  <c r="P268" i="1"/>
  <c r="P391" i="1"/>
  <c r="P563" i="1"/>
  <c r="P377" i="1"/>
  <c r="P497" i="1"/>
  <c r="P378" i="1"/>
  <c r="P416" i="1"/>
  <c r="P418" i="1"/>
  <c r="P698" i="1"/>
  <c r="P318" i="1"/>
  <c r="P700" i="1"/>
  <c r="P885" i="1"/>
  <c r="P412" i="1"/>
  <c r="P703" i="1"/>
  <c r="P467" i="1"/>
  <c r="P705" i="1"/>
  <c r="P354" i="1"/>
  <c r="P707" i="1"/>
  <c r="P708" i="1"/>
  <c r="P260" i="1"/>
  <c r="P388" i="1"/>
  <c r="P351" i="1"/>
  <c r="P501" i="1"/>
  <c r="P323" i="1"/>
  <c r="P504" i="1"/>
  <c r="P259" i="1"/>
  <c r="P322" i="1"/>
  <c r="P717" i="1"/>
  <c r="P41" i="1"/>
  <c r="P719" i="1"/>
  <c r="P808" i="1"/>
  <c r="P721" i="1"/>
  <c r="P49" i="1"/>
  <c r="P245" i="1"/>
  <c r="P724" i="1"/>
  <c r="P457" i="1"/>
  <c r="P726" i="1"/>
  <c r="P157" i="1"/>
  <c r="P728" i="1"/>
  <c r="P729" i="1"/>
  <c r="P730" i="1"/>
  <c r="P308" i="1"/>
  <c r="P345" i="1"/>
  <c r="P358" i="1"/>
  <c r="P421" i="1"/>
  <c r="P735" i="1"/>
  <c r="P736" i="1"/>
  <c r="P18" i="1"/>
  <c r="P307" i="1"/>
  <c r="P425" i="1"/>
  <c r="P242" i="1"/>
  <c r="P821" i="1"/>
  <c r="P829" i="1"/>
  <c r="P340" i="1"/>
  <c r="P693" i="1"/>
  <c r="P372" i="1"/>
  <c r="P745" i="1"/>
  <c r="P395" i="1"/>
  <c r="P747" i="1"/>
  <c r="P406" i="1"/>
  <c r="P38" i="1"/>
  <c r="P274" i="1"/>
  <c r="P751" i="1"/>
  <c r="P329" i="1"/>
  <c r="P407" i="1"/>
  <c r="P754" i="1"/>
  <c r="P765" i="1"/>
  <c r="P368" i="1"/>
  <c r="P757" i="1"/>
  <c r="P183" i="1"/>
  <c r="P759" i="1"/>
  <c r="P836" i="1"/>
  <c r="P761" i="1"/>
  <c r="P762" i="1"/>
  <c r="P763" i="1"/>
  <c r="P764" i="1"/>
  <c r="P880" i="1"/>
  <c r="P383" i="1"/>
  <c r="P42" i="1"/>
  <c r="P768" i="1"/>
  <c r="P249" i="1"/>
  <c r="P770" i="1"/>
  <c r="P771" i="1"/>
  <c r="P343" i="1"/>
  <c r="P477" i="1"/>
  <c r="P856" i="1"/>
  <c r="P190" i="1"/>
  <c r="P776" i="1"/>
  <c r="P852" i="1"/>
  <c r="P189" i="1"/>
  <c r="P272" i="1"/>
  <c r="P369" i="1"/>
  <c r="P336" i="1"/>
  <c r="P149" i="1"/>
  <c r="P783" i="1"/>
  <c r="P620" i="1"/>
  <c r="P313" i="1"/>
  <c r="P786" i="1"/>
  <c r="P394" i="1"/>
  <c r="P556" i="1"/>
  <c r="P789" i="1"/>
  <c r="P342" i="1"/>
  <c r="P791" i="1"/>
  <c r="P792" i="1"/>
  <c r="P847" i="1"/>
  <c r="P392" i="1"/>
  <c r="P7" i="1"/>
  <c r="P443" i="1"/>
  <c r="P331" i="1"/>
  <c r="P489" i="1"/>
  <c r="P112" i="1"/>
  <c r="P35" i="1"/>
  <c r="P511" i="1"/>
  <c r="P158" i="1"/>
  <c r="P694" i="1"/>
  <c r="P9" i="1"/>
  <c r="P320" i="1"/>
  <c r="P258" i="1"/>
  <c r="P482" i="1"/>
  <c r="P292" i="1"/>
  <c r="P40" i="1"/>
  <c r="P223" i="1"/>
  <c r="P811" i="1"/>
  <c r="P285" i="1"/>
  <c r="P451" i="1"/>
  <c r="P389" i="1"/>
  <c r="P335" i="1"/>
  <c r="P314" i="1"/>
  <c r="P472" i="1"/>
  <c r="P71" i="1"/>
  <c r="P788" i="1"/>
  <c r="P433" i="1"/>
  <c r="P844" i="1"/>
  <c r="P822" i="1"/>
  <c r="P581" i="1"/>
  <c r="P837" i="1"/>
  <c r="P450" i="1"/>
  <c r="P332" i="1"/>
  <c r="P644" i="1"/>
  <c r="P427" i="1"/>
  <c r="P854" i="1"/>
  <c r="P306" i="1"/>
  <c r="P603" i="1"/>
  <c r="P580" i="1"/>
  <c r="P872" i="1"/>
  <c r="P74" i="1"/>
  <c r="P297" i="1"/>
  <c r="P283" i="1"/>
  <c r="P509" i="1"/>
  <c r="P228" i="1"/>
  <c r="P846" i="1"/>
  <c r="P841" i="1"/>
  <c r="P878" i="1"/>
  <c r="P390" i="1"/>
  <c r="P360" i="1"/>
  <c r="P587" i="1"/>
  <c r="P458" i="1"/>
  <c r="P875" i="1"/>
  <c r="P404" i="1"/>
  <c r="P442" i="1"/>
  <c r="P411" i="1"/>
  <c r="P870" i="1"/>
  <c r="P261" i="1"/>
  <c r="P419" i="1"/>
  <c r="P311" i="1"/>
  <c r="P784" i="1"/>
  <c r="P26" i="1"/>
  <c r="P234" i="1"/>
  <c r="P408" i="1"/>
  <c r="P485" i="1"/>
  <c r="P287" i="1"/>
  <c r="P273" i="1"/>
  <c r="P605" i="1"/>
  <c r="P839" i="1"/>
  <c r="P83" i="1"/>
  <c r="P823" i="1"/>
  <c r="P865" i="1"/>
  <c r="P400" i="1"/>
  <c r="P877" i="1"/>
  <c r="P487" i="1"/>
  <c r="P869" i="1"/>
  <c r="P888" i="1"/>
  <c r="P70" i="1"/>
  <c r="P592" i="1"/>
  <c r="P492" i="1"/>
  <c r="P193" i="1"/>
  <c r="P162" i="1"/>
  <c r="P420" i="1"/>
  <c r="P445" i="1"/>
  <c r="P598" i="1"/>
  <c r="P289" i="1"/>
  <c r="P778" i="1"/>
  <c r="P341" i="1"/>
  <c r="P398" i="1"/>
  <c r="P356" i="1"/>
  <c r="P462" i="1"/>
  <c r="P701" i="1"/>
  <c r="P850" i="1"/>
  <c r="P382" i="1"/>
  <c r="P352" i="1"/>
  <c r="P843" i="1"/>
  <c r="P67" i="1"/>
  <c r="P891" i="1"/>
  <c r="P892" i="1"/>
  <c r="P6" i="1"/>
  <c r="P805" i="1"/>
  <c r="P77" i="1"/>
  <c r="P53" i="1"/>
  <c r="P650" i="1"/>
  <c r="P706" i="1"/>
  <c r="P57" i="1"/>
  <c r="P806" i="1"/>
  <c r="P641" i="1"/>
  <c r="P136" i="1"/>
  <c r="P122" i="1"/>
  <c r="P637" i="1"/>
  <c r="P126" i="1"/>
  <c r="P790" i="1"/>
  <c r="P229" i="1"/>
  <c r="P219" i="1"/>
  <c r="P96" i="1"/>
  <c r="P90" i="1"/>
  <c r="P114" i="1"/>
  <c r="P91" i="1"/>
  <c r="P635" i="1"/>
  <c r="P116" i="1"/>
  <c r="P166" i="1"/>
  <c r="P21" i="1"/>
  <c r="P695" i="1"/>
  <c r="P657" i="1"/>
  <c r="P775" i="1"/>
  <c r="P660" i="1"/>
  <c r="P678" i="1"/>
  <c r="P793" i="1"/>
  <c r="P627" i="1"/>
  <c r="P100" i="1"/>
</calcChain>
</file>

<file path=xl/sharedStrings.xml><?xml version="1.0" encoding="utf-8"?>
<sst xmlns="http://schemas.openxmlformats.org/spreadsheetml/2006/main" count="8055" uniqueCount="1324">
  <si>
    <t>PassengerId</t>
  </si>
  <si>
    <t>Survived</t>
  </si>
  <si>
    <t>Pclass</t>
  </si>
  <si>
    <t>Name</t>
  </si>
  <si>
    <t>Sex</t>
  </si>
  <si>
    <t>Age</t>
  </si>
  <si>
    <t>SibSp</t>
  </si>
  <si>
    <t>Parch</t>
  </si>
  <si>
    <t>Ticket</t>
  </si>
  <si>
    <t>Fare</t>
  </si>
  <si>
    <t>Cabin</t>
  </si>
  <si>
    <t>Deck</t>
  </si>
  <si>
    <t>Embarked</t>
  </si>
  <si>
    <t>Cumings, Mrs. John Bradley (Florence Briggs Thayer)</t>
  </si>
  <si>
    <t>female</t>
  </si>
  <si>
    <t>PC 17599</t>
  </si>
  <si>
    <t>C85</t>
  </si>
  <si>
    <t>C</t>
  </si>
  <si>
    <t>Futrelle, Mrs. Jacques Heath (Lily May Peel)</t>
  </si>
  <si>
    <t>C123</t>
  </si>
  <si>
    <t>S</t>
  </si>
  <si>
    <t>Count of PassengerId</t>
  </si>
  <si>
    <t>Column Labels</t>
  </si>
  <si>
    <t>Robbins, Mr. Victor</t>
  </si>
  <si>
    <t>male</t>
  </si>
  <si>
    <t>PC 17757</t>
  </si>
  <si>
    <t>Row Labels</t>
  </si>
  <si>
    <t>P(S)</t>
  </si>
  <si>
    <t>observations</t>
  </si>
  <si>
    <t>McCarthy, Mr. Timothy J</t>
  </si>
  <si>
    <t>E46</t>
  </si>
  <si>
    <t>E</t>
  </si>
  <si>
    <t>Bonnell, Miss. Elizabeth</t>
  </si>
  <si>
    <t>C103</t>
  </si>
  <si>
    <t>Farthing, Mr. John</t>
  </si>
  <si>
    <t>PC 17483</t>
  </si>
  <si>
    <t>C95</t>
  </si>
  <si>
    <t>Spencer, Mrs. William Augustus (Marie Eugenie)</t>
  </si>
  <si>
    <t>PC 17569</t>
  </si>
  <si>
    <t>B78</t>
  </si>
  <si>
    <t>B</t>
  </si>
  <si>
    <t>Sloper, Mr. William Thompson</t>
  </si>
  <si>
    <t>A6</t>
  </si>
  <si>
    <t>A</t>
  </si>
  <si>
    <t>Frauenthal, Mrs. Henry William (Clara Heinsheimer)</t>
  </si>
  <si>
    <t>PC 17611</t>
  </si>
  <si>
    <t>Fortune, Mr. Charles Alexander</t>
  </si>
  <si>
    <t>C23 C25 C27</t>
  </si>
  <si>
    <t>Fleming, Miss. Margaret</t>
  </si>
  <si>
    <t>Goldenberg, Mrs. Samuel L (Edwiga Grabowska)</t>
  </si>
  <si>
    <t>C92</t>
  </si>
  <si>
    <t>Uruchurtu, Don. Manuel E</t>
  </si>
  <si>
    <t>PC 17601</t>
  </si>
  <si>
    <t>Meyer, Mrs. Edgar Joseph (Leila Saks)</t>
  </si>
  <si>
    <t>PC 17604</t>
  </si>
  <si>
    <t>Thorne, Mrs. Gertrude Maybelle</t>
  </si>
  <si>
    <t>PC 17585</t>
  </si>
  <si>
    <t>Meyer, Mr. Edgar Joseph</t>
  </si>
  <si>
    <t>Holverson, Mr. Alexander Oskar</t>
  </si>
  <si>
    <t>Harper, Mrs. Henry Sleeper (Myna Haxtun)</t>
  </si>
  <si>
    <t>PC 17572</t>
  </si>
  <si>
    <t>D33</t>
  </si>
  <si>
    <t>D</t>
  </si>
  <si>
    <t>Ostby, Mr. Engelhart Cornelius</t>
  </si>
  <si>
    <t>B30</t>
  </si>
  <si>
    <t>Icard, Miss. Amelie</t>
  </si>
  <si>
    <t>B28</t>
  </si>
  <si>
    <t>Harris, Mr. Henry Birkhardt</t>
  </si>
  <si>
    <t>C83</t>
  </si>
  <si>
    <t>Chibnall, Mrs. (Edith Martha Bowerman)</t>
  </si>
  <si>
    <t>E33</t>
  </si>
  <si>
    <t>Taylor, Mrs. Elmer Zebley (Juliet Cummins Wright)</t>
  </si>
  <si>
    <t>C126</t>
  </si>
  <si>
    <t>Carrau, Mr. Francisco M</t>
  </si>
  <si>
    <t>Clifford, Mr. George Quincy</t>
  </si>
  <si>
    <t>A14</t>
  </si>
  <si>
    <t>Fortune, Miss. Mabel Helen</t>
  </si>
  <si>
    <t>Chaffee, Mr. Herbert Fuller</t>
  </si>
  <si>
    <t>W.E.P. 5734</t>
  </si>
  <si>
    <t>E31</t>
  </si>
  <si>
    <t>Grand Total</t>
  </si>
  <si>
    <t>Kenyon, Mrs. Frederick R (Marion)</t>
  </si>
  <si>
    <t>D21</t>
  </si>
  <si>
    <t>Goldschmidt, Mr. George B</t>
  </si>
  <si>
    <t>PC 17754</t>
  </si>
  <si>
    <t>A5</t>
  </si>
  <si>
    <t>Greenfield, Mr. William Bertram</t>
  </si>
  <si>
    <t>PC 17759</t>
  </si>
  <si>
    <t>D10 D12</t>
  </si>
  <si>
    <t>Rood, Mr. Hugh Roscoe</t>
  </si>
  <si>
    <t>A32</t>
  </si>
  <si>
    <t>White, Mr. Richard Frasar</t>
  </si>
  <si>
    <t>D26</t>
  </si>
  <si>
    <t>Harrington, Mr. Charles H</t>
  </si>
  <si>
    <t>Brewe, Dr. Arthur Jackson</t>
  </si>
  <si>
    <t>Porter, Mr. Walter Chamberlain</t>
  </si>
  <si>
    <t>C110</t>
  </si>
  <si>
    <t>P&amp;C</t>
  </si>
  <si>
    <t>Baxter, Mr. Quigg Edmond</t>
  </si>
  <si>
    <t>PC 17558</t>
  </si>
  <si>
    <t>B58 B60</t>
  </si>
  <si>
    <t>Woolner, Mr. Hugh</t>
  </si>
  <si>
    <t>C52</t>
  </si>
  <si>
    <t>White, Mr. Percival Wayland</t>
  </si>
  <si>
    <t>Williams-Lambert, Mr. Fletcher Fellows</t>
  </si>
  <si>
    <t>C128</t>
  </si>
  <si>
    <t>Newsom, Miss. Helen Monypeny</t>
  </si>
  <si>
    <t>D47</t>
  </si>
  <si>
    <t>Futrelle, Mr. Jacques Heath</t>
  </si>
  <si>
    <t>Giglio, Mr. Victor</t>
  </si>
  <si>
    <t>PC 17593</t>
  </si>
  <si>
    <t>B86</t>
  </si>
  <si>
    <t>Cairns, Mr. Alexander</t>
  </si>
  <si>
    <t>Pears, Mrs. Thomas (Edith Wearne)</t>
  </si>
  <si>
    <t>C2</t>
  </si>
  <si>
    <t>Hoyt, Mr. William Fisher</t>
  </si>
  <si>
    <t>PC 17600</t>
  </si>
  <si>
    <t>Williams, Mr. Charles Duane</t>
  </si>
  <si>
    <t>PC 17597</t>
  </si>
  <si>
    <t>Saalfeld, Mr. Adolphe</t>
  </si>
  <si>
    <t>C106</t>
  </si>
  <si>
    <t>S&amp;S</t>
  </si>
  <si>
    <t>Hawksford, Mr. Walter James</t>
  </si>
  <si>
    <t>D45</t>
  </si>
  <si>
    <t>Marechal, Mr. Pierre</t>
  </si>
  <si>
    <t>C47</t>
  </si>
  <si>
    <t>Stewart, Mr. Albert A</t>
  </si>
  <si>
    <t>PC 17605</t>
  </si>
  <si>
    <t>Van der hoef, Mr. Wyckoff</t>
  </si>
  <si>
    <t>B19</t>
  </si>
  <si>
    <t>Smith, Mr. James Clinch</t>
  </si>
  <si>
    <t>A7</t>
  </si>
  <si>
    <t>Lewy, Mr. Ervin G</t>
  </si>
  <si>
    <t>PC 17612</t>
  </si>
  <si>
    <t>Isham, Miss. Ann Elizabeth</t>
  </si>
  <si>
    <t>PC 17595</t>
  </si>
  <si>
    <t>C49</t>
  </si>
  <si>
    <t>Klaber, Mr. Herman</t>
  </si>
  <si>
    <t>C124</t>
  </si>
  <si>
    <t>Bradley, Mr. George ("George Arthur Brayton")</t>
  </si>
  <si>
    <t>Smith, Mr. Richard William</t>
  </si>
  <si>
    <t>A19</t>
  </si>
  <si>
    <t>Baumann, Mr. John D</t>
  </si>
  <si>
    <t>PC 17318</t>
  </si>
  <si>
    <t>Romaine, Mr. Charles Hallace ("Mr C Rolmane")</t>
  </si>
  <si>
    <t>Brown, Mrs. James Joseph (Margaret Tobin)</t>
  </si>
  <si>
    <t>PC 17610</t>
  </si>
  <si>
    <t>B4</t>
  </si>
  <si>
    <t>Lurette, Miss. Elise</t>
  </si>
  <si>
    <t>B80</t>
  </si>
  <si>
    <t>Blank, Mr. Henry</t>
  </si>
  <si>
    <t>A31</t>
  </si>
  <si>
    <t>Newell, Miss. Madeleine</t>
  </si>
  <si>
    <t>D36</t>
  </si>
  <si>
    <t>Bazzani, Miss. Albina</t>
  </si>
  <si>
    <t>D15</t>
  </si>
  <si>
    <t>Hoyt, Mr. Frederick Maxfield</t>
  </si>
  <si>
    <t>C93</t>
  </si>
  <si>
    <t>Harris, Mrs. Henry Birkhardt (Irene Wallach)</t>
  </si>
  <si>
    <t>Minahan, Dr. William Edward</t>
  </si>
  <si>
    <t>C78</t>
  </si>
  <si>
    <t>Q</t>
  </si>
  <si>
    <t>Beckwith, Mr. Richard Leonard</t>
  </si>
  <si>
    <t>D35</t>
  </si>
  <si>
    <t>Stead, Mr. William Thomas</t>
  </si>
  <si>
    <t>C87</t>
  </si>
  <si>
    <t>Cherry, Miss. Gladys</t>
  </si>
  <si>
    <t>B77</t>
  </si>
  <si>
    <t>Ward, Miss. Anna</t>
  </si>
  <si>
    <t>PC 17755</t>
  </si>
  <si>
    <t>Taussig, Mr. Emil</t>
  </si>
  <si>
    <t>E67</t>
  </si>
  <si>
    <t>Harrison, Mr. William</t>
  </si>
  <si>
    <t>B94</t>
  </si>
  <si>
    <t>Graham, Mrs. William Thompson (Edith Junkins)</t>
  </si>
  <si>
    <t>PC 17582</t>
  </si>
  <si>
    <t>C125</t>
  </si>
  <si>
    <t>Bissette, Miss. Amelia</t>
  </si>
  <si>
    <t>PC 17760</t>
  </si>
  <si>
    <t>C99</t>
  </si>
  <si>
    <t>Natsch, Mr. Charles H</t>
  </si>
  <si>
    <t>PC 17596</t>
  </si>
  <si>
    <t>C118</t>
  </si>
  <si>
    <t>Andrews, Miss. Kornelia Theodosia</t>
  </si>
  <si>
    <t>D7</t>
  </si>
  <si>
    <t>F</t>
  </si>
  <si>
    <t>Barber, Miss. Ellen "Nellie"</t>
  </si>
  <si>
    <t>G</t>
  </si>
  <si>
    <t>Bishop, Mrs. Dickinson H (Helen Walton)</t>
  </si>
  <si>
    <t>B49</t>
  </si>
  <si>
    <t>T</t>
  </si>
  <si>
    <t>Allison, Miss. Helen Loraine</t>
  </si>
  <si>
    <t>C22 C26</t>
  </si>
  <si>
    <t>Baxter, Mrs. James (Helene DeLaudeniere Chaput)</t>
  </si>
  <si>
    <t>Allison, Master. Hudson Trevor</t>
  </si>
  <si>
    <t>Penasco y Castellana, Mrs. Victor de Satode (Maria Josefa Perez de Soto y Vallejo)</t>
  </si>
  <si>
    <t>PC 17758</t>
  </si>
  <si>
    <t>C65</t>
  </si>
  <si>
    <t>Francatelli, Miss. Laura Mabel</t>
  </si>
  <si>
    <t>PC 17485</t>
  </si>
  <si>
    <t>E36</t>
  </si>
  <si>
    <t>Hays, Miss. Margaret Bechstein</t>
  </si>
  <si>
    <t>C54</t>
  </si>
  <si>
    <t>Ryerson, Miss. Emily Borie</t>
  </si>
  <si>
    <t>PC 17608</t>
  </si>
  <si>
    <t>B57 B59 B63 B66</t>
  </si>
  <si>
    <t>Wick, Miss. Mary Natalie</t>
  </si>
  <si>
    <t>C7</t>
  </si>
  <si>
    <t>Spedden, Mrs. Frederic Oakley (Margaretta Corning Stone)</t>
  </si>
  <si>
    <t>E34</t>
  </si>
  <si>
    <t>Young, Miss. Marie Grice</t>
  </si>
  <si>
    <t>C32</t>
  </si>
  <si>
    <t>Hippach, Miss. Jean Gertrude</t>
  </si>
  <si>
    <t>B18</t>
  </si>
  <si>
    <t>Partner, Mr. Austen</t>
  </si>
  <si>
    <t>Graham, Mr. George Edward</t>
  </si>
  <si>
    <t>C91</t>
  </si>
  <si>
    <t>Pears, Mr. Thomas Clinton</t>
  </si>
  <si>
    <t>Burns, Miss. Elizabeth Margaret</t>
  </si>
  <si>
    <t>E40</t>
  </si>
  <si>
    <t>Blackwell, Mr. Stephen Weart</t>
  </si>
  <si>
    <t>Fortune, Miss. Alice Elizabeth</t>
  </si>
  <si>
    <t>Bowerman, Miss. Elsie Edith</t>
  </si>
  <si>
    <t>Warren, Mrs. Frank Manley (Anna Sophia Atkinson)</t>
  </si>
  <si>
    <t>D37</t>
  </si>
  <si>
    <t>Aubart, Mme. Leontine Pauline</t>
  </si>
  <si>
    <t>PC 17477</t>
  </si>
  <si>
    <t>B35</t>
  </si>
  <si>
    <t>Harder, Mr. George Achilles</t>
  </si>
  <si>
    <t>E50</t>
  </si>
  <si>
    <t>Ringhini, Mr. Sante</t>
  </si>
  <si>
    <t>Widener, Mr. Harry Elkins</t>
  </si>
  <si>
    <t>C82</t>
  </si>
  <si>
    <t>Bidois, Miss. Rosalie</t>
  </si>
  <si>
    <t>Holverson, Mrs. Alexander Oskar (Mary Aline Towner)</t>
  </si>
  <si>
    <t>Carter, Mr. William Ernest</t>
  </si>
  <si>
    <t>B96 B98</t>
  </si>
  <si>
    <t>Newell, Miss. Marjorie</t>
  </si>
  <si>
    <t>Minahan, Miss. Daisy E</t>
  </si>
  <si>
    <t>Bjornstrom-Steffansson, Mr. Mauritz Hakan</t>
  </si>
  <si>
    <t>Silvey, Mr. William Baird</t>
  </si>
  <si>
    <t>E44</t>
  </si>
  <si>
    <t>Carter, Miss. Lucile Polk</t>
  </si>
  <si>
    <t>Fortune, Mr. Mark</t>
  </si>
  <si>
    <t>Dodge, Master. Washington</t>
  </si>
  <si>
    <t>A34</t>
  </si>
  <si>
    <t>Seward, Mr. Frederic Kimber</t>
  </si>
  <si>
    <t>Peuchen, Major. Arthur Godfrey</t>
  </si>
  <si>
    <t>C104</t>
  </si>
  <si>
    <t>Foreman, Mr. Benjamin Laventall</t>
  </si>
  <si>
    <t>C111</t>
  </si>
  <si>
    <t>Goldenberg, Mr. Samuel L</t>
  </si>
  <si>
    <t>Millet, Mr. Francis Davis</t>
  </si>
  <si>
    <t>E38</t>
  </si>
  <si>
    <t>Anderson, Mr. Harry</t>
  </si>
  <si>
    <t>E12</t>
  </si>
  <si>
    <t>Gee, Mr. Arthur H</t>
  </si>
  <si>
    <t>E63</t>
  </si>
  <si>
    <t>Smart, Mr. John Montgomery</t>
  </si>
  <si>
    <t>Bishop, Mr. Dickinson H</t>
  </si>
  <si>
    <t>Hoyt, Mrs. Frederick Maxfield (Jane Anne Forby)</t>
  </si>
  <si>
    <t>Kent, Mr. Edward Austin</t>
  </si>
  <si>
    <t>B37</t>
  </si>
  <si>
    <t>Molson, Mr. Harry Markland</t>
  </si>
  <si>
    <t>C30</t>
  </si>
  <si>
    <t>Artagaveytia, Mr. Ramon</t>
  </si>
  <si>
    <t>PC 17609</t>
  </si>
  <si>
    <t>Eustis, Miss. Elizabeth Mussey</t>
  </si>
  <si>
    <t>D20</t>
  </si>
  <si>
    <t>Allison, Mrs. Hudson J C (Bessie Waldo Daniels)</t>
  </si>
  <si>
    <t>Maioni, Miss. Roberta</t>
  </si>
  <si>
    <t>B79</t>
  </si>
  <si>
    <t>Penasco y Castellana, Mr. Victor de Satode</t>
  </si>
  <si>
    <t>McGough, Mr. James Robert</t>
  </si>
  <si>
    <t>PC 17473</t>
  </si>
  <si>
    <t>E25</t>
  </si>
  <si>
    <t>Rothschild, Mrs. Martin (Elizabeth L. Barrett)</t>
  </si>
  <si>
    <t>PC 17603</t>
  </si>
  <si>
    <t>Walker, Mr. William Anderson</t>
  </si>
  <si>
    <t>D46</t>
  </si>
  <si>
    <t>Perreault, Miss. Anne</t>
  </si>
  <si>
    <t>B73</t>
  </si>
  <si>
    <t>Hippach, Mrs. Louis Albert (Ida Sophia Fischer)</t>
  </si>
  <si>
    <t>Butt, Major. Archibald Willingham</t>
  </si>
  <si>
    <t>B38</t>
  </si>
  <si>
    <t>LeRoy, Miss. Bertha</t>
  </si>
  <si>
    <t>PC 17761</t>
  </si>
  <si>
    <t>Frolicher, Miss. Hedwig Margaritha</t>
  </si>
  <si>
    <t>B39</t>
  </si>
  <si>
    <t>Crosby, Miss. Harriet R</t>
  </si>
  <si>
    <t>WE/P 5735</t>
  </si>
  <si>
    <t>B22</t>
  </si>
  <si>
    <t>Douglas, Mr. Walter Donald</t>
  </si>
  <si>
    <t>C86</t>
  </si>
  <si>
    <t>Nicholson, Mr. Arthur Ernest</t>
  </si>
  <si>
    <t>Thayer, Mr. John Borland Jr</t>
  </si>
  <si>
    <t>C70</t>
  </si>
  <si>
    <t>Wright, Mr. George</t>
  </si>
  <si>
    <t>Duff Gordon, Lady. (Lucille Christiana Sutherland) ("Mrs Morgan")</t>
  </si>
  <si>
    <t>A16</t>
  </si>
  <si>
    <t>Taussig, Mrs. Emil (Tillie Mandelbaum)</t>
  </si>
  <si>
    <t>Appleton, Mrs. Edward Dale (Charlotte Lamson)</t>
  </si>
  <si>
    <t>C101</t>
  </si>
  <si>
    <t>Flynn, Mr. John Irwin ("Irving")</t>
  </si>
  <si>
    <t>PC 17474</t>
  </si>
  <si>
    <t>Silvey, Mrs. William Baird (Alice Munger)</t>
  </si>
  <si>
    <t>Thayer, Mrs. John Borland (Marian Longstreth Morris)</t>
  </si>
  <si>
    <t>C68</t>
  </si>
  <si>
    <t>Ross, Mr. John Hugo</t>
  </si>
  <si>
    <t>A10</t>
  </si>
  <si>
    <t>Taussig, Miss. Ruth</t>
  </si>
  <si>
    <t>E68</t>
  </si>
  <si>
    <t>Frolicher-Stehli, Mr. Maxmillian</t>
  </si>
  <si>
    <t>B41</t>
  </si>
  <si>
    <t>Stephenson, Mrs. Walter Bertram (Martha Eustis)</t>
  </si>
  <si>
    <t>Duff Gordon, Sir. Cosmo Edmund ("Mr Morgan")</t>
  </si>
  <si>
    <t>A20</t>
  </si>
  <si>
    <t>Homer, Mr. Harry ("Mr E Haven")</t>
  </si>
  <si>
    <t>Daniel, Mr. Robert Williams</t>
  </si>
  <si>
    <t>Shutes, Miss. Elizabeth W</t>
  </si>
  <si>
    <t>Kimball, Mr. Edwin Nelson Jr</t>
  </si>
  <si>
    <t>D19</t>
  </si>
  <si>
    <t>Sutton, Mr. Frederick</t>
  </si>
  <si>
    <t>D50</t>
  </si>
  <si>
    <t>Longley, Miss. Gretchen Fiske</t>
  </si>
  <si>
    <t>D9</t>
  </si>
  <si>
    <t>Barkworth, Mr. Algernon Henry Wilson</t>
  </si>
  <si>
    <t>A23</t>
  </si>
  <si>
    <t>Stahelin-Maeglin, Dr. Max</t>
  </si>
  <si>
    <t>B50</t>
  </si>
  <si>
    <t>Sagesser, Mlle. Emma</t>
  </si>
  <si>
    <t>Harper, Mr. Henry Sleeper</t>
  </si>
  <si>
    <t>Simonius-Blumer, Col. Oberst Alfons</t>
  </si>
  <si>
    <t>A26</t>
  </si>
  <si>
    <t>Newell, Mr. Arthur Webster</t>
  </si>
  <si>
    <t>D48</t>
  </si>
  <si>
    <t>Frauenthal, Dr. Henry William</t>
  </si>
  <si>
    <t>Colley, Mr. Edward Pomeroy</t>
  </si>
  <si>
    <t>E58</t>
  </si>
  <si>
    <t>Davidson, Mr. Thornton</t>
  </si>
  <si>
    <t>F.C. 12750</t>
  </si>
  <si>
    <t>B71</t>
  </si>
  <si>
    <t>Cardeza, Mr. Thomas Drake Martinez</t>
  </si>
  <si>
    <t>B51 B53 B55</t>
  </si>
  <si>
    <t>Hassab, Mr. Hammad</t>
  </si>
  <si>
    <t>D49</t>
  </si>
  <si>
    <t>Madill, Miss. Georgette Alexandra</t>
  </si>
  <si>
    <t>B5</t>
  </si>
  <si>
    <t>Dick, Mr. Albert Adrian</t>
  </si>
  <si>
    <t>B20</t>
  </si>
  <si>
    <t>Weir, Col. John</t>
  </si>
  <si>
    <t>Thayer, Mr. John Borland</t>
  </si>
  <si>
    <t>Astor, Mrs. John Jacob (Madeleine Talmadge Force)</t>
  </si>
  <si>
    <t>C62 C64</t>
  </si>
  <si>
    <t>Silverthorne, Mr. Spencer Victor</t>
  </si>
  <si>
    <t>PC 17475</t>
  </si>
  <si>
    <t>E24</t>
  </si>
  <si>
    <t>Calderhead, Mr. Edward Pennington</t>
  </si>
  <si>
    <t>PC 17476</t>
  </si>
  <si>
    <t>Cleaver, Miss. Alice</t>
  </si>
  <si>
    <t>Mayne, Mlle. Berthe Antonine ("Mrs de Villiers")</t>
  </si>
  <si>
    <t>PC 17482</t>
  </si>
  <si>
    <t>C90</t>
  </si>
  <si>
    <t>Taylor, Mr. Elmer Zebley</t>
  </si>
  <si>
    <t>Endres, Miss. Caroline Louise</t>
  </si>
  <si>
    <t>C45</t>
  </si>
  <si>
    <t>Chambers, Mr. Norman Campbell</t>
  </si>
  <si>
    <t>E8</t>
  </si>
  <si>
    <t>Allen, Miss. Elisabeth Walton</t>
  </si>
  <si>
    <t>Lesurer, Mr. Gustave J</t>
  </si>
  <si>
    <t>B101</t>
  </si>
  <si>
    <t>Cavendish, Mr. Tyrell William</t>
  </si>
  <si>
    <t>C46</t>
  </si>
  <si>
    <t>Ryerson, Miss. Susan Parker "Suzette"</t>
  </si>
  <si>
    <t>Crosby, Capt. Edward Gifford</t>
  </si>
  <si>
    <t>Marvin, Mr. Daniel Warner</t>
  </si>
  <si>
    <t>D30</t>
  </si>
  <si>
    <t>Rothes, the Countess. of (Lucy Noel Martha Dyer-Edwards)</t>
  </si>
  <si>
    <t>Carter, Mrs. William Ernest (Lucile Polk)</t>
  </si>
  <si>
    <t>Hogeboom, Mrs. John C (Anna Andrews)</t>
  </si>
  <si>
    <t>D11</t>
  </si>
  <si>
    <t>Robert, Mrs. Edward Scott (Elisabeth Walton McMillan)</t>
  </si>
  <si>
    <t>B3</t>
  </si>
  <si>
    <t>Dick, Mrs. Albert Adrian (Vera Gillespie)</t>
  </si>
  <si>
    <t>Long, Mr. Milton Clyde</t>
  </si>
  <si>
    <t>D6</t>
  </si>
  <si>
    <t>Guggenheim, Mr. Benjamin</t>
  </si>
  <si>
    <t>B82 B84</t>
  </si>
  <si>
    <t>Leader, Dr. Alice (Farnham)</t>
  </si>
  <si>
    <t>D17</t>
  </si>
  <si>
    <t>Carter, Master. William Thornton II</t>
  </si>
  <si>
    <t>Andrews, Mr. Thomas Jr</t>
  </si>
  <si>
    <t>A36</t>
  </si>
  <si>
    <t>Chambers, Mrs. Norman Campbell (Bertha Griggs)</t>
  </si>
  <si>
    <t>Hays, Mrs. Charles Melville (Clara Jennings Gregg)</t>
  </si>
  <si>
    <t>B69</t>
  </si>
  <si>
    <t>Reuchlin, Jonkheer. John George</t>
  </si>
  <si>
    <t>Stone, Mrs. George Nelson (Martha Evelyn)</t>
  </si>
  <si>
    <t>Compton, Miss. Sara Rebecca</t>
  </si>
  <si>
    <t>PC 17756</t>
  </si>
  <si>
    <t>E49</t>
  </si>
  <si>
    <t>Serepeca, Miss. Augusta</t>
  </si>
  <si>
    <t>Lines, Miss. Mary Conover</t>
  </si>
  <si>
    <t>PC 17592</t>
  </si>
  <si>
    <t>D28</t>
  </si>
  <si>
    <t>Wick, Mrs. George Dennick (Mary Hitchcock)</t>
  </si>
  <si>
    <t xml:space="preserve">Daly, Mr. Peter Denis </t>
  </si>
  <si>
    <t>E17</t>
  </si>
  <si>
    <t>Swift, Mrs. Frederick Joel (Margaret Welles Barron)</t>
  </si>
  <si>
    <t>Parr, Mr. William Henry Marsh</t>
  </si>
  <si>
    <t>Roebling, Mr. Washington Augustus II</t>
  </si>
  <si>
    <t>PC 17590</t>
  </si>
  <si>
    <t>A24</t>
  </si>
  <si>
    <t>Beckwith, Mrs. Richard Leonard (Sallie Monypeny)</t>
  </si>
  <si>
    <t>Carlsson, Mr. Frans Olof</t>
  </si>
  <si>
    <t>Potter, Mrs. Thomas Jr (Lily Alexenia Wilson)</t>
  </si>
  <si>
    <t>C50</t>
  </si>
  <si>
    <t>Graham, Miss. Margaret Edith</t>
  </si>
  <si>
    <t>B42</t>
  </si>
  <si>
    <t>Fry, Mr. Richard</t>
  </si>
  <si>
    <t>B102</t>
  </si>
  <si>
    <t>Behr, Mr. Karl Howell</t>
  </si>
  <si>
    <t>C148</t>
  </si>
  <si>
    <t>Nasser, Mrs. Nicholas (Adele Achem)</t>
  </si>
  <si>
    <t xml:space="preserve">Hewlett, Mrs. (Mary D Kingcome) </t>
  </si>
  <si>
    <t>Fynney, Mr. Joseph J</t>
  </si>
  <si>
    <t>Beesley, Mr. Lawrence</t>
  </si>
  <si>
    <t>D56</t>
  </si>
  <si>
    <t>Wheadon, Mr. Edward H</t>
  </si>
  <si>
    <t>C.A. 24579</t>
  </si>
  <si>
    <t>Turpin, Mrs. William John Robert (Dorothy Ann Wonnacott)</t>
  </si>
  <si>
    <t>Laroche, Miss. Simonne Marie Anne Andree</t>
  </si>
  <si>
    <t>SC/Paris 2123</t>
  </si>
  <si>
    <t>Faunthorpe, Mrs. Lizzie (Elizabeth Anne Wilkinson)</t>
  </si>
  <si>
    <t>Rugg, Miss. Emily</t>
  </si>
  <si>
    <t>C.A. 31026</t>
  </si>
  <si>
    <t>West, Miss. Constance Mirium</t>
  </si>
  <si>
    <t>C.A. 34651</t>
  </si>
  <si>
    <t>Nye, Mrs. (Elizabeth Ramell)</t>
  </si>
  <si>
    <t>C.A. 29395</t>
  </si>
  <si>
    <t>F33</t>
  </si>
  <si>
    <t>Jenkin, Mr. Stephen Curnow</t>
  </si>
  <si>
    <t>C.A. 33111</t>
  </si>
  <si>
    <t>Hood, Mr. Ambrose Jr</t>
  </si>
  <si>
    <t>S.O.C. 14879</t>
  </si>
  <si>
    <t>Caldwell, Master. Alden Gates</t>
  </si>
  <si>
    <t>Ilett, Miss. Bertha</t>
  </si>
  <si>
    <t>SO/C 14885</t>
  </si>
  <si>
    <t>Doling, Mrs. John T (Ada Julia Bone)</t>
  </si>
  <si>
    <t>Kantor, Mr. Sinai</t>
  </si>
  <si>
    <t>Turpin, Mr. William John Robert</t>
  </si>
  <si>
    <t>Hickman, Mr. Stanley George</t>
  </si>
  <si>
    <t>Nasser, Mr. Nicholas</t>
  </si>
  <si>
    <t>Webber, Miss. Susan</t>
  </si>
  <si>
    <t>E101</t>
  </si>
  <si>
    <t>Leitch, Miss. Jessie Wills</t>
  </si>
  <si>
    <t>Weisz, Mrs. Leopold (Mathilde Francoise Pede)</t>
  </si>
  <si>
    <t>Sobey, Mr. Samuel James Hayden</t>
  </si>
  <si>
    <t>C.A. 29178</t>
  </si>
  <si>
    <t>Richard, Mr. Emile</t>
  </si>
  <si>
    <t>SC/PARIS 2133</t>
  </si>
  <si>
    <t>Andrew, Mr. Edgardo Samuel</t>
  </si>
  <si>
    <t>Nicholls, Mr. Joseph Charles</t>
  </si>
  <si>
    <t>C.A. 33112</t>
  </si>
  <si>
    <t>Navratil, Mr. Michel ("Louis M Hoffman")</t>
  </si>
  <si>
    <t>F2</t>
  </si>
  <si>
    <t>Byles, Rev. Thomas Roussel Davids</t>
  </si>
  <si>
    <t>Bateman, Rev. Robert James</t>
  </si>
  <si>
    <t>S.O.P. 1166</t>
  </si>
  <si>
    <t>Watt, Mrs. James (Elizabeth "Bessie" Inglis Milne)</t>
  </si>
  <si>
    <t>C.A. 33595</t>
  </si>
  <si>
    <t>Hale, Mr. Reginald</t>
  </si>
  <si>
    <t>Becker, Master. Richard F</t>
  </si>
  <si>
    <t>F4</t>
  </si>
  <si>
    <t>Pinsky, Mrs. (Rosa)</t>
  </si>
  <si>
    <t>Carbines, Mr. William</t>
  </si>
  <si>
    <t>Navratil, Master. Michel M</t>
  </si>
  <si>
    <t>Yrois, Miss. Henriette ("Mrs Harbeck")</t>
  </si>
  <si>
    <t>Cameron, Miss. Clear Annie</t>
  </si>
  <si>
    <t>F.C.C. 13528</t>
  </si>
  <si>
    <t>Givard, Mr. Hans Kristensen</t>
  </si>
  <si>
    <t>Jacobsohn, Mr. Sidney Samuel</t>
  </si>
  <si>
    <t>Harris, Mr. Walter</t>
  </si>
  <si>
    <t>W/C 14208</t>
  </si>
  <si>
    <t>Bracken, Mr. James H</t>
  </si>
  <si>
    <t>Mellors, Mr. William John</t>
  </si>
  <si>
    <t>SW/PP 751</t>
  </si>
  <si>
    <t>Fahlstrom, Mr. Arne Jonas</t>
  </si>
  <si>
    <t>Sjostedt, Mr. Ernst Adolf</t>
  </si>
  <si>
    <t>Leyson, Mr. Robert William Norman</t>
  </si>
  <si>
    <t>C.A. 29566</t>
  </si>
  <si>
    <t>Hold, Mr. Stephen</t>
  </si>
  <si>
    <t>Collyer, Miss. Marjorie "Lottie"</t>
  </si>
  <si>
    <t>C.A. 31921</t>
  </si>
  <si>
    <t>Pengelly, Mr. Frederick William</t>
  </si>
  <si>
    <t>Hunt, Mr. George Henry</t>
  </si>
  <si>
    <t>SCO/W 1585</t>
  </si>
  <si>
    <t>Coleridge, Mr. Reginald Charles</t>
  </si>
  <si>
    <t>W./C. 14263</t>
  </si>
  <si>
    <t>Hamalainen, Mrs. William (Anna)</t>
  </si>
  <si>
    <t>Carter, Rev. Ernest Courtenay</t>
  </si>
  <si>
    <t>Parrish, Mrs. (Lutie Davis)</t>
  </si>
  <si>
    <t>Reeves, Mr. David</t>
  </si>
  <si>
    <t>C.A. 17248</t>
  </si>
  <si>
    <t>Mellinger, Mrs. (Elizabeth Anne Maidment)</t>
  </si>
  <si>
    <t>Hosono, Mr. Masabumi</t>
  </si>
  <si>
    <t>Levy, Mr. Rene Jacques</t>
  </si>
  <si>
    <t>SC/Paris 2163</t>
  </si>
  <si>
    <t>Abelson, Mr. Samuel</t>
  </si>
  <si>
    <t>P/PP 3381</t>
  </si>
  <si>
    <t>Lahtinen, Mrs. William (Anna Sylfven)</t>
  </si>
  <si>
    <t>Hart, Mr. Benjamin</t>
  </si>
  <si>
    <t>F.C.C. 13529</t>
  </si>
  <si>
    <t>Kantor, Mrs. Sinai (Miriam Sternin)</t>
  </si>
  <si>
    <t>Moraweck, Dr. Ernest</t>
  </si>
  <si>
    <t>Slayter, Miss. Hilda Mary</t>
  </si>
  <si>
    <t>Caldwell, Mrs. Albert Francis (Sylvia Mae Harbaugh)</t>
  </si>
  <si>
    <t>Ball, Mrs. (Ada E Hall)</t>
  </si>
  <si>
    <t>Navratil, Master. Edmond Roger</t>
  </si>
  <si>
    <t>Collander, Mr. Erik Gustaf</t>
  </si>
  <si>
    <t>Sedgwick, Mr. Charles Frederick Waddington</t>
  </si>
  <si>
    <t>Fox, Mr. Stanley Hubert</t>
  </si>
  <si>
    <t>Brown, Miss. Amelia "Mildred"</t>
  </si>
  <si>
    <t>Smith, Miss. Marion Elsie</t>
  </si>
  <si>
    <t>Pernot, Mr. Rene</t>
  </si>
  <si>
    <t>SC/PARIS 2131</t>
  </si>
  <si>
    <t>Funk, Miss. Annie Clemmer</t>
  </si>
  <si>
    <t>del Carlo, Mr. Sebastiano</t>
  </si>
  <si>
    <t>SC/PARIS 2167</t>
  </si>
  <si>
    <t>Padro y Manent, Mr. Julian</t>
  </si>
  <si>
    <t>SC/PARIS 2146</t>
  </si>
  <si>
    <t>Williams, Mr. Charles Eugene</t>
  </si>
  <si>
    <t>Keane, Miss. Nora A</t>
  </si>
  <si>
    <t>Davies, Mr. Charles Henry</t>
  </si>
  <si>
    <t>Buss, Miss. Kate</t>
  </si>
  <si>
    <t>Lehmann, Miss. Bertha</t>
  </si>
  <si>
    <t>SC 1748</t>
  </si>
  <si>
    <t>McKane, Mr. Peter David</t>
  </si>
  <si>
    <t>Pain, Dr. Alfred</t>
  </si>
  <si>
    <t>Trout, Mrs. William H (Jessie L)</t>
  </si>
  <si>
    <t>Gale, Mr. Shadrach</t>
  </si>
  <si>
    <t>Richards, Master. William Rowe</t>
  </si>
  <si>
    <t>Drew, Mrs. James Vivian (Lulu Thorne Christian)</t>
  </si>
  <si>
    <t>Silven, Miss. Lyyli Karoliina</t>
  </si>
  <si>
    <t>Matthews, Mr. William John</t>
  </si>
  <si>
    <t>Clarke, Mrs. Charles V (Ada Maria Winfield)</t>
  </si>
  <si>
    <t>Phillips, Miss. Kate Florence ("Mrs Kate Louise Phillips Marshall")</t>
  </si>
  <si>
    <t>Louch, Mrs. Charles Alexander (Alice Adelaide Slow)</t>
  </si>
  <si>
    <t>SC/AH 3085</t>
  </si>
  <si>
    <t>Richards, Mrs. Sidney (Emily Hocking)</t>
  </si>
  <si>
    <t>Kvillner, Mr. Johan Henrik Johannesson</t>
  </si>
  <si>
    <t>C.A. 18723</t>
  </si>
  <si>
    <t>Hart, Mrs. Benjamin (Esther Ada Bloomfield)</t>
  </si>
  <si>
    <t>Reynaldo, Ms. Encarnacion</t>
  </si>
  <si>
    <t>Mellinger, Miss. Madeleine Violet</t>
  </si>
  <si>
    <t>West, Mr. Edwy Arthur</t>
  </si>
  <si>
    <t>Toomey, Miss. Ellen</t>
  </si>
  <si>
    <t>F.C.C. 13531</t>
  </si>
  <si>
    <t>Milling, Mr. Jacob Christian</t>
  </si>
  <si>
    <t>West, Mrs. Edwy Arthur (Ada Mary Worth)</t>
  </si>
  <si>
    <t>Jerwan, Mrs. Amin S (Marie Marthe Thuillard)</t>
  </si>
  <si>
    <t>SC/AH Basle 541</t>
  </si>
  <si>
    <t>Renouf, Mr. Peter Henry</t>
  </si>
  <si>
    <t>Quick, Mrs. Frederick Charles (Jane Richards)</t>
  </si>
  <si>
    <t>Lemore, Mrs. (Amelia Milley)</t>
  </si>
  <si>
    <t>C.A. 34260</t>
  </si>
  <si>
    <t>Angle, Mrs. William A (Florence "Mary" Agnes Hughes)</t>
  </si>
  <si>
    <t>Ridsdale, Miss. Lucy</t>
  </si>
  <si>
    <t>W./C. 14258</t>
  </si>
  <si>
    <t>Hocking, Mr. Richard George</t>
  </si>
  <si>
    <t>Quick, Miss. Phyllis May</t>
  </si>
  <si>
    <t>Hart, Miss. Eva Miriam</t>
  </si>
  <si>
    <t>Beane, Mr. Edward</t>
  </si>
  <si>
    <t>Beane, Mrs. Edward (Ethel Clarke)</t>
  </si>
  <si>
    <t>Davies, Master. John Morgan Jr</t>
  </si>
  <si>
    <t>Sharp, Mr. Percival James R</t>
  </si>
  <si>
    <t>Norman, Mr. Robert Douglas</t>
  </si>
  <si>
    <t>Harris, Mr. George</t>
  </si>
  <si>
    <t>S.W./PP 752</t>
  </si>
  <si>
    <t>Garside, Miss. Ethel</t>
  </si>
  <si>
    <t>Christy, Miss. Julie Rachel</t>
  </si>
  <si>
    <t>Downton, Mr. William James</t>
  </si>
  <si>
    <t>Jarvis, Mr. John Denzil</t>
  </si>
  <si>
    <t>Chapman, Mr. John Henry</t>
  </si>
  <si>
    <t>SC/AH 29037</t>
  </si>
  <si>
    <t>Jacobsohn, Mrs. Sidney Samuel (Amy Frances Christy)</t>
  </si>
  <si>
    <t>Laroche, Mrs. Joseph (Juliette Marie Louise Lafargue)</t>
  </si>
  <si>
    <t>Herman, Miss. Alice</t>
  </si>
  <si>
    <t>Becker, Miss. Marion Louise</t>
  </si>
  <si>
    <t>Gavey, Mr. Lawrence</t>
  </si>
  <si>
    <t>Kirkland, Rev. Charles Leonard</t>
  </si>
  <si>
    <t>Davis, Miss. Mary</t>
  </si>
  <si>
    <t>Collyer, Mr. Harvey</t>
  </si>
  <si>
    <t>Doling, Miss. Elsie</t>
  </si>
  <si>
    <t>Hickman, Mr. Leonard Mark</t>
  </si>
  <si>
    <t>Eitemiller, Mr. George Floyd</t>
  </si>
  <si>
    <t>Hickman, Mr. Lewis</t>
  </si>
  <si>
    <t>Butler, Mr. Reginald Fenton</t>
  </si>
  <si>
    <t>Brown, Mrs. Thomas William Solomon (Elizabeth Catherine Ford)</t>
  </si>
  <si>
    <t>Mitchell, Mr. Henry Michael</t>
  </si>
  <si>
    <t>C.A. 24580</t>
  </si>
  <si>
    <t>Wilhelms, Mr. Charles</t>
  </si>
  <si>
    <t>Brown, Mr. Thomas William Solomon</t>
  </si>
  <si>
    <t>Laroche, Mr. Joseph Philippe Lemercier</t>
  </si>
  <si>
    <t>Chapman, Mr. Charles Henry</t>
  </si>
  <si>
    <t>Morley, Mr. Henry Samuel ("Mr Henry Marshall")</t>
  </si>
  <si>
    <t>Kelly, Mrs. Florence "Fannie"</t>
  </si>
  <si>
    <t>Greenberg, Mr. Samuel</t>
  </si>
  <si>
    <t>Troutt, Miss. Edwina Celia "Winnie"</t>
  </si>
  <si>
    <t>Harper, Miss. Annie Jessie "Nina"</t>
  </si>
  <si>
    <t>Gillespie, Mr. William Henry</t>
  </si>
  <si>
    <t>Hodges, Mr. Henry Price</t>
  </si>
  <si>
    <t>Renouf, Mrs. Peter Henry (Lillian Jefferys)</t>
  </si>
  <si>
    <t>Bryhl, Mr. Kurt Arnold Gottfrid</t>
  </si>
  <si>
    <t>Berriman, Mr. William John</t>
  </si>
  <si>
    <t>Troupiansky, Mr. Moses Aaron</t>
  </si>
  <si>
    <t>Sinkkonen, Miss. Anna</t>
  </si>
  <si>
    <t>Wells, Miss. Joan</t>
  </si>
  <si>
    <t>Herman, Mrs. Samuel (Jane Laver)</t>
  </si>
  <si>
    <t>Hamalainen, Master. Viljo</t>
  </si>
  <si>
    <t>Bailey, Mr. Percy Andrew</t>
  </si>
  <si>
    <t>Mack, Mrs. (Mary)</t>
  </si>
  <si>
    <t>S.O./P.P. 3</t>
  </si>
  <si>
    <t>E77</t>
  </si>
  <si>
    <t>Hocking, Mrs. Elizabeth (Eliza Needs)</t>
  </si>
  <si>
    <t>Gaskell, Mr. Alfred</t>
  </si>
  <si>
    <t>Otter, Mr. Richard</t>
  </si>
  <si>
    <t>Ponesell, Mr. Martin</t>
  </si>
  <si>
    <t>Collyer, Mrs. Harvey (Charlotte Annie Tate)</t>
  </si>
  <si>
    <t>Meyer, Mr. August</t>
  </si>
  <si>
    <t>Slemen, Mr. Richard James</t>
  </si>
  <si>
    <t>Mallet, Mr. Albert</t>
  </si>
  <si>
    <t>S.C./PARIS 2079</t>
  </si>
  <si>
    <t>Mallet, Master. Andre</t>
  </si>
  <si>
    <t>Richards, Master. George Sibley</t>
  </si>
  <si>
    <t>Parkes, Mr. Francis "Frank"</t>
  </si>
  <si>
    <t>Mudd, Mr. Thomas Charles</t>
  </si>
  <si>
    <t>Cunningham, Mr. Alfred Fleming</t>
  </si>
  <si>
    <t>Harper, Rev. John</t>
  </si>
  <si>
    <t>Campbell, Mr. William</t>
  </si>
  <si>
    <t>Carter, Mrs. Ernest Courtenay (Lilian Hughes)</t>
  </si>
  <si>
    <t>Frost, Mr. Anthony Wood "Archie"</t>
  </si>
  <si>
    <t>Giles, Mr. Frederick Edward</t>
  </si>
  <si>
    <t>Gill, Mr. John William</t>
  </si>
  <si>
    <t>Bystrom, Mrs. (Karolina)</t>
  </si>
  <si>
    <t>Duran y More, Miss. Asuncion</t>
  </si>
  <si>
    <t>SC/PARIS 2149</t>
  </si>
  <si>
    <t>Watson, Mr. Ennis Hastings</t>
  </si>
  <si>
    <t>Abelson, Mrs. Samuel (Hannah Wizosky)</t>
  </si>
  <si>
    <t>Knight, Mr. Robert J</t>
  </si>
  <si>
    <t>Shelley, Mrs. William (Imanita Parrish Hall)</t>
  </si>
  <si>
    <t>Banfield, Mr. Frederick James</t>
  </si>
  <si>
    <t>C.A./SOTON 34068</t>
  </si>
  <si>
    <t>Montvila, Rev. Juozas</t>
  </si>
  <si>
    <t>Braund, Mr. Owen Harris</t>
  </si>
  <si>
    <t>A/5 21171</t>
  </si>
  <si>
    <t>Heikkinen, Miss. Laina</t>
  </si>
  <si>
    <t>STON/O2. 3101282</t>
  </si>
  <si>
    <t>Allen, Mr. William Henry</t>
  </si>
  <si>
    <t>Palsson, Master. Gosta Leonard</t>
  </si>
  <si>
    <t>Johnson, Mrs. Oscar W (Elisabeth Vilhelmina Berg)</t>
  </si>
  <si>
    <t>Sandstrom, Miss. Marguerite Rut</t>
  </si>
  <si>
    <t>PP 9549</t>
  </si>
  <si>
    <t>G6</t>
  </si>
  <si>
    <t>Saundercock, Mr. William Henry</t>
  </si>
  <si>
    <t>A/5. 2151</t>
  </si>
  <si>
    <t>Andersson, Mr. Anders Johan</t>
  </si>
  <si>
    <t>Vestrom, Miss. Hulda Amanda Adolfina</t>
  </si>
  <si>
    <t>Rice, Master. Eugene</t>
  </si>
  <si>
    <t>Vander Planke, Mrs. Julius (Emelia Maria Vandemoortele)</t>
  </si>
  <si>
    <t>McGowan, Miss. Anna "Annie"</t>
  </si>
  <si>
    <t>Palsson, Miss. Torborg Danira</t>
  </si>
  <si>
    <t>Asplund, Mrs. Carl Oscar (Selma Augusta Emilia Johansson)</t>
  </si>
  <si>
    <t>Sage, Master. Thomas Henry</t>
  </si>
  <si>
    <t>CA. 2343</t>
  </si>
  <si>
    <t>Cann, Mr. Ernest Charles</t>
  </si>
  <si>
    <t>A./5. 2152</t>
  </si>
  <si>
    <t>Vander Planke, Miss. Augusta Maria</t>
  </si>
  <si>
    <t>Nicola-Yarred, Miss. Jamila</t>
  </si>
  <si>
    <t>Ahlin, Mrs. Johan (Johanna Persdotter Larsson)</t>
  </si>
  <si>
    <t>Sage, Miss. Constance Gladys</t>
  </si>
  <si>
    <t>Devaney, Miss. Margaret Delia</t>
  </si>
  <si>
    <t>Sage, Mr. Frederick</t>
  </si>
  <si>
    <t>Sage, Mr. George John Jr</t>
  </si>
  <si>
    <t>Sage, Miss. Stella Anna</t>
  </si>
  <si>
    <t>Sage, Mr. Douglas Bullen</t>
  </si>
  <si>
    <t>Arnold-Franchi, Mrs. Josef (Josefine Franchi)</t>
  </si>
  <si>
    <t>Panula, Master. Juha Niilo</t>
  </si>
  <si>
    <t>Nosworthy, Mr. Richard Cater</t>
  </si>
  <si>
    <t>A/4. 39886</t>
  </si>
  <si>
    <t>Sage, Miss. Dorothy Edith "Dolly"</t>
  </si>
  <si>
    <t>Novel, Mr. Mansouer</t>
  </si>
  <si>
    <t>Goodwin, Master. William Frederick</t>
  </si>
  <si>
    <t>CA 2144</t>
  </si>
  <si>
    <t>Sirayanian, Mr. Orsen</t>
  </si>
  <si>
    <t>Skoog, Master. Harald</t>
  </si>
  <si>
    <t>Lam, Mr. Len</t>
  </si>
  <si>
    <t>Foo, Mr. Choong</t>
  </si>
  <si>
    <t>Crease, Mr. Ernest James</t>
  </si>
  <si>
    <t>S.P. 3464</t>
  </si>
  <si>
    <t>Andersson, Miss. Erna Alexandra</t>
  </si>
  <si>
    <t>Kink, Mr. Vincenz</t>
  </si>
  <si>
    <t>Goodwin, Miss. Lillian Amy</t>
  </si>
  <si>
    <t>Chronopoulos, Mr. Apostolos</t>
  </si>
  <si>
    <t>Bing, Mr. Lee</t>
  </si>
  <si>
    <t>Moen, Mr. Sigurd Hansen</t>
  </si>
  <si>
    <t>F G73</t>
  </si>
  <si>
    <t>Lam, Mr. Ali</t>
  </si>
  <si>
    <t>Dowdell, Miss. Elizabeth</t>
  </si>
  <si>
    <t>Waelens, Mr. Achille</t>
  </si>
  <si>
    <t>Sheerlinck, Mr. Jan Baptist</t>
  </si>
  <si>
    <t>Backstrom, Mrs. Karl Alfred (Maria Mathilda Gustafsson)</t>
  </si>
  <si>
    <t>Ford, Mr. William Neal</t>
  </si>
  <si>
    <t>W./C. 6608</t>
  </si>
  <si>
    <t>Celotti, Mr. Francesco</t>
  </si>
  <si>
    <t>Christmann, Mr. Emil</t>
  </si>
  <si>
    <t>Andreasson, Mr. Paul Edvin</t>
  </si>
  <si>
    <t>Dean, Mr. Bertram Frank</t>
  </si>
  <si>
    <t>C.A. 2315</t>
  </si>
  <si>
    <t>Coxon, Mr. Daniel</t>
  </si>
  <si>
    <t>Petranec, Miss. Matilda</t>
  </si>
  <si>
    <t>Johansson, Mr. Gustaf Joel</t>
  </si>
  <si>
    <t>Gustafsson, Mr. Anders Vilhelm</t>
  </si>
  <si>
    <t>Mionoff, Mr. Stoytcho</t>
  </si>
  <si>
    <t>Salkjelsvik, Miss. Anna Kristine</t>
  </si>
  <si>
    <t>Rekic, Mr. Tido</t>
  </si>
  <si>
    <t>Zabour, Miss. Hileni</t>
  </si>
  <si>
    <t>Barton, Mr. David John</t>
  </si>
  <si>
    <t>Jussila, Miss. Katriina</t>
  </si>
  <si>
    <t>Attalah, Miss. Malake</t>
  </si>
  <si>
    <t>Pekoniemi, Mr. Edvard</t>
  </si>
  <si>
    <t>STON/O 2. 3101294</t>
  </si>
  <si>
    <t>Connors, Mr. Patrick</t>
  </si>
  <si>
    <t>Andersson, Miss. Ellis Anna Maria</t>
  </si>
  <si>
    <t>Nicola-Yarred, Master. Elias</t>
  </si>
  <si>
    <t>Madsen, Mr. Fridtjof Arne</t>
  </si>
  <si>
    <t>C 17369</t>
  </si>
  <si>
    <t>Ekstrom, Mr. Johan</t>
  </si>
  <si>
    <t>Drazenoic, Mr. Jozef</t>
  </si>
  <si>
    <t>Coelho, Mr. Domingos Fernandeo</t>
  </si>
  <si>
    <t>SOTON/O.Q. 3101307</t>
  </si>
  <si>
    <t>Robins, Mrs. Alexander A (Grace Charity Laury)</t>
  </si>
  <si>
    <t>A/5. 3337</t>
  </si>
  <si>
    <t>Osen, Mr. Olaf Elon</t>
  </si>
  <si>
    <t>Nysten, Miss. Anna Sofia</t>
  </si>
  <si>
    <t>Hakkarainen, Mrs. Pekka Pietari (Elin Matilda Dolck)</t>
  </si>
  <si>
    <t>STON/O2. 3101279</t>
  </si>
  <si>
    <t>Burke, Mr. Jeremiah</t>
  </si>
  <si>
    <t>Andersson, Mr. August Edvard ("Wennerstrom")</t>
  </si>
  <si>
    <t>Ford, Miss. Robina Maggie "Ruby"</t>
  </si>
  <si>
    <t>Meo, Mr. Alfonzo</t>
  </si>
  <si>
    <t>A.5. 11206</t>
  </si>
  <si>
    <t>van Billiard, Mr. Austin Blyler</t>
  </si>
  <si>
    <t>A/5. 851</t>
  </si>
  <si>
    <t>Gilnagh, Miss. Katherine "Katie"</t>
  </si>
  <si>
    <t>Corn, Mr. Harry</t>
  </si>
  <si>
    <t>SOTON/OQ 392090</t>
  </si>
  <si>
    <t>Cribb, Mr. John Hatfield</t>
  </si>
  <si>
    <t>Bengtsson, Mr. John Viktor</t>
  </si>
  <si>
    <t>Calic, Mr. Jovo</t>
  </si>
  <si>
    <t>Panula, Master. Eino Viljami</t>
  </si>
  <si>
    <t>Goldsmith, Master. Frank John William "Frankie"</t>
  </si>
  <si>
    <t>Skoog, Mrs. William (Anna Bernhardina Karlsson)</t>
  </si>
  <si>
    <t>Ling, Mr. Lee</t>
  </si>
  <si>
    <t>Rice, Master. Arthur</t>
  </si>
  <si>
    <t>Johnson, Miss. Eleanor Ileen</t>
  </si>
  <si>
    <t>Sivola, Mr. Antti Wilhelm</t>
  </si>
  <si>
    <t>STON/O 2. 3101280</t>
  </si>
  <si>
    <t>Klasen, Mr. Klas Albin</t>
  </si>
  <si>
    <t>Leonard, Mr. Lionel</t>
  </si>
  <si>
    <t>LINE</t>
  </si>
  <si>
    <t>Asplund, Master. Clarence Gustaf Hugo</t>
  </si>
  <si>
    <t>Kink-Heilmann, Miss. Luise Gretchen</t>
  </si>
  <si>
    <t>Bourke, Mr. John</t>
  </si>
  <si>
    <t>Turcin, Mr. Stjepan</t>
  </si>
  <si>
    <t>Andersen-Jensen, Miss. Carla Christine Nielsine</t>
  </si>
  <si>
    <t>Lefebre, Master. Henry Forbes</t>
  </si>
  <si>
    <t>Olsen, Mr. Karl Siegwart Andreas</t>
  </si>
  <si>
    <t>Lefebre, Miss. Mathilde</t>
  </si>
  <si>
    <t>Vande Walle, Mr. Nestor Cyriel</t>
  </si>
  <si>
    <t>Lefebre, Miss. Ida</t>
  </si>
  <si>
    <t>Johanson, Mr. Jakob Alfred</t>
  </si>
  <si>
    <t>Youseff, Mr. Gerious</t>
  </si>
  <si>
    <t>Cohen, Mr. Gurshon "Gus"</t>
  </si>
  <si>
    <t>A/5 3540</t>
  </si>
  <si>
    <t>Strom, Miss. Telma Matilda</t>
  </si>
  <si>
    <t>Backstrom, Mr. Karl Alfred</t>
  </si>
  <si>
    <t>Albimona, Mr. Nassef Cassem</t>
  </si>
  <si>
    <t>Carr, Miss. Helen "Ellen"</t>
  </si>
  <si>
    <t>Ali, Mr. Ahmed</t>
  </si>
  <si>
    <t>SOTON/O.Q. 3101311</t>
  </si>
  <si>
    <t>Perkin, Mr. John Henry</t>
  </si>
  <si>
    <t>A/5 21174</t>
  </si>
  <si>
    <t>Lefebre, Miss. Jeannie</t>
  </si>
  <si>
    <t>Honkanen, Miss. Eliina</t>
  </si>
  <si>
    <t>STON/O2. 3101283</t>
  </si>
  <si>
    <t>Sunderland, Mr. Victor Francis</t>
  </si>
  <si>
    <t>SOTON/OQ 392089</t>
  </si>
  <si>
    <t>Green, Mr. George Henry</t>
  </si>
  <si>
    <t>Moran, Mr. Daniel J</t>
  </si>
  <si>
    <t>Berglund, Mr. Karl Ivar Sven</t>
  </si>
  <si>
    <t>PP 4348</t>
  </si>
  <si>
    <t>Lovell, Mr. John Hall ("Henry")</t>
  </si>
  <si>
    <t>A/5 21173</t>
  </si>
  <si>
    <t>Moran, Miss. Bertha</t>
  </si>
  <si>
    <t>Larsson, Mr. Bengt Edvin</t>
  </si>
  <si>
    <t>Asplund, Miss. Lillian Gertrud</t>
  </si>
  <si>
    <t>Ryan, Mr. Patrick</t>
  </si>
  <si>
    <t>Johnston, Mr. Andrew G</t>
  </si>
  <si>
    <t>W./C. 6607</t>
  </si>
  <si>
    <t>Johnston, Miss. Catherine Helen "Carrie"</t>
  </si>
  <si>
    <t>Maenpaa, Mr. Matti Alexanteri</t>
  </si>
  <si>
    <t>STON/O 2. 3101275</t>
  </si>
  <si>
    <t>Attalah, Mr. Sleiman</t>
  </si>
  <si>
    <t>Lindahl, Miss. Agda Thorilda Viktoria</t>
  </si>
  <si>
    <t>McCoy, Mr. Bernard</t>
  </si>
  <si>
    <t>Strom, Mrs. Wilhelm (Elna Matilda Persson)</t>
  </si>
  <si>
    <t>Lobb, Mr. William Arthur</t>
  </si>
  <si>
    <t>A/5. 3336</t>
  </si>
  <si>
    <t>Rosblom, Mrs. Viktor (Helena Wilhelmina)</t>
  </si>
  <si>
    <t>Touma, Mrs. Darwis (Hanne Youssef Razi)</t>
  </si>
  <si>
    <t>McCoy, Miss. Agnes</t>
  </si>
  <si>
    <t>Peter, Miss. Anna</t>
  </si>
  <si>
    <t>F E69</t>
  </si>
  <si>
    <t>Asplund, Master. Edvin Rojj Felix</t>
  </si>
  <si>
    <t>Peter, Mrs. Catherine (Catherine Rizk)</t>
  </si>
  <si>
    <t>Panula, Mr. Ernesti Arvid</t>
  </si>
  <si>
    <t>Persson, Mr. Ernst Ulrik</t>
  </si>
  <si>
    <t>Samaan, Mr. Youssef</t>
  </si>
  <si>
    <t>Tornquist, Mr. William Henry</t>
  </si>
  <si>
    <t>Hagland, Mr. Ingvald Olai Olsen</t>
  </si>
  <si>
    <t>Lindblom, Miss. Augusta Charlotta</t>
  </si>
  <si>
    <t>Hagland, Mr. Konrad Mathias Reiersen</t>
  </si>
  <si>
    <t>Rice, Master. Eric</t>
  </si>
  <si>
    <t>Abbott, Mrs. Stanton (Rosa Hunt)</t>
  </si>
  <si>
    <t>C.A. 2673</t>
  </si>
  <si>
    <t>Duane, Mr. Frank</t>
  </si>
  <si>
    <t>Olsson, Mr. Nils Johan Goransson</t>
  </si>
  <si>
    <t>de Pelsmaeker, Mr. Alfons</t>
  </si>
  <si>
    <t>Dorking, Mr. Edward Arthur</t>
  </si>
  <si>
    <t>A/5. 10482</t>
  </si>
  <si>
    <t>Thorneycroft, Mr. Percival</t>
  </si>
  <si>
    <t>Stankovic, Mr. Ivan</t>
  </si>
  <si>
    <t>de Mulder, Mr. Theodore</t>
  </si>
  <si>
    <t>Naidenoff, Mr. Penko</t>
  </si>
  <si>
    <t>Connolly, Miss. Kate</t>
  </si>
  <si>
    <t>Haas, Miss. Aloisia</t>
  </si>
  <si>
    <t>Mineff, Mr. Ivan</t>
  </si>
  <si>
    <t>Davison, Mrs. Thomas Henry (Mary E Finck)</t>
  </si>
  <si>
    <t>Hanna, Mr. Mansour</t>
  </si>
  <si>
    <t>Thorneycroft, Mrs. Percival (Florence Kate White)</t>
  </si>
  <si>
    <t>Lennon, Mr. Denis</t>
  </si>
  <si>
    <t>O'Brien, Mr. Thomas</t>
  </si>
  <si>
    <t>Johnson, Mr. William Cahoone Jr</t>
  </si>
  <si>
    <t>O'Brien, Mrs. Thomas (Johanna "Hannah" Godfrey)</t>
  </si>
  <si>
    <t>Murphy, Miss. Katherine "Kate"</t>
  </si>
  <si>
    <t>Murphy, Miss. Margaret Jane</t>
  </si>
  <si>
    <t>Hendekovic, Mr. Ignjac</t>
  </si>
  <si>
    <t>Nilsson, Miss. Helmina Josefina</t>
  </si>
  <si>
    <t>Dennis, Mr. Samuel</t>
  </si>
  <si>
    <t>A/5 21172</t>
  </si>
  <si>
    <t>Danoff, Mr. Yoto</t>
  </si>
  <si>
    <t>McEvoy, Mr. Michael</t>
  </si>
  <si>
    <t>Nysveen, Mr. Johan Hansen</t>
  </si>
  <si>
    <t>Goldsmith, Mrs. Frank John (Emily Alice Brown)</t>
  </si>
  <si>
    <t>Moubarek, Master. Gerios</t>
  </si>
  <si>
    <t>Vander Planke, Mr. Leo Edmondus</t>
  </si>
  <si>
    <t>Moubarek, Master. Halim Gonios ("William George")</t>
  </si>
  <si>
    <t>Boulos, Mrs. Joseph (Sultana)</t>
  </si>
  <si>
    <t>Dahl, Mr. Karl Edwart</t>
  </si>
  <si>
    <t>Shellard, Mr. Frederick William</t>
  </si>
  <si>
    <t>C.A. 6212</t>
  </si>
  <si>
    <t>Coutts, Master. William Loch "William"</t>
  </si>
  <si>
    <t>C.A. 37671</t>
  </si>
  <si>
    <t>Dimic, Mr. Jovan</t>
  </si>
  <si>
    <t>Odahl, Mr. Nils Martin</t>
  </si>
  <si>
    <t>Elias, Mr. Tannous</t>
  </si>
  <si>
    <t>Arnold-Franchi, Mr. Josef</t>
  </si>
  <si>
    <t>Risien, Mr. Samuel Beard</t>
  </si>
  <si>
    <t>Vanden Steen, Mr. Leo Peter</t>
  </si>
  <si>
    <t>Garfirth, Mr. John</t>
  </si>
  <si>
    <t>Caram, Mrs. Joseph (Maria Elias)</t>
  </si>
  <si>
    <t>Skoog, Mr. Wilhelm</t>
  </si>
  <si>
    <t>Barbara, Mrs. (Catherine David)</t>
  </si>
  <si>
    <t>Asim, Mr. Adola</t>
  </si>
  <si>
    <t>SOTON/O.Q. 3101310</t>
  </si>
  <si>
    <t>Yousseff, Mr. Gerious</t>
  </si>
  <si>
    <t>Adahl, Mr. Mauritz Nils Martin</t>
  </si>
  <si>
    <t>C 7076</t>
  </si>
  <si>
    <t>Zabour, Miss. Thamine</t>
  </si>
  <si>
    <t>Wiklund, Mr. Jakob Alfred</t>
  </si>
  <si>
    <t>Beavan, Mr. William Thomas</t>
  </si>
  <si>
    <t>Palsson, Miss. Stina Viola</t>
  </si>
  <si>
    <t>Landergren, Miss. Aurora Adelia</t>
  </si>
  <si>
    <t>C 7077</t>
  </si>
  <si>
    <t>Betros, Mr. Tannous</t>
  </si>
  <si>
    <t>Gustafsson, Mr. Karl Gideon</t>
  </si>
  <si>
    <t>Nakid, Miss. Maria ("Mary")</t>
  </si>
  <si>
    <t>Tikkanen, Mr. Juho</t>
  </si>
  <si>
    <t>STON/O 2. 3101293</t>
  </si>
  <si>
    <t>Goodwin, Master. Sidney Leonard</t>
  </si>
  <si>
    <t>van Melkebeke, Mr. Philemon</t>
  </si>
  <si>
    <t>Jansson, Mr. Carl Olof</t>
  </si>
  <si>
    <t>Gustafsson, Mr. Johan Birger</t>
  </si>
  <si>
    <t>Sandstrom, Mrs. Hjalmar (Agnes Charlotta Bengtsson)</t>
  </si>
  <si>
    <t>Johansson, Mr. Erik</t>
  </si>
  <si>
    <t>Olsson, Miss. Elina</t>
  </si>
  <si>
    <t>Niskanen, Mr. Juha</t>
  </si>
  <si>
    <t>STON/O 2. 3101289</t>
  </si>
  <si>
    <t>Adams, Mr. John</t>
  </si>
  <si>
    <t>Jussila, Miss. Mari Aina</t>
  </si>
  <si>
    <t>Hakkarainen, Mr. Pekka Pietari</t>
  </si>
  <si>
    <t>Oreskovic, Miss. Marija</t>
  </si>
  <si>
    <t>Widegren, Mr. Carl/Charles Peter</t>
  </si>
  <si>
    <t>Birkeland, Mr. Hans Martin Monsen</t>
  </si>
  <si>
    <t>Paulner, Mr. Uscher</t>
  </si>
  <si>
    <t>Smiljanic, Mr. Mile</t>
  </si>
  <si>
    <t>Moran, Mr. James</t>
  </si>
  <si>
    <t>Peters, Miss. Katie</t>
  </si>
  <si>
    <t>Sundman, Mr. Johan Julian</t>
  </si>
  <si>
    <t>STON/O 2. 3101269</t>
  </si>
  <si>
    <t>Johannesen-Bratthammer, Mr. Bernt</t>
  </si>
  <si>
    <t>Van Impe, Miss. Catharina</t>
  </si>
  <si>
    <t>Rogers, Mr. William John</t>
  </si>
  <si>
    <t>S.C./A.4. 23567</t>
  </si>
  <si>
    <t>Charters, Mr. David</t>
  </si>
  <si>
    <t>A/5. 13032</t>
  </si>
  <si>
    <t>Zimmerman, Mr. Leo</t>
  </si>
  <si>
    <t>Danbom, Mrs. Ernst Gilbert (Anna Sigrid Maria Brogren)</t>
  </si>
  <si>
    <t>Rosblom, Mr. Viktor Richard</t>
  </si>
  <si>
    <t>Moutal, Mr. Rahamin Haim</t>
  </si>
  <si>
    <t>Slocovski, Mr. Selman Francis</t>
  </si>
  <si>
    <t>SOTON/OQ 392086</t>
  </si>
  <si>
    <t>Pickard, Mr. Berk (Berk Trembisky)</t>
  </si>
  <si>
    <t>SOTON/O.Q. 392078</t>
  </si>
  <si>
    <t>E10</t>
  </si>
  <si>
    <t>Shorney, Mr. Charles Joseph</t>
  </si>
  <si>
    <t>Kallio, Mr. Nikolai Erland</t>
  </si>
  <si>
    <t>STON/O 2. 3101274</t>
  </si>
  <si>
    <t>Ford, Miss. Doolina Margaret "Daisy"</t>
  </si>
  <si>
    <t>Hampe, Mr. Leon</t>
  </si>
  <si>
    <t>Petterson, Mr. Johan Emil</t>
  </si>
  <si>
    <t>Moore, Mr. Leonard Charles</t>
  </si>
  <si>
    <t>A4. 54510</t>
  </si>
  <si>
    <t>Baclini, Miss. Marie Catherine</t>
  </si>
  <si>
    <t>Williams, Mr. Howard Hugh "Harry"</t>
  </si>
  <si>
    <t>A/5 2466</t>
  </si>
  <si>
    <t>Meek, Mrs. Thomas (Annie Louise Rowley)</t>
  </si>
  <si>
    <t>Jalsevac, Mr. Ivan</t>
  </si>
  <si>
    <t>Peduzzi, Mr. Joseph</t>
  </si>
  <si>
    <t>A/5 2817</t>
  </si>
  <si>
    <t>Maisner, Mr. Simon</t>
  </si>
  <si>
    <t>A/S 2816</t>
  </si>
  <si>
    <t>Morley, Mr. William</t>
  </si>
  <si>
    <t>Webber, Mr. James</t>
  </si>
  <si>
    <t>SOTON/OQ 3101316</t>
  </si>
  <si>
    <t>Goncalves, Mr. Manuel Estanslas</t>
  </si>
  <si>
    <t>SOTON/O.Q. 3101306</t>
  </si>
  <si>
    <t>Simmons, Mr. John</t>
  </si>
  <si>
    <t>SOTON/OQ 392082</t>
  </si>
  <si>
    <t>Meanwell, Miss. (Marion Ogden)</t>
  </si>
  <si>
    <t>SOTON/O.Q. 392087</t>
  </si>
  <si>
    <t>Baclini, Miss. Helene Barbara</t>
  </si>
  <si>
    <t>Murdlin, Mr. Joseph</t>
  </si>
  <si>
    <t>A./5. 3235</t>
  </si>
  <si>
    <t>Cacic, Mr. Luka</t>
  </si>
  <si>
    <t>Strandberg, Miss. Ida Sofia</t>
  </si>
  <si>
    <t>Sirota, Mr. Maurice</t>
  </si>
  <si>
    <t>Braund, Mr. Lewis Richard</t>
  </si>
  <si>
    <t>Karlsson, Mr. Nils August</t>
  </si>
  <si>
    <t>Hirvonen, Miss. Hildur E</t>
  </si>
  <si>
    <t>Goodwin, Master. Harold Victor</t>
  </si>
  <si>
    <t>Todoroff, Mr. Lalio</t>
  </si>
  <si>
    <t>Rouse, Mr. Richard Henry</t>
  </si>
  <si>
    <t>A/5 3594</t>
  </si>
  <si>
    <t>Turkula, Mrs. (Hedwig)</t>
  </si>
  <si>
    <t>Kraeff, Mr. Theodor</t>
  </si>
  <si>
    <t>Somerton, Mr. Francis William</t>
  </si>
  <si>
    <t>A.5. 18509</t>
  </si>
  <si>
    <t>Coutts, Master. Eden Leslie "Neville"</t>
  </si>
  <si>
    <t>Staneff, Mr. Ivan</t>
  </si>
  <si>
    <t>Windelov, Mr. Einar</t>
  </si>
  <si>
    <t>SOTON/OQ 3101317</t>
  </si>
  <si>
    <t>Stanley, Mr. Edward Roland</t>
  </si>
  <si>
    <t>A/4 45380</t>
  </si>
  <si>
    <t>Petroff, Mr. Pastcho ("Pentcho")</t>
  </si>
  <si>
    <t>Nenkoff, Mr. Christo</t>
  </si>
  <si>
    <t>Svensson, Mr. Olof</t>
  </si>
  <si>
    <t>Calic, Mr. Petar</t>
  </si>
  <si>
    <t>Canavan, Miss. Mary</t>
  </si>
  <si>
    <t>Denkoff, Mr. Mitto</t>
  </si>
  <si>
    <t>Laitinen, Miss. Kristina Sofia</t>
  </si>
  <si>
    <t>Plotcharsky, Mr. Vasil</t>
  </si>
  <si>
    <t>Olsen, Mr. Henry Margido</t>
  </si>
  <si>
    <t>C 4001</t>
  </si>
  <si>
    <t>Lang, Mr. Fang</t>
  </si>
  <si>
    <t>Daly, Mr. Eugene Patrick</t>
  </si>
  <si>
    <t>Sdycoff, Mr. Todor</t>
  </si>
  <si>
    <t>Coleff, Mr. Satio</t>
  </si>
  <si>
    <t>Gheorgheff, Mr. Stanio</t>
  </si>
  <si>
    <t>Pavlovic, Mr. Stefo</t>
  </si>
  <si>
    <t>Vovk, Mr. Janko</t>
  </si>
  <si>
    <t>Slabenoff, Mr. Petco</t>
  </si>
  <si>
    <t>Mitkoff, Mr. Mito</t>
  </si>
  <si>
    <t>Farrell, Mr. James</t>
  </si>
  <si>
    <t>Radeff, Mr. Alexander</t>
  </si>
  <si>
    <t>Salonen, Mr. Johan Werner</t>
  </si>
  <si>
    <t>Ivanoff, Mr. Kanio</t>
  </si>
  <si>
    <t>Elias, Mr. Joseph Jr</t>
  </si>
  <si>
    <t>Nankoff, Mr. Minko</t>
  </si>
  <si>
    <t>Cacic, Miss. Marija</t>
  </si>
  <si>
    <t>Laleff, Mr. Kristo</t>
  </si>
  <si>
    <t>Andersson, Miss. Ingeborg Constanzia</t>
  </si>
  <si>
    <t>Andersson, Miss. Sigrid Elisabeth</t>
  </si>
  <si>
    <t>O'Dwyer, Miss. Ellen "Nellie"</t>
  </si>
  <si>
    <t>Goldsmith, Mr. Frank John</t>
  </si>
  <si>
    <t>McGovern, Miss. Mary</t>
  </si>
  <si>
    <t>Leeni, Mr. Fahim ("Philip Zenni")</t>
  </si>
  <si>
    <t>Ohman, Miss. Velin</t>
  </si>
  <si>
    <t>Mockler, Miss. Helen Mary "Ellie"</t>
  </si>
  <si>
    <t>de Messemaeker, Mrs. Guillaume Joseph (Emma)</t>
  </si>
  <si>
    <t>O'Brien, Mr. Timothy</t>
  </si>
  <si>
    <t>Sivic, Mr. Husein</t>
  </si>
  <si>
    <t>O'Leary, Miss. Hanora "Norah"</t>
  </si>
  <si>
    <t>McDermott, Miss. Brigdet Delia</t>
  </si>
  <si>
    <t>Davies, Mr. Alfred J</t>
  </si>
  <si>
    <t>A/4 48871</t>
  </si>
  <si>
    <t>Stoytcheff, Mr. Ilia</t>
  </si>
  <si>
    <t>Palsson, Mrs. Nils (Alma Cornelia Berglund)</t>
  </si>
  <si>
    <t>Rommetvedt, Mr. Knud Paust</t>
  </si>
  <si>
    <t>Jonsson, Mr. Carl</t>
  </si>
  <si>
    <t>Moss, Mr. Albert Johan</t>
  </si>
  <si>
    <t>Rush, Mr. Alfred George John</t>
  </si>
  <si>
    <t>A/4. 20589</t>
  </si>
  <si>
    <t>Patchett, Mr. George</t>
  </si>
  <si>
    <t>Kiernan, Mr. Philip</t>
  </si>
  <si>
    <t>Jussila, Mr. Eiriik</t>
  </si>
  <si>
    <t>STON/O 2. 3101286</t>
  </si>
  <si>
    <t>McMahon, Mr. Martin</t>
  </si>
  <si>
    <t>Gilinski, Mr. Eliezer</t>
  </si>
  <si>
    <t>Mernagh, Mr. Robert</t>
  </si>
  <si>
    <t>Rintamaki, Mr. Matti</t>
  </si>
  <si>
    <t>STON/O 2. 3101273</t>
  </si>
  <si>
    <t>Elsbury, Mr. William James</t>
  </si>
  <si>
    <t>A/5 3902</t>
  </si>
  <si>
    <t>Smith, Mr. Thomas</t>
  </si>
  <si>
    <t>Van Impe, Mr. Jean Baptiste</t>
  </si>
  <si>
    <t>Henry, Miss. Delia</t>
  </si>
  <si>
    <t>Johnson, Mr. Alfred</t>
  </si>
  <si>
    <t>Flynn, Mr. James</t>
  </si>
  <si>
    <t>O'Connor, Mr. Maurice</t>
  </si>
  <si>
    <t>Morrow, Mr. Thomas Rowan</t>
  </si>
  <si>
    <t>Torber, Mr. Ernst William</t>
  </si>
  <si>
    <t>Lindell, Mr. Edvard Bengtsson</t>
  </si>
  <si>
    <t>Karaic, Mr. Milan</t>
  </si>
  <si>
    <t>Andersson, Mrs. Anders Johan (Alfrida Konstantia Brogren)</t>
  </si>
  <si>
    <t>Bourke, Miss. Mary</t>
  </si>
  <si>
    <t>Horgan, Mr. John</t>
  </si>
  <si>
    <t>Tobin, Mr. Roger</t>
  </si>
  <si>
    <t>F38</t>
  </si>
  <si>
    <t>Brocklebank, Mr. William Alfred</t>
  </si>
  <si>
    <t>Danbom, Mr. Ernst Gilbert</t>
  </si>
  <si>
    <t>Lobb, Mrs. William Arthur (Cordelia K Stanlick)</t>
  </si>
  <si>
    <t>Yasbeck, Mr. Antoni</t>
  </si>
  <si>
    <t>Nakid, Mr. Sahid</t>
  </si>
  <si>
    <t>Hansen, Mr. Henry Damsgaard</t>
  </si>
  <si>
    <t>Bowen, Mr. David John "Dai"</t>
  </si>
  <si>
    <t>Bostandyeff, Mr. Guentcho</t>
  </si>
  <si>
    <t>Keane, Mr. Andrew "Andy"</t>
  </si>
  <si>
    <t>Lundahl, Mr. Johan Svensson</t>
  </si>
  <si>
    <t>Glynn, Miss. Mary Agatha</t>
  </si>
  <si>
    <t>Skoog, Miss. Mabel</t>
  </si>
  <si>
    <t>Leinonen, Mr. Antti Gustaf</t>
  </si>
  <si>
    <t>STON/O 2. 3101292</t>
  </si>
  <si>
    <t>Panula, Mrs. Juha (Maria Emilia Ojala)</t>
  </si>
  <si>
    <t>O'Driscoll, Miss. Bridget</t>
  </si>
  <si>
    <t>Jensen, Mr. Hans Peder</t>
  </si>
  <si>
    <t>Skoog, Miss. Margit Elizabeth</t>
  </si>
  <si>
    <t>Madigan, Miss. Margaret "Maggie"</t>
  </si>
  <si>
    <t>Baclini, Miss. Eugenie</t>
  </si>
  <si>
    <t>Cor, Mr. Liudevit</t>
  </si>
  <si>
    <t>Healy, Miss. Hanora "Nora"</t>
  </si>
  <si>
    <t>Stanley, Miss. Amy Zillah Elsie</t>
  </si>
  <si>
    <t>CA. 2314</t>
  </si>
  <si>
    <t>Kelly, Miss. Anna Katherine "Annie Kate"</t>
  </si>
  <si>
    <t>Kalvik, Mr. Johannes Halvorsen</t>
  </si>
  <si>
    <t>Jermyn, Miss. Annie</t>
  </si>
  <si>
    <t>Hegarty, Miss. Hanora "Nora"</t>
  </si>
  <si>
    <t>Kelly, Miss. Mary</t>
  </si>
  <si>
    <t>Bourke, Mrs. John (Catherine)</t>
  </si>
  <si>
    <t>Badt, Mr. Mohamed</t>
  </si>
  <si>
    <t>Coleff, Mr. Peju</t>
  </si>
  <si>
    <t>Lindqvist, Mr. Eino William</t>
  </si>
  <si>
    <t>STON/O 2. 3101285</t>
  </si>
  <si>
    <t>McCormack, Mr. Thomas Joseph</t>
  </si>
  <si>
    <t>Cook, Mr. Jacob</t>
  </si>
  <si>
    <t>A/5 3536</t>
  </si>
  <si>
    <t>Kilgannon, Mr. Thomas J</t>
  </si>
  <si>
    <t>Mannion, Miss. Margareth</t>
  </si>
  <si>
    <t>Edvardsson, Mr. Gustaf Hjalmar</t>
  </si>
  <si>
    <t>Sawyer, Mr. Frederick Charles</t>
  </si>
  <si>
    <t>Turja, Miss. Anna Sofia</t>
  </si>
  <si>
    <t>Goodwin, Mrs. Frederick (Augusta Tyler)</t>
  </si>
  <si>
    <t>O'Connell, Mr. Patrick D</t>
  </si>
  <si>
    <t>Olsvigen, Mr. Thor Anderson</t>
  </si>
  <si>
    <t>Goodwin, Mr. Charles Edward</t>
  </si>
  <si>
    <t>Panula, Mr. Jaako Arnold</t>
  </si>
  <si>
    <t>Dakic, Mr. Branko</t>
  </si>
  <si>
    <t>Fischer, Mr. Eberhard Thelander</t>
  </si>
  <si>
    <t>Karun, Miss. Manca</t>
  </si>
  <si>
    <t>Mullens, Miss. Katherine "Katie"</t>
  </si>
  <si>
    <t>Saad, Mr. Khalil</t>
  </si>
  <si>
    <t>Kelly, Mr. James</t>
  </si>
  <si>
    <t>Sadlier, Mr. Matthew</t>
  </si>
  <si>
    <t>Humblen, Mr. Adolf Mathias Nicolai Olsen</t>
  </si>
  <si>
    <t>F G63</t>
  </si>
  <si>
    <t>Barbara, Miss. Saiide</t>
  </si>
  <si>
    <t>Gallagher, Mr. Martin</t>
  </si>
  <si>
    <t>Hansen, Mr. Henrik Juul</t>
  </si>
  <si>
    <t>Scanlan, Mr. James</t>
  </si>
  <si>
    <t>O'Sullivan, Miss. Bridget Mary</t>
  </si>
  <si>
    <t>Larsson, Mr. August Viktor</t>
  </si>
  <si>
    <t>Soholt, Mr. Peter Andreas Lauritz Andersen</t>
  </si>
  <si>
    <t>Harknett, Miss. Alice Phoebe</t>
  </si>
  <si>
    <t>W./C. 6609</t>
  </si>
  <si>
    <t>Johnson, Mr. Malkolm Joackim</t>
  </si>
  <si>
    <t>Jensen, Mr. Svend Lauritz</t>
  </si>
  <si>
    <t>Oreskovic, Mr. Luka</t>
  </si>
  <si>
    <t>Willey, Mr. Edward</t>
  </si>
  <si>
    <t>S.O./P.P. 751</t>
  </si>
  <si>
    <t>Ilmakangas, Miss. Pieta Sofia</t>
  </si>
  <si>
    <t>STON/O2. 3101271</t>
  </si>
  <si>
    <t>Hassan, Mr. Houssein G N</t>
  </si>
  <si>
    <t>Olsen, Mr. Ole Martin</t>
  </si>
  <si>
    <t>Fa 265302</t>
  </si>
  <si>
    <t>Williams, Mr. Leslie</t>
  </si>
  <si>
    <t>Ford, Mrs. Edward (Margaret Ann Watson)</t>
  </si>
  <si>
    <t>Reed, Mr. James George</t>
  </si>
  <si>
    <t>Wiseman, Mr. Phillippe</t>
  </si>
  <si>
    <t>A/4. 34244</t>
  </si>
  <si>
    <t>Keefe, Mr. Arthur</t>
  </si>
  <si>
    <t>McNamee, Mr. Neal</t>
  </si>
  <si>
    <t>Stranden, Mr. Juho</t>
  </si>
  <si>
    <t>STON/O 2. 3101288</t>
  </si>
  <si>
    <t>Abbott, Mr. Rossmore Edward</t>
  </si>
  <si>
    <t>Connaghton, Mr. Michael</t>
  </si>
  <si>
    <t>Moor, Master. Meier</t>
  </si>
  <si>
    <t>E121</t>
  </si>
  <si>
    <t>Vande Velde, Mr. Johannes Joseph</t>
  </si>
  <si>
    <t>Jonkoff, Mr. Lalio</t>
  </si>
  <si>
    <t>Carlsson, Mr. August Sigfrid</t>
  </si>
  <si>
    <t>Theobald, Mr. Thomas Leonard</t>
  </si>
  <si>
    <t>Kassem, Mr. Fared</t>
  </si>
  <si>
    <t>Nirva, Mr. Iisakki Antino Aijo</t>
  </si>
  <si>
    <t>SOTON/O2 3101272</t>
  </si>
  <si>
    <t>Barah, Mr. Hanna Assi</t>
  </si>
  <si>
    <t>Eklund, Mr. Hans Linus</t>
  </si>
  <si>
    <t>Toufik, Mr. Nakli</t>
  </si>
  <si>
    <t>Mangan, Miss. Mary</t>
  </si>
  <si>
    <t>Doharr, Mr. Tannous</t>
  </si>
  <si>
    <t>Gronnestad, Mr. Daniel Danielsen</t>
  </si>
  <si>
    <t>Lievens, Mr. Rene Aime</t>
  </si>
  <si>
    <t>Jensen, Mr. Niels Peder</t>
  </si>
  <si>
    <t>Saad, Mr. Amin</t>
  </si>
  <si>
    <t>Myhrman, Mr. Pehr Fabian Oliver Malkolm</t>
  </si>
  <si>
    <t>Razi, Mr. Raihed</t>
  </si>
  <si>
    <t>Emanuel, Miss. Virginia Ethel</t>
  </si>
  <si>
    <t>Mamee, Mr. Hanna</t>
  </si>
  <si>
    <t>Ayoub, Miss. Banoura</t>
  </si>
  <si>
    <t>Moussa, Mrs. (Mantoura Boulos)</t>
  </si>
  <si>
    <t>Ali, Mr. William</t>
  </si>
  <si>
    <t>SOTON/O.Q. 3101312</t>
  </si>
  <si>
    <t>Harmer, Mr. Abraham (David Lishin)</t>
  </si>
  <si>
    <t>Sjoblom, Miss. Anna Sofia</t>
  </si>
  <si>
    <t>Rice, Master. George Hugh</t>
  </si>
  <si>
    <t>Dean, Master. Bertram Vere</t>
  </si>
  <si>
    <t>Emir, Mr. Farred Chehab</t>
  </si>
  <si>
    <t>Yousif, Mr. Wazli</t>
  </si>
  <si>
    <t>Lahoud, Mr. Sarkis</t>
  </si>
  <si>
    <t>Dantcheff, Mr. Ristiu</t>
  </si>
  <si>
    <t>Osman, Mrs. Mara</t>
  </si>
  <si>
    <t>Ibrahim Shawah, Mr. Yousseff</t>
  </si>
  <si>
    <t>Van Impe, Mrs. Jean Baptiste (Rosalie Paula Govaert)</t>
  </si>
  <si>
    <t>Thomas, Master. Assad Alexander</t>
  </si>
  <si>
    <t>Hedman, Mr. Oskar Arvid</t>
  </si>
  <si>
    <t>Johansson, Mr. Karl Johan</t>
  </si>
  <si>
    <t>Pettersson, Miss. Ellen Natalia</t>
  </si>
  <si>
    <t>Alexander, Mr. William</t>
  </si>
  <si>
    <t>Lester, Mr. James</t>
  </si>
  <si>
    <t>Andersson, Miss. Ebba Iris Alfrida</t>
  </si>
  <si>
    <t>Tomlin, Mr. Ernest Portage</t>
  </si>
  <si>
    <t>Boulos, Mr. Hanna</t>
  </si>
  <si>
    <t>Heininen, Miss. Wendla Maria</t>
  </si>
  <si>
    <t>STON/O2. 3101290</t>
  </si>
  <si>
    <t>Holm, Mr. John Fredrik Alexander</t>
  </si>
  <si>
    <t>C 7075</t>
  </si>
  <si>
    <t>Skoog, Master. Karl Thorsten</t>
  </si>
  <si>
    <t>Lulic, Mr. Nikola</t>
  </si>
  <si>
    <t>Moor, Mrs. (Beila)</t>
  </si>
  <si>
    <t>Panula, Master. Urho Abraham</t>
  </si>
  <si>
    <t>Elias, Mr. Dibo</t>
  </si>
  <si>
    <t>Masselmani, Mrs. Fatima</t>
  </si>
  <si>
    <t>Jardin, Mr. Jose Neto</t>
  </si>
  <si>
    <t>SOTON/O.Q. 3101305</t>
  </si>
  <si>
    <t>Yasbeck, Mrs. Antoni (Selini Alexander)</t>
  </si>
  <si>
    <t>Flynn, Mr. John</t>
  </si>
  <si>
    <t>Augustsson, Mr. Albert</t>
  </si>
  <si>
    <t>Allum, Mr. Owen George</t>
  </si>
  <si>
    <t>Pasic, Mr. Jakob</t>
  </si>
  <si>
    <t>Hart, Mr. Henry</t>
  </si>
  <si>
    <t>Chip, Mr. Chang</t>
  </si>
  <si>
    <t>Alhomaki, Mr. Ilmari Rudolf</t>
  </si>
  <si>
    <t>SOTON/O2 3101287</t>
  </si>
  <si>
    <t>Lemberopolous, Mr. Peter L</t>
  </si>
  <si>
    <t>Culumovic, Mr. Jeso</t>
  </si>
  <si>
    <t>Abbing, Mr. Anthony</t>
  </si>
  <si>
    <t>C.A. 5547</t>
  </si>
  <si>
    <t>Markoff, Mr. Marin</t>
  </si>
  <si>
    <t>Andersson, Master. Sigvard Harald Elias</t>
  </si>
  <si>
    <t>Svensson, Mr. Johan</t>
  </si>
  <si>
    <t>Boulos, Miss. Nourelain</t>
  </si>
  <si>
    <t>Aks, Mrs. Sam (Leah Rosen)</t>
  </si>
  <si>
    <t>Baclini, Mrs. Solomon (Latifa Qurban)</t>
  </si>
  <si>
    <t>Hansen, Mr. Claus Peter</t>
  </si>
  <si>
    <t>Johnson, Master. Harold Theodor</t>
  </si>
  <si>
    <t>Balkic, Mr. Cerin</t>
  </si>
  <si>
    <t>Vander Cruyssen, Mr. Victor</t>
  </si>
  <si>
    <t>Najib, Miss. Adele Kiamie "Jane"</t>
  </si>
  <si>
    <t>Gustafsson, Mr. Alfred Ossian</t>
  </si>
  <si>
    <t>Petroff, Mr. Nedelio</t>
  </si>
  <si>
    <t>Markun, Mr. Johann</t>
  </si>
  <si>
    <t>Dahlberg, Miss. Gerda Ulrika</t>
  </si>
  <si>
    <t>Sutehall, Mr. Henry Jr</t>
  </si>
  <si>
    <t>SOTON/OQ 392076</t>
  </si>
  <si>
    <t>Rice, Mrs. William (Margaret Norton)</t>
  </si>
  <si>
    <t>Dooley, Mr. Patrick</t>
  </si>
  <si>
    <t>FancyName</t>
  </si>
  <si>
    <t>12-17</t>
  </si>
  <si>
    <t>18-23</t>
  </si>
  <si>
    <t>24-29</t>
  </si>
  <si>
    <t>30-35</t>
  </si>
  <si>
    <t>36-42</t>
  </si>
  <si>
    <t>&gt;42</t>
  </si>
  <si>
    <t>0-10</t>
  </si>
  <si>
    <t>10-20</t>
  </si>
  <si>
    <t>20-30</t>
  </si>
  <si>
    <t>30-40</t>
  </si>
  <si>
    <t>40-50</t>
  </si>
  <si>
    <t>50-60</t>
  </si>
  <si>
    <t>&gt;60</t>
  </si>
  <si>
    <t>Ticket2</t>
  </si>
  <si>
    <t>&lt;7</t>
  </si>
  <si>
    <t>7-12</t>
  </si>
  <si>
    <t>17-22</t>
  </si>
  <si>
    <t>22-27</t>
  </si>
  <si>
    <t>27-32</t>
  </si>
  <si>
    <t>32-37</t>
  </si>
  <si>
    <t>&gt;37</t>
  </si>
  <si>
    <t>0-0</t>
  </si>
  <si>
    <t>1-1</t>
  </si>
  <si>
    <t>2-3</t>
  </si>
  <si>
    <t>&gt;3</t>
  </si>
  <si>
    <t/>
  </si>
  <si>
    <t>Cabin2</t>
  </si>
  <si>
    <t>11</t>
  </si>
  <si>
    <t>12</t>
  </si>
  <si>
    <t>14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</si>
  <si>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</si>
  <si>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</si>
  <si>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</si>
  <si>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</si>
  <si>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</si>
  <si>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</si>
  <si>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</si>
  <si>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</si>
  <si>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</si>
  <si>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</si>
  <si>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28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</si>
  <si>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</si>
  <si>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</si>
  <si>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</si>
  <si>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</si>
  <si>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</si>
  <si>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</si>
  <si>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</si>
  <si>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</si>
  <si>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</si>
  <si>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41</t>
  </si>
  <si>
    <t>45</t>
  </si>
  <si>
    <t>54</t>
  </si>
  <si>
    <t>65</t>
  </si>
  <si>
    <t>69</t>
  </si>
  <si>
    <t>92</t>
  </si>
  <si>
    <t>13</t>
  </si>
  <si>
    <t>27</t>
  </si>
  <si>
    <t>29</t>
  </si>
  <si>
    <t>57</t>
  </si>
  <si>
    <t>72</t>
  </si>
  <si>
    <t>75</t>
  </si>
  <si>
    <t>84</t>
  </si>
  <si>
    <t>A.</t>
  </si>
  <si>
    <t>A/</t>
  </si>
  <si>
    <t>A4</t>
  </si>
  <si>
    <t xml:space="preserve">C </t>
  </si>
  <si>
    <t>C.</t>
  </si>
  <si>
    <t>CA</t>
  </si>
  <si>
    <t>F.</t>
  </si>
  <si>
    <t>Fa</t>
  </si>
  <si>
    <t>LI</t>
  </si>
  <si>
    <t>P/</t>
  </si>
  <si>
    <t>PC</t>
  </si>
  <si>
    <t>PP</t>
  </si>
  <si>
    <t>S.</t>
  </si>
  <si>
    <t>SC</t>
  </si>
  <si>
    <t>SO</t>
  </si>
  <si>
    <t>ST</t>
  </si>
  <si>
    <t>SW</t>
  </si>
  <si>
    <t>W.</t>
  </si>
  <si>
    <t>W/</t>
  </si>
  <si>
    <t>WE</t>
  </si>
  <si>
    <t>Cabintest</t>
  </si>
  <si>
    <t>Count of Survived</t>
  </si>
  <si>
    <t>P(s)</t>
  </si>
  <si>
    <t>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</si>
</sst>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33" borderId="0" xfId="0" applyFill="1"/>
    <xf numFmtId="9" fontId="0" fillId="0" borderId="0" xfId="1" applyFont="1"/>
    <xf numFmtId="2" fontId="0" fillId="0" borderId="0" xfId="0" applyNumberFormat="1"/>
    <xf numFmtId="1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FancyName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'train (version 1).xlsb'!$AB$13</c:f>
              <c:strCache>
                <c:ptCount val="1"/>
                <c:pt idx="0">
                  <c:v>observations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'train (version 1).xlsb'!$Z$14:$Z$19</c:f>
              <c:strCache>
                <c:ptCount val="1"/>
                <c:pt idx="0">
                  <c:v>36-42</c:v>
                </c:pt>
              </c:strCache>
            </c:strRef>
          </c:cat>
          <c:val>
            <c:numRef>
              <c:f>'train (version 1).xlsb'!$AB$14:$AB$19</c:f>
              <c:numCache>
                <c:formatCode>General</c:formatCode>
                <c:ptCount val="1"/>
                <c:pt idx="0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2D-4298-BD88-08D7DC17C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07575375"/>
        <c:axId val="1607574127"/>
      </c:barChart>
      <c:lineChart>
        <c:grouping val="standard"/>
        <c:varyColors val="0"/>
        <c:ser>
          <c:idx val="0"/>
          <c:order val="0"/>
          <c:tx>
            <c:strRef>
              <c:f>'train (version 1).xlsb'!$AA$13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'train (version 1).xlsb'!$Z$14:$Z$19</c:f>
              <c:strCache>
                <c:ptCount val="1"/>
                <c:pt idx="0">
                  <c:v>36-42</c:v>
                </c:pt>
              </c:strCache>
            </c:strRef>
          </c:cat>
          <c:val>
            <c:numRef>
              <c:f>'train (version 1).xlsb'!$AA$14:$AA$19</c:f>
              <c:numCache>
                <c:formatCode>0%</c:formatCode>
                <c:ptCount val="1"/>
                <c:pt idx="0">
                  <c:v>0.52631578947368418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2D-4298-BD88-08D7DC17C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468591"/>
        <c:axId val="1548469007"/>
      </c:lineChart>
      <c:catAx>
        <c:axId val="154846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469007"/>
        <c:crosses val="autoZero"/>
        <c:auto val="1"/>
        <c:lblAlgn val="ctr"/>
        <c:lblOffset val="100"/>
        <c:noMultiLvlLbl val="0"/>
      </c:catAx>
      <c:valAx>
        <c:axId val="1548469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468591"/>
        <c:crosses val="autoZero"/>
        <c:crossBetween val="between"/>
      </c:valAx>
      <c:valAx>
        <c:axId val="160757412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7575375"/>
        <c:crosses val="max"/>
        <c:crossBetween val="between"/>
      </c:valAx>
      <c:catAx>
        <c:axId val="16075753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7574127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Pclass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'train (version 1).xlsb'!$AB$4</c:f>
              <c:strCache>
                <c:ptCount val="1"/>
                <c:pt idx="0">
                  <c:v>observations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'train (version 1).xlsb'!$Z$5:$Z$7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'train (version 1).xlsb'!$AB$5:$AB$7</c:f>
              <c:numCache>
                <c:formatCode>General</c:formatCode>
                <c:ptCount val="1"/>
                <c:pt idx="0">
                  <c:v>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A6-4E52-BEE8-45EFAFE8C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07575375"/>
        <c:axId val="1607574127"/>
      </c:barChart>
      <c:lineChart>
        <c:grouping val="standard"/>
        <c:varyColors val="0"/>
        <c:ser>
          <c:idx val="0"/>
          <c:order val="0"/>
          <c:tx>
            <c:strRef>
              <c:f>'train (version 1).xlsb'!$AA$4</c:f>
              <c:strCache>
                <c:ptCount val="1"/>
                <c:pt idx="0">
                  <c:v>P(S)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'train (version 1).xlsb'!$Z$5:$Z$7</c:f>
              <c:numCache>
                <c:formatCode>General</c:formatCode>
                <c:ptCount val="1"/>
                <c:pt idx="0">
                  <c:v>2</c:v>
                </c:pt>
              </c:numCache>
            </c:numRef>
          </c:cat>
          <c:val>
            <c:numRef>
              <c:f>'train (version 1).xlsb'!$AA$5:$AA$7</c:f>
              <c:numCache>
                <c:formatCode>0%</c:formatCode>
                <c:ptCount val="1"/>
                <c:pt idx="0">
                  <c:v>0.47282608695652173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A6-4E52-BEE8-45EFAFE8C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468591"/>
        <c:axId val="1548469007"/>
      </c:lineChart>
      <c:catAx>
        <c:axId val="154846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469007"/>
        <c:crosses val="autoZero"/>
        <c:auto val="1"/>
        <c:lblAlgn val="ctr"/>
        <c:lblOffset val="100"/>
        <c:noMultiLvlLbl val="0"/>
      </c:catAx>
      <c:valAx>
        <c:axId val="1548469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468591"/>
        <c:crosses val="autoZero"/>
        <c:crossBetween val="between"/>
      </c:valAx>
      <c:valAx>
        <c:axId val="160757412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7575375"/>
        <c:crosses val="max"/>
        <c:crossBetween val="between"/>
      </c:valAx>
      <c:catAx>
        <c:axId val="16075753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757412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Sex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'train (version 1).xlsb'!$AB$26</c:f>
              <c:strCache>
                <c:ptCount val="1"/>
                <c:pt idx="0">
                  <c:v>observations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'train (version 1).xlsb'!$Z$27:$Z$28</c:f>
              <c:strCache>
                <c:ptCount val="1"/>
                <c:pt idx="0">
                  <c:v>male</c:v>
                </c:pt>
              </c:strCache>
            </c:strRef>
          </c:cat>
          <c:val>
            <c:numRef>
              <c:f>'train (version 1).xlsb'!$AB$27:$AB$28</c:f>
              <c:numCache>
                <c:formatCode>General</c:formatCode>
                <c:ptCount val="1"/>
                <c:pt idx="0">
                  <c:v>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90-4A27-BB5D-D2E721DC6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07575375"/>
        <c:axId val="1607574127"/>
      </c:barChart>
      <c:lineChart>
        <c:grouping val="standard"/>
        <c:varyColors val="0"/>
        <c:ser>
          <c:idx val="0"/>
          <c:order val="0"/>
          <c:tx>
            <c:strRef>
              <c:f>'train (version 1).xlsb'!$AA$26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'train (version 1).xlsb'!$Z$27:$Z$28</c:f>
              <c:strCache>
                <c:ptCount val="1"/>
                <c:pt idx="0">
                  <c:v>male</c:v>
                </c:pt>
              </c:strCache>
            </c:strRef>
          </c:cat>
          <c:val>
            <c:numRef>
              <c:f>'train (version 1).xlsb'!$AA$27:$AA$28</c:f>
              <c:numCache>
                <c:formatCode>0%</c:formatCode>
                <c:ptCount val="1"/>
                <c:pt idx="0">
                  <c:v>0.18890814558058924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90-4A27-BB5D-D2E721DC6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468591"/>
        <c:axId val="1548469007"/>
      </c:lineChart>
      <c:catAx>
        <c:axId val="154846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469007"/>
        <c:crosses val="autoZero"/>
        <c:auto val="1"/>
        <c:lblAlgn val="ctr"/>
        <c:lblOffset val="100"/>
        <c:noMultiLvlLbl val="0"/>
      </c:catAx>
      <c:valAx>
        <c:axId val="1548469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468591"/>
        <c:crosses val="autoZero"/>
        <c:crossBetween val="between"/>
      </c:valAx>
      <c:valAx>
        <c:axId val="160757412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7575375"/>
        <c:crosses val="max"/>
        <c:crossBetween val="between"/>
      </c:valAx>
      <c:catAx>
        <c:axId val="16075753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757412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Age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'train (version 1).xlsb'!$AB$35</c:f>
              <c:strCache>
                <c:ptCount val="1"/>
                <c:pt idx="0">
                  <c:v>observations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'train (version 1).xlsb'!$Z$36:$Z$42</c:f>
            </c:strRef>
          </c:cat>
          <c:val>
            <c:numRef>
              <c:f>'train (version 1).xlsb'!$AB$36:$AB$42</c:f>
            </c:numRef>
          </c:val>
          <c:extLst>
            <c:ext xmlns:c16="http://schemas.microsoft.com/office/drawing/2014/chart" uri="{C3380CC4-5D6E-409C-BE32-E72D297353CC}">
              <c16:uniqueId val="{00000000-42D2-42E4-A2C7-98B67677A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07575375"/>
        <c:axId val="1607574127"/>
      </c:barChart>
      <c:lineChart>
        <c:grouping val="standard"/>
        <c:varyColors val="0"/>
        <c:ser>
          <c:idx val="0"/>
          <c:order val="0"/>
          <c:tx>
            <c:strRef>
              <c:f>'train (version 1).xlsb'!$AA$35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'train (version 1).xlsb'!$Z$36:$Z$42</c:f>
            </c:strRef>
          </c:cat>
          <c:val>
            <c:numRef>
              <c:f>'train (version 1).xlsb'!$AA$36:$AA$42</c:f>
            </c:numRef>
          </c:val>
          <c:smooth val="0"/>
          <c:extLst>
            <c:ext xmlns:c16="http://schemas.microsoft.com/office/drawing/2014/chart" uri="{C3380CC4-5D6E-409C-BE32-E72D297353CC}">
              <c16:uniqueId val="{00000001-42D2-42E4-A2C7-98B67677A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468591"/>
        <c:axId val="1548469007"/>
      </c:lineChart>
      <c:catAx>
        <c:axId val="154846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469007"/>
        <c:crosses val="autoZero"/>
        <c:auto val="1"/>
        <c:lblAlgn val="ctr"/>
        <c:lblOffset val="100"/>
        <c:noMultiLvlLbl val="0"/>
      </c:catAx>
      <c:valAx>
        <c:axId val="1548469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468591"/>
        <c:crosses val="autoZero"/>
        <c:crossBetween val="between"/>
      </c:valAx>
      <c:valAx>
        <c:axId val="160757412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7575375"/>
        <c:crosses val="max"/>
        <c:crossBetween val="between"/>
      </c:valAx>
      <c:catAx>
        <c:axId val="16075753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757412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S&amp;S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'train (version 1).xlsb'!$AB$49</c:f>
              <c:strCache>
                <c:ptCount val="1"/>
                <c:pt idx="0">
                  <c:v>observations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'train (version 1).xlsb'!$Z$50:$Z$56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'train (version 1).xlsb'!$AB$50:$AB$56</c:f>
              <c:numCache>
                <c:formatCode>General</c:formatCode>
                <c:ptCount val="4"/>
                <c:pt idx="0">
                  <c:v>608</c:v>
                </c:pt>
                <c:pt idx="1">
                  <c:v>16</c:v>
                </c:pt>
                <c:pt idx="2">
                  <c:v>18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1C-4BF2-9F79-BB9281DFA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07575375"/>
        <c:axId val="1607574127"/>
      </c:barChart>
      <c:lineChart>
        <c:grouping val="standard"/>
        <c:varyColors val="0"/>
        <c:ser>
          <c:idx val="0"/>
          <c:order val="0"/>
          <c:tx>
            <c:strRef>
              <c:f>'train (version 1).xlsb'!$AA$49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'train (version 1).xlsb'!$Z$50:$Z$56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'train (version 1).xlsb'!$AA$50:$AA$56</c:f>
              <c:numCache>
                <c:formatCode>0%</c:formatCode>
                <c:ptCount val="4"/>
                <c:pt idx="0">
                  <c:v>0.34539473684210525</c:v>
                </c:pt>
                <c:pt idx="1">
                  <c:v>0.25</c:v>
                </c:pt>
                <c:pt idx="2">
                  <c:v>0.16666666666666666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1C-4BF2-9F79-BB9281DFA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468591"/>
        <c:axId val="1548469007"/>
      </c:lineChart>
      <c:catAx>
        <c:axId val="154846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469007"/>
        <c:crosses val="autoZero"/>
        <c:auto val="1"/>
        <c:lblAlgn val="ctr"/>
        <c:lblOffset val="100"/>
        <c:noMultiLvlLbl val="0"/>
      </c:catAx>
      <c:valAx>
        <c:axId val="1548469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468591"/>
        <c:crosses val="autoZero"/>
        <c:crossBetween val="between"/>
      </c:valAx>
      <c:valAx>
        <c:axId val="160757412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7575375"/>
        <c:crosses val="max"/>
        <c:crossBetween val="between"/>
      </c:valAx>
      <c:catAx>
        <c:axId val="16075753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757412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P&amp;C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'train (version 1).xlsb'!$AB$63</c:f>
              <c:strCache>
                <c:ptCount val="1"/>
                <c:pt idx="0">
                  <c:v>observations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'train (version 1).xlsb'!$Z$64:$Z$67</c:f>
              <c:strCache>
                <c:ptCount val="1"/>
                <c:pt idx="0">
                  <c:v>1-1</c:v>
                </c:pt>
              </c:strCache>
            </c:strRef>
          </c:cat>
          <c:val>
            <c:numRef>
              <c:f>'train (version 1).xlsb'!$AB$64:$AB$67</c:f>
              <c:numCache>
                <c:formatCode>General</c:formatCode>
                <c:ptCount val="1"/>
                <c:pt idx="0">
                  <c:v>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CA-47A3-8D03-A1AD80290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07575375"/>
        <c:axId val="1607574127"/>
      </c:barChart>
      <c:lineChart>
        <c:grouping val="standard"/>
        <c:varyColors val="0"/>
        <c:ser>
          <c:idx val="0"/>
          <c:order val="0"/>
          <c:tx>
            <c:strRef>
              <c:f>'train (version 1).xlsb'!$AA$63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'train (version 1).xlsb'!$Z$64:$Z$67</c:f>
              <c:strCache>
                <c:ptCount val="1"/>
                <c:pt idx="0">
                  <c:v>1-1</c:v>
                </c:pt>
              </c:strCache>
            </c:strRef>
          </c:cat>
          <c:val>
            <c:numRef>
              <c:f>'train (version 1).xlsb'!$AA$64:$AA$67</c:f>
              <c:numCache>
                <c:formatCode>0%</c:formatCode>
                <c:ptCount val="1"/>
                <c:pt idx="0">
                  <c:v>0.55084745762711862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CA-47A3-8D03-A1AD80290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468591"/>
        <c:axId val="1548469007"/>
      </c:lineChart>
      <c:catAx>
        <c:axId val="154846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469007"/>
        <c:crosses val="autoZero"/>
        <c:auto val="1"/>
        <c:lblAlgn val="ctr"/>
        <c:lblOffset val="100"/>
        <c:noMultiLvlLbl val="0"/>
      </c:catAx>
      <c:valAx>
        <c:axId val="1548469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468591"/>
        <c:crosses val="autoZero"/>
        <c:crossBetween val="between"/>
      </c:valAx>
      <c:valAx>
        <c:axId val="160757412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7575375"/>
        <c:crosses val="max"/>
        <c:crossBetween val="between"/>
      </c:valAx>
      <c:catAx>
        <c:axId val="16075753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757412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Deck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'train (version 1).xlsb'!$AB$104</c:f>
              <c:strCache>
                <c:ptCount val="1"/>
                <c:pt idx="0">
                  <c:v>observations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'train (version 1).xlsb'!$Z$105:$Z$112</c:f>
              <c:strCache>
                <c:ptCount val="3"/>
                <c:pt idx="0">
                  <c:v>A</c:v>
                </c:pt>
                <c:pt idx="1">
                  <c:v>C</c:v>
                </c:pt>
                <c:pt idx="2">
                  <c:v>D</c:v>
                </c:pt>
              </c:strCache>
            </c:strRef>
          </c:cat>
          <c:val>
            <c:numRef>
              <c:f>'train (version 1).xlsb'!$AB$105:$AB$112</c:f>
              <c:numCache>
                <c:formatCode>General</c:formatCode>
                <c:ptCount val="3"/>
                <c:pt idx="0">
                  <c:v>15</c:v>
                </c:pt>
                <c:pt idx="1">
                  <c:v>59</c:v>
                </c:pt>
                <c:pt idx="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E9-4B96-B499-F69CD85E8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07575375"/>
        <c:axId val="1607574127"/>
      </c:barChart>
      <c:lineChart>
        <c:grouping val="standard"/>
        <c:varyColors val="0"/>
        <c:ser>
          <c:idx val="0"/>
          <c:order val="0"/>
          <c:tx>
            <c:strRef>
              <c:f>'train (version 1).xlsb'!$AA$104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'train (version 1).xlsb'!$Z$105:$Z$112</c:f>
              <c:strCache>
                <c:ptCount val="3"/>
                <c:pt idx="0">
                  <c:v>A</c:v>
                </c:pt>
                <c:pt idx="1">
                  <c:v>C</c:v>
                </c:pt>
                <c:pt idx="2">
                  <c:v>D</c:v>
                </c:pt>
              </c:strCache>
            </c:strRef>
          </c:cat>
          <c:val>
            <c:numRef>
              <c:f>'train (version 1).xlsb'!$AA$105:$AA$112</c:f>
              <c:numCache>
                <c:formatCode>0%</c:formatCode>
                <c:ptCount val="3"/>
                <c:pt idx="0">
                  <c:v>0.46666666666666667</c:v>
                </c:pt>
                <c:pt idx="1">
                  <c:v>0.59322033898305082</c:v>
                </c:pt>
                <c:pt idx="2">
                  <c:v>0.75757575757575757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E9-4B96-B499-F69CD85E8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468591"/>
        <c:axId val="1548469007"/>
      </c:lineChart>
      <c:catAx>
        <c:axId val="154846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469007"/>
        <c:crosses val="autoZero"/>
        <c:auto val="1"/>
        <c:lblAlgn val="ctr"/>
        <c:lblOffset val="100"/>
        <c:noMultiLvlLbl val="0"/>
      </c:catAx>
      <c:valAx>
        <c:axId val="1548469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468591"/>
        <c:crosses val="autoZero"/>
        <c:crossBetween val="between"/>
      </c:valAx>
      <c:valAx>
        <c:axId val="160757412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7575375"/>
        <c:crosses val="max"/>
        <c:crossBetween val="between"/>
      </c:valAx>
      <c:catAx>
        <c:axId val="16075753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757412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Embarked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'train (version 1).xlsb'!$AB$120</c:f>
              <c:strCache>
                <c:ptCount val="1"/>
                <c:pt idx="0">
                  <c:v>observations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'train (version 1).xlsb'!$Z$121:$Z$123</c:f>
              <c:strCache>
                <c:ptCount val="2"/>
                <c:pt idx="0">
                  <c:v>C</c:v>
                </c:pt>
                <c:pt idx="1">
                  <c:v>Q</c:v>
                </c:pt>
              </c:strCache>
            </c:strRef>
          </c:cat>
          <c:val>
            <c:numRef>
              <c:f>'train (version 1).xlsb'!$AB$121:$AB$123</c:f>
              <c:numCache>
                <c:formatCode>General</c:formatCode>
                <c:ptCount val="2"/>
                <c:pt idx="0">
                  <c:v>168</c:v>
                </c:pt>
                <c:pt idx="1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D-4A2E-8E8F-C9DD0F4F3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07575375"/>
        <c:axId val="1607574127"/>
      </c:barChart>
      <c:lineChart>
        <c:grouping val="standard"/>
        <c:varyColors val="0"/>
        <c:ser>
          <c:idx val="0"/>
          <c:order val="0"/>
          <c:tx>
            <c:strRef>
              <c:f>'train (version 1).xlsb'!$AA$120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'train (version 1).xlsb'!$Z$121:$Z$123</c:f>
              <c:strCache>
                <c:ptCount val="2"/>
                <c:pt idx="0">
                  <c:v>C</c:v>
                </c:pt>
                <c:pt idx="1">
                  <c:v>Q</c:v>
                </c:pt>
              </c:strCache>
            </c:strRef>
          </c:cat>
          <c:val>
            <c:numRef>
              <c:f>'train (version 1).xlsb'!$AA$121:$AA$123</c:f>
              <c:numCache>
                <c:formatCode>0%</c:formatCode>
                <c:ptCount val="2"/>
                <c:pt idx="0">
                  <c:v>0.5535714285714286</c:v>
                </c:pt>
                <c:pt idx="1">
                  <c:v>0.38961038961038963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DD-4A2E-8E8F-C9DD0F4F3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468591"/>
        <c:axId val="1548469007"/>
      </c:lineChart>
      <c:catAx>
        <c:axId val="154846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469007"/>
        <c:crosses val="autoZero"/>
        <c:auto val="1"/>
        <c:lblAlgn val="ctr"/>
        <c:lblOffset val="100"/>
        <c:noMultiLvlLbl val="0"/>
      </c:catAx>
      <c:valAx>
        <c:axId val="1548469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468591"/>
        <c:crosses val="autoZero"/>
        <c:crossBetween val="between"/>
      </c:valAx>
      <c:valAx>
        <c:axId val="160757412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7575375"/>
        <c:crosses val="max"/>
        <c:crossBetween val="between"/>
      </c:valAx>
      <c:catAx>
        <c:axId val="16075753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757412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Ticket2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'train (version 1).xlsb'!$AB$130</c:f>
              <c:strCache>
                <c:ptCount val="1"/>
                <c:pt idx="0">
                  <c:v>observations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'train (version 1).xlsb'!$Z$131:$Z$138</c:f>
              <c:strCache>
                <c:ptCount val="8"/>
                <c:pt idx="0">
                  <c:v>&lt;7</c:v>
                </c:pt>
                <c:pt idx="1">
                  <c:v>7-12</c:v>
                </c:pt>
                <c:pt idx="2">
                  <c:v>12-17</c:v>
                </c:pt>
                <c:pt idx="3">
                  <c:v>17-22</c:v>
                </c:pt>
                <c:pt idx="4">
                  <c:v>22-27</c:v>
                </c:pt>
                <c:pt idx="5">
                  <c:v>27-32</c:v>
                </c:pt>
                <c:pt idx="6">
                  <c:v>32-37</c:v>
                </c:pt>
                <c:pt idx="7">
                  <c:v>&gt;37</c:v>
                </c:pt>
              </c:strCache>
            </c:strRef>
          </c:cat>
          <c:val>
            <c:numRef>
              <c:f>'train (version 1).xlsb'!$AB$131:$AB$138</c:f>
              <c:numCache>
                <c:formatCode>General</c:formatCode>
                <c:ptCount val="8"/>
                <c:pt idx="0">
                  <c:v>28</c:v>
                </c:pt>
                <c:pt idx="1">
                  <c:v>345</c:v>
                </c:pt>
                <c:pt idx="2">
                  <c:v>123</c:v>
                </c:pt>
                <c:pt idx="3">
                  <c:v>39</c:v>
                </c:pt>
                <c:pt idx="4">
                  <c:v>87</c:v>
                </c:pt>
                <c:pt idx="5">
                  <c:v>58</c:v>
                </c:pt>
                <c:pt idx="6">
                  <c:v>13</c:v>
                </c:pt>
                <c:pt idx="7">
                  <c:v>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C-4E9D-9C58-DDEA6E91D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07575375"/>
        <c:axId val="1607574127"/>
      </c:barChart>
      <c:lineChart>
        <c:grouping val="standard"/>
        <c:varyColors val="0"/>
        <c:ser>
          <c:idx val="0"/>
          <c:order val="0"/>
          <c:tx>
            <c:strRef>
              <c:f>'train (version 1).xlsb'!$AA$130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'train (version 1).xlsb'!$Z$131:$Z$138</c:f>
              <c:strCache>
                <c:ptCount val="8"/>
                <c:pt idx="0">
                  <c:v>&lt;7</c:v>
                </c:pt>
                <c:pt idx="1">
                  <c:v>7-12</c:v>
                </c:pt>
                <c:pt idx="2">
                  <c:v>12-17</c:v>
                </c:pt>
                <c:pt idx="3">
                  <c:v>17-22</c:v>
                </c:pt>
                <c:pt idx="4">
                  <c:v>22-27</c:v>
                </c:pt>
                <c:pt idx="5">
                  <c:v>27-32</c:v>
                </c:pt>
                <c:pt idx="6">
                  <c:v>32-37</c:v>
                </c:pt>
                <c:pt idx="7">
                  <c:v>&gt;37</c:v>
                </c:pt>
              </c:strCache>
            </c:strRef>
          </c:cat>
          <c:val>
            <c:numRef>
              <c:f>'train (version 1).xlsb'!$AA$131:$AA$138</c:f>
              <c:numCache>
                <c:formatCode>0%</c:formatCode>
                <c:ptCount val="8"/>
                <c:pt idx="0">
                  <c:v>7.1428571428571425E-2</c:v>
                </c:pt>
                <c:pt idx="1">
                  <c:v>0.22898550724637681</c:v>
                </c:pt>
                <c:pt idx="2">
                  <c:v>0.41463414634146339</c:v>
                </c:pt>
                <c:pt idx="3">
                  <c:v>0.4358974358974359</c:v>
                </c:pt>
                <c:pt idx="4">
                  <c:v>0.51724137931034486</c:v>
                </c:pt>
                <c:pt idx="5">
                  <c:v>0.37931034482758619</c:v>
                </c:pt>
                <c:pt idx="6">
                  <c:v>0.23076923076923078</c:v>
                </c:pt>
                <c:pt idx="7">
                  <c:v>0.62121212121212122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C-4E9D-9C58-DDEA6E91D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468591"/>
        <c:axId val="1548469007"/>
      </c:lineChart>
      <c:catAx>
        <c:axId val="154846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469007"/>
        <c:crosses val="autoZero"/>
        <c:auto val="1"/>
        <c:lblAlgn val="ctr"/>
        <c:lblOffset val="100"/>
        <c:noMultiLvlLbl val="0"/>
      </c:catAx>
      <c:valAx>
        <c:axId val="1548469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468591"/>
        <c:crosses val="autoZero"/>
        <c:crossBetween val="between"/>
      </c:valAx>
      <c:valAx>
        <c:axId val="160757412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7575375"/>
        <c:crosses val="max"/>
        <c:crossBetween val="between"/>
      </c:valAx>
      <c:catAx>
        <c:axId val="16075753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757412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Ticket2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'train (version 1).xlsb'!$AB$151</c:f>
              <c:strCache>
                <c:ptCount val="1"/>
                <c:pt idx="0">
                  <c:v>observations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'train (version 1).xlsb'!$Z$152:$Z$235</c:f>
              <c:numCache>
                <c:formatCode>General</c:formatCode>
                <c:ptCount val="21"/>
                <c:pt idx="0">
                  <c:v>85</c:v>
                </c:pt>
                <c:pt idx="1">
                  <c:v>78</c:v>
                </c:pt>
                <c:pt idx="2">
                  <c:v>77</c:v>
                </c:pt>
                <c:pt idx="3">
                  <c:v>33</c:v>
                </c:pt>
                <c:pt idx="4">
                  <c:v>125</c:v>
                </c:pt>
                <c:pt idx="5">
                  <c:v>35</c:v>
                </c:pt>
                <c:pt idx="6">
                  <c:v>71</c:v>
                </c:pt>
                <c:pt idx="7">
                  <c:v>40</c:v>
                </c:pt>
                <c:pt idx="8">
                  <c:v>26</c:v>
                </c:pt>
                <c:pt idx="9">
                  <c:v>47</c:v>
                </c:pt>
                <c:pt idx="10">
                  <c:v>54</c:v>
                </c:pt>
                <c:pt idx="11">
                  <c:v>16</c:v>
                </c:pt>
                <c:pt idx="12">
                  <c:v>56</c:v>
                </c:pt>
                <c:pt idx="13">
                  <c:v>123</c:v>
                </c:pt>
                <c:pt idx="14">
                  <c:v>104</c:v>
                </c:pt>
                <c:pt idx="15">
                  <c:v>124</c:v>
                </c:pt>
                <c:pt idx="16">
                  <c:v>42</c:v>
                </c:pt>
                <c:pt idx="17">
                  <c:v>63</c:v>
                </c:pt>
                <c:pt idx="18">
                  <c:v>52</c:v>
                </c:pt>
                <c:pt idx="19">
                  <c:v>67</c:v>
                </c:pt>
                <c:pt idx="20">
                  <c:v>23</c:v>
                </c:pt>
              </c:numCache>
            </c:numRef>
          </c:cat>
          <c:val>
            <c:numRef>
              <c:f>'train (version 1).xlsb'!$AB$152:$AB$235</c:f>
              <c:numCache>
                <c:formatCode>General</c:formatCode>
                <c:ptCount val="21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7</c:v>
                </c:pt>
                <c:pt idx="4">
                  <c:v>2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DF-4EE5-93D1-3CDD4832F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07575375"/>
        <c:axId val="1607574127"/>
      </c:barChart>
      <c:lineChart>
        <c:grouping val="standard"/>
        <c:varyColors val="0"/>
        <c:ser>
          <c:idx val="0"/>
          <c:order val="0"/>
          <c:tx>
            <c:strRef>
              <c:f>'train (version 1).xlsb'!$AA$151</c:f>
              <c:strCache>
                <c:ptCount val="1"/>
                <c:pt idx="0">
                  <c:v>P(S)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'train (version 1).xlsb'!$Z$152:$Z$235</c:f>
              <c:numCache>
                <c:formatCode>General</c:formatCode>
                <c:ptCount val="21"/>
                <c:pt idx="0">
                  <c:v>85</c:v>
                </c:pt>
                <c:pt idx="1">
                  <c:v>78</c:v>
                </c:pt>
                <c:pt idx="2">
                  <c:v>77</c:v>
                </c:pt>
                <c:pt idx="3">
                  <c:v>33</c:v>
                </c:pt>
                <c:pt idx="4">
                  <c:v>125</c:v>
                </c:pt>
                <c:pt idx="5">
                  <c:v>35</c:v>
                </c:pt>
                <c:pt idx="6">
                  <c:v>71</c:v>
                </c:pt>
                <c:pt idx="7">
                  <c:v>40</c:v>
                </c:pt>
                <c:pt idx="8">
                  <c:v>26</c:v>
                </c:pt>
                <c:pt idx="9">
                  <c:v>47</c:v>
                </c:pt>
                <c:pt idx="10">
                  <c:v>54</c:v>
                </c:pt>
                <c:pt idx="11">
                  <c:v>16</c:v>
                </c:pt>
                <c:pt idx="12">
                  <c:v>56</c:v>
                </c:pt>
                <c:pt idx="13">
                  <c:v>123</c:v>
                </c:pt>
                <c:pt idx="14">
                  <c:v>104</c:v>
                </c:pt>
                <c:pt idx="15">
                  <c:v>124</c:v>
                </c:pt>
                <c:pt idx="16">
                  <c:v>42</c:v>
                </c:pt>
                <c:pt idx="17">
                  <c:v>63</c:v>
                </c:pt>
                <c:pt idx="18">
                  <c:v>52</c:v>
                </c:pt>
                <c:pt idx="19">
                  <c:v>67</c:v>
                </c:pt>
                <c:pt idx="20">
                  <c:v>23</c:v>
                </c:pt>
              </c:numCache>
            </c:numRef>
          </c:cat>
          <c:val>
            <c:numRef>
              <c:f>'train (version 1).xlsb'!$AA$152:$AA$235</c:f>
              <c:numCache>
                <c:formatCode>0%</c:formatCode>
                <c:ptCount val="21"/>
                <c:pt idx="0">
                  <c:v>1</c:v>
                </c:pt>
                <c:pt idx="1">
                  <c:v>0.66666666666666663</c:v>
                </c:pt>
                <c:pt idx="2">
                  <c:v>0.66666666666666663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0.33333333333333331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0.5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0.5</c:v>
                </c:pt>
                <c:pt idx="20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DF-4EE5-93D1-3CDD4832F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468591"/>
        <c:axId val="1548469007"/>
      </c:lineChart>
      <c:catAx>
        <c:axId val="154846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469007"/>
        <c:crosses val="autoZero"/>
        <c:auto val="1"/>
        <c:lblAlgn val="ctr"/>
        <c:lblOffset val="100"/>
        <c:noMultiLvlLbl val="0"/>
      </c:catAx>
      <c:valAx>
        <c:axId val="1548469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468591"/>
        <c:crosses val="autoZero"/>
        <c:crossBetween val="between"/>
      </c:valAx>
      <c:valAx>
        <c:axId val="160757412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7575375"/>
        <c:crosses val="max"/>
        <c:crossBetween val="between"/>
      </c:valAx>
      <c:catAx>
        <c:axId val="16075753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757412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Ticket2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'train (version 1).xlsb'!$AB$151</c:f>
              <c:strCache>
                <c:ptCount val="1"/>
                <c:pt idx="0">
                  <c:v>observations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'train (version 1).xlsb'!$Z$263:$Z$318</c:f>
              <c:strCache>
                <c:ptCount val="9"/>
                <c:pt idx="0">
                  <c:v>25</c:v>
                </c:pt>
                <c:pt idx="1">
                  <c:v>27</c:v>
                </c:pt>
                <c:pt idx="2">
                  <c:v>36</c:v>
                </c:pt>
                <c:pt idx="3">
                  <c:v>37</c:v>
                </c:pt>
                <c:pt idx="4">
                  <c:v>38</c:v>
                </c:pt>
                <c:pt idx="5">
                  <c:v>72</c:v>
                </c:pt>
                <c:pt idx="6">
                  <c:v>A/</c:v>
                </c:pt>
                <c:pt idx="7">
                  <c:v>A4</c:v>
                </c:pt>
                <c:pt idx="8">
                  <c:v>W.</c:v>
                </c:pt>
              </c:strCache>
            </c:strRef>
          </c:cat>
          <c:val>
            <c:numRef>
              <c:f>'train (version 1).xlsb'!$AB$263:$AB$318</c:f>
              <c:numCache>
                <c:formatCode>General</c:formatCode>
                <c:ptCount val="9"/>
                <c:pt idx="0">
                  <c:v>14</c:v>
                </c:pt>
                <c:pt idx="1">
                  <c:v>4</c:v>
                </c:pt>
                <c:pt idx="2">
                  <c:v>46</c:v>
                </c:pt>
                <c:pt idx="3">
                  <c:v>25</c:v>
                </c:pt>
                <c:pt idx="4">
                  <c:v>10</c:v>
                </c:pt>
                <c:pt idx="5">
                  <c:v>1</c:v>
                </c:pt>
                <c:pt idx="6">
                  <c:v>24</c:v>
                </c:pt>
                <c:pt idx="7">
                  <c:v>1</c:v>
                </c:pt>
                <c:pt idx="8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B9-4107-B00C-029E511AD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07575375"/>
        <c:axId val="1607574127"/>
      </c:barChart>
      <c:lineChart>
        <c:grouping val="standard"/>
        <c:varyColors val="0"/>
        <c:ser>
          <c:idx val="0"/>
          <c:order val="0"/>
          <c:tx>
            <c:strRef>
              <c:f>'train (version 1).xlsb'!$AA$151</c:f>
              <c:strCache>
                <c:ptCount val="1"/>
                <c:pt idx="0">
                  <c:v>P(S)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'train (version 1).xlsb'!$Z$263:$Z$318</c:f>
              <c:strCache>
                <c:ptCount val="9"/>
                <c:pt idx="0">
                  <c:v>25</c:v>
                </c:pt>
                <c:pt idx="1">
                  <c:v>27</c:v>
                </c:pt>
                <c:pt idx="2">
                  <c:v>36</c:v>
                </c:pt>
                <c:pt idx="3">
                  <c:v>37</c:v>
                </c:pt>
                <c:pt idx="4">
                  <c:v>38</c:v>
                </c:pt>
                <c:pt idx="5">
                  <c:v>72</c:v>
                </c:pt>
                <c:pt idx="6">
                  <c:v>A/</c:v>
                </c:pt>
                <c:pt idx="7">
                  <c:v>A4</c:v>
                </c:pt>
                <c:pt idx="8">
                  <c:v>W.</c:v>
                </c:pt>
              </c:strCache>
            </c:strRef>
          </c:cat>
          <c:val>
            <c:numRef>
              <c:f>'train (version 1).xlsb'!$AA$263:$AA$318</c:f>
              <c:numCache>
                <c:formatCode>0%</c:formatCode>
                <c:ptCount val="9"/>
                <c:pt idx="0">
                  <c:v>0.5</c:v>
                </c:pt>
                <c:pt idx="1">
                  <c:v>0.75</c:v>
                </c:pt>
                <c:pt idx="2">
                  <c:v>0.34782608695652173</c:v>
                </c:pt>
                <c:pt idx="3">
                  <c:v>0.24</c:v>
                </c:pt>
                <c:pt idx="4">
                  <c:v>0.2</c:v>
                </c:pt>
                <c:pt idx="5">
                  <c:v>0</c:v>
                </c:pt>
                <c:pt idx="6">
                  <c:v>8.3333333333333329E-2</c:v>
                </c:pt>
                <c:pt idx="7">
                  <c:v>0</c:v>
                </c:pt>
                <c:pt idx="8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B9-4107-B00C-029E511AD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468591"/>
        <c:axId val="1548469007"/>
      </c:lineChart>
      <c:catAx>
        <c:axId val="154846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469007"/>
        <c:crosses val="autoZero"/>
        <c:auto val="1"/>
        <c:lblAlgn val="ctr"/>
        <c:lblOffset val="100"/>
        <c:noMultiLvlLbl val="0"/>
      </c:catAx>
      <c:valAx>
        <c:axId val="1548469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468591"/>
        <c:crosses val="autoZero"/>
        <c:crossBetween val="between"/>
      </c:valAx>
      <c:valAx>
        <c:axId val="160757412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7575375"/>
        <c:crosses val="max"/>
        <c:crossBetween val="between"/>
      </c:valAx>
      <c:catAx>
        <c:axId val="16075753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757412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'train (version 1).xlsb'!$AH$298</c:f>
              <c:strCache>
                <c:ptCount val="1"/>
                <c:pt idx="0">
                  <c:v>P(S)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'train (version 1).xlsb'!$AG$299:$AG$307</c:f>
              <c:strCache>
                <c:ptCount val="2"/>
                <c:pt idx="0">
                  <c:v>C.</c:v>
                </c:pt>
                <c:pt idx="1">
                  <c:v>A/</c:v>
                </c:pt>
              </c:strCache>
            </c:strRef>
          </c:cat>
          <c:val>
            <c:numRef>
              <c:f>'train (version 1).xlsb'!$AH$299:$AH$307</c:f>
              <c:numCache>
                <c:formatCode>General</c:formatCode>
                <c:ptCount val="2"/>
                <c:pt idx="0">
                  <c:v>0.4642857142857143</c:v>
                </c:pt>
                <c:pt idx="1">
                  <c:v>8.3333333333333329E-2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13-47FA-A01B-65E460331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7414063"/>
        <c:axId val="1517414479"/>
      </c:lineChart>
      <c:catAx>
        <c:axId val="1517414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414479"/>
        <c:crosses val="autoZero"/>
        <c:auto val="1"/>
        <c:lblAlgn val="ctr"/>
        <c:lblOffset val="100"/>
        <c:noMultiLvlLbl val="0"/>
      </c:catAx>
      <c:valAx>
        <c:axId val="1517414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414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Sheet2!$O$4</c:f>
              <c:strCache>
                <c:ptCount val="1"/>
                <c:pt idx="0">
                  <c:v>P(s)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10"/>
            <c:dispRSqr val="0"/>
            <c:dispEq val="0"/>
          </c:trendline>
          <c:xVal>
            <c:numRef>
              <c:f>Sheet2!$N$5:$N$88</c:f>
              <c:numCache>
                <c:formatCode>General</c:formatCode>
                <c:ptCount val="84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20</c:v>
                </c:pt>
                <c:pt idx="10">
                  <c:v>21</c:v>
                </c:pt>
                <c:pt idx="11">
                  <c:v>22</c:v>
                </c:pt>
                <c:pt idx="12">
                  <c:v>23</c:v>
                </c:pt>
                <c:pt idx="13">
                  <c:v>24</c:v>
                </c:pt>
                <c:pt idx="14">
                  <c:v>25</c:v>
                </c:pt>
                <c:pt idx="15">
                  <c:v>26</c:v>
                </c:pt>
                <c:pt idx="16">
                  <c:v>28</c:v>
                </c:pt>
                <c:pt idx="17">
                  <c:v>30</c:v>
                </c:pt>
                <c:pt idx="18">
                  <c:v>31</c:v>
                </c:pt>
                <c:pt idx="19">
                  <c:v>32</c:v>
                </c:pt>
                <c:pt idx="20">
                  <c:v>33</c:v>
                </c:pt>
                <c:pt idx="21">
                  <c:v>34</c:v>
                </c:pt>
                <c:pt idx="22">
                  <c:v>35</c:v>
                </c:pt>
                <c:pt idx="23">
                  <c:v>36</c:v>
                </c:pt>
                <c:pt idx="24">
                  <c:v>37</c:v>
                </c:pt>
                <c:pt idx="25">
                  <c:v>38</c:v>
                </c:pt>
                <c:pt idx="26">
                  <c:v>39</c:v>
                </c:pt>
                <c:pt idx="27">
                  <c:v>40</c:v>
                </c:pt>
                <c:pt idx="28">
                  <c:v>41</c:v>
                </c:pt>
                <c:pt idx="29">
                  <c:v>42</c:v>
                </c:pt>
                <c:pt idx="30">
                  <c:v>44</c:v>
                </c:pt>
                <c:pt idx="31">
                  <c:v>45</c:v>
                </c:pt>
                <c:pt idx="32">
                  <c:v>46</c:v>
                </c:pt>
                <c:pt idx="33">
                  <c:v>47</c:v>
                </c:pt>
                <c:pt idx="34">
                  <c:v>48</c:v>
                </c:pt>
                <c:pt idx="35">
                  <c:v>49</c:v>
                </c:pt>
                <c:pt idx="36">
                  <c:v>50</c:v>
                </c:pt>
                <c:pt idx="37">
                  <c:v>51</c:v>
                </c:pt>
                <c:pt idx="38">
                  <c:v>52</c:v>
                </c:pt>
                <c:pt idx="39">
                  <c:v>54</c:v>
                </c:pt>
                <c:pt idx="40">
                  <c:v>56</c:v>
                </c:pt>
                <c:pt idx="41">
                  <c:v>57</c:v>
                </c:pt>
                <c:pt idx="42">
                  <c:v>58</c:v>
                </c:pt>
                <c:pt idx="43">
                  <c:v>62</c:v>
                </c:pt>
                <c:pt idx="44">
                  <c:v>63</c:v>
                </c:pt>
                <c:pt idx="45">
                  <c:v>65</c:v>
                </c:pt>
                <c:pt idx="46">
                  <c:v>67</c:v>
                </c:pt>
                <c:pt idx="47">
                  <c:v>68</c:v>
                </c:pt>
                <c:pt idx="48">
                  <c:v>69</c:v>
                </c:pt>
                <c:pt idx="49">
                  <c:v>70</c:v>
                </c:pt>
                <c:pt idx="50">
                  <c:v>71</c:v>
                </c:pt>
                <c:pt idx="51">
                  <c:v>73</c:v>
                </c:pt>
                <c:pt idx="52">
                  <c:v>77</c:v>
                </c:pt>
                <c:pt idx="53">
                  <c:v>78</c:v>
                </c:pt>
                <c:pt idx="54">
                  <c:v>79</c:v>
                </c:pt>
                <c:pt idx="55">
                  <c:v>80</c:v>
                </c:pt>
                <c:pt idx="56">
                  <c:v>82</c:v>
                </c:pt>
                <c:pt idx="57">
                  <c:v>83</c:v>
                </c:pt>
                <c:pt idx="58">
                  <c:v>85</c:v>
                </c:pt>
                <c:pt idx="59">
                  <c:v>86</c:v>
                </c:pt>
                <c:pt idx="60">
                  <c:v>87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99</c:v>
                </c:pt>
                <c:pt idx="69">
                  <c:v>101</c:v>
                </c:pt>
                <c:pt idx="70">
                  <c:v>102</c:v>
                </c:pt>
                <c:pt idx="71">
                  <c:v>103</c:v>
                </c:pt>
                <c:pt idx="72">
                  <c:v>104</c:v>
                </c:pt>
                <c:pt idx="73">
                  <c:v>106</c:v>
                </c:pt>
                <c:pt idx="74">
                  <c:v>110</c:v>
                </c:pt>
                <c:pt idx="75">
                  <c:v>111</c:v>
                </c:pt>
                <c:pt idx="76">
                  <c:v>118</c:v>
                </c:pt>
                <c:pt idx="77">
                  <c:v>121</c:v>
                </c:pt>
                <c:pt idx="78">
                  <c:v>123</c:v>
                </c:pt>
                <c:pt idx="79">
                  <c:v>124</c:v>
                </c:pt>
                <c:pt idx="80">
                  <c:v>125</c:v>
                </c:pt>
                <c:pt idx="81">
                  <c:v>126</c:v>
                </c:pt>
                <c:pt idx="82">
                  <c:v>128</c:v>
                </c:pt>
                <c:pt idx="83">
                  <c:v>148</c:v>
                </c:pt>
              </c:numCache>
            </c:numRef>
          </c:xVal>
          <c:yVal>
            <c:numRef>
              <c:f>Sheet2!$O$5:$O$88</c:f>
              <c:numCache>
                <c:formatCode>General</c:formatCode>
                <c:ptCount val="84"/>
                <c:pt idx="0">
                  <c:v>0.66666666666666663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0.33333333333333331</c:v>
                </c:pt>
                <c:pt idx="9">
                  <c:v>1</c:v>
                </c:pt>
                <c:pt idx="10">
                  <c:v>1</c:v>
                </c:pt>
                <c:pt idx="11">
                  <c:v>0.4</c:v>
                </c:pt>
                <c:pt idx="12">
                  <c:v>0.6</c:v>
                </c:pt>
                <c:pt idx="13">
                  <c:v>0.66666666666666663</c:v>
                </c:pt>
                <c:pt idx="14">
                  <c:v>1</c:v>
                </c:pt>
                <c:pt idx="15">
                  <c:v>0.33333333333333331</c:v>
                </c:pt>
                <c:pt idx="16">
                  <c:v>1</c:v>
                </c:pt>
                <c:pt idx="17">
                  <c:v>0</c:v>
                </c:pt>
                <c:pt idx="18">
                  <c:v>0.5</c:v>
                </c:pt>
                <c:pt idx="19">
                  <c:v>0.5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0.75</c:v>
                </c:pt>
                <c:pt idx="24">
                  <c:v>0.5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0.5</c:v>
                </c:pt>
                <c:pt idx="31">
                  <c:v>1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0.8</c:v>
                </c:pt>
                <c:pt idx="36">
                  <c:v>0.75</c:v>
                </c:pt>
                <c:pt idx="37">
                  <c:v>0.5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0.33333333333333331</c:v>
                </c:pt>
                <c:pt idx="43">
                  <c:v>1</c:v>
                </c:pt>
                <c:pt idx="44">
                  <c:v>0</c:v>
                </c:pt>
                <c:pt idx="45">
                  <c:v>0.5</c:v>
                </c:pt>
                <c:pt idx="46">
                  <c:v>0.5</c:v>
                </c:pt>
                <c:pt idx="47">
                  <c:v>0.66666666666666663</c:v>
                </c:pt>
                <c:pt idx="48">
                  <c:v>1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0.66666666666666663</c:v>
                </c:pt>
                <c:pt idx="53">
                  <c:v>0.66666666666666663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0.5</c:v>
                </c:pt>
                <c:pt idx="58">
                  <c:v>1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0</c:v>
                </c:pt>
                <c:pt idx="63">
                  <c:v>1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0.5</c:v>
                </c:pt>
                <c:pt idx="79">
                  <c:v>0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4-4BDB-86C9-DA0244E78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413279"/>
        <c:axId val="1615406623"/>
      </c:scatterChart>
      <c:valAx>
        <c:axId val="16154132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406623"/>
        <c:crosses val="autoZero"/>
        <c:crossBetween val="midCat"/>
      </c:valAx>
      <c:valAx>
        <c:axId val="1615406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4132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28014</xdr:colOff>
      <xdr:row>12</xdr:row>
      <xdr:rowOff>134470</xdr:rowOff>
    </xdr:from>
    <xdr:to>
      <xdr:col>36</xdr:col>
      <xdr:colOff>364191</xdr:colOff>
      <xdr:row>24</xdr:row>
      <xdr:rowOff>66113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CF7CF18-18B1-464C-8205-789BA286D9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0</xdr:colOff>
      <xdr:row>0</xdr:row>
      <xdr:rowOff>0</xdr:rowOff>
    </xdr:from>
    <xdr:to>
      <xdr:col>36</xdr:col>
      <xdr:colOff>336177</xdr:colOff>
      <xdr:row>12</xdr:row>
      <xdr:rowOff>100853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3EB6798-DABA-4AB1-ADE5-DFE3F64142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0</xdr:colOff>
      <xdr:row>25</xdr:row>
      <xdr:rowOff>1</xdr:rowOff>
    </xdr:from>
    <xdr:to>
      <xdr:col>36</xdr:col>
      <xdr:colOff>336177</xdr:colOff>
      <xdr:row>34</xdr:row>
      <xdr:rowOff>22413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94ECEC-1752-47DC-B549-93CFB88E5C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0</xdr:colOff>
      <xdr:row>34</xdr:row>
      <xdr:rowOff>78441</xdr:rowOff>
    </xdr:from>
    <xdr:to>
      <xdr:col>36</xdr:col>
      <xdr:colOff>336177</xdr:colOff>
      <xdr:row>46</xdr:row>
      <xdr:rowOff>10084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1BD051F-269C-42FF-AE29-B2B189DA4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0</xdr:colOff>
      <xdr:row>48</xdr:row>
      <xdr:rowOff>0</xdr:rowOff>
    </xdr:from>
    <xdr:to>
      <xdr:col>36</xdr:col>
      <xdr:colOff>336177</xdr:colOff>
      <xdr:row>59</xdr:row>
      <xdr:rowOff>122143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F466CD0-1094-47CB-9ACF-257F803C5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0</xdr:colOff>
      <xdr:row>62</xdr:row>
      <xdr:rowOff>0</xdr:rowOff>
    </xdr:from>
    <xdr:to>
      <xdr:col>36</xdr:col>
      <xdr:colOff>336177</xdr:colOff>
      <xdr:row>73</xdr:row>
      <xdr:rowOff>122143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A154135-20B4-4AEB-A7B7-3F1D9D9447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78441</xdr:colOff>
      <xdr:row>103</xdr:row>
      <xdr:rowOff>0</xdr:rowOff>
    </xdr:from>
    <xdr:to>
      <xdr:col>36</xdr:col>
      <xdr:colOff>414618</xdr:colOff>
      <xdr:row>114</xdr:row>
      <xdr:rowOff>122143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6CA3810-44BF-4B99-AD9B-E65DC43C3C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11206</xdr:colOff>
      <xdr:row>116</xdr:row>
      <xdr:rowOff>67235</xdr:rowOff>
    </xdr:from>
    <xdr:to>
      <xdr:col>36</xdr:col>
      <xdr:colOff>347383</xdr:colOff>
      <xdr:row>127</xdr:row>
      <xdr:rowOff>189378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6EEC292-0728-4D1F-8F36-1538071E93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28</xdr:col>
      <xdr:colOff>571499</xdr:colOff>
      <xdr:row>129</xdr:row>
      <xdr:rowOff>123265</xdr:rowOff>
    </xdr:from>
    <xdr:to>
      <xdr:col>36</xdr:col>
      <xdr:colOff>302559</xdr:colOff>
      <xdr:row>141</xdr:row>
      <xdr:rowOff>54908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BC9F6C4-13EB-40C9-B723-01CFDEAF5F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25</xdr:col>
      <xdr:colOff>11206</xdr:colOff>
      <xdr:row>136</xdr:row>
      <xdr:rowOff>67237</xdr:rowOff>
    </xdr:from>
    <xdr:to>
      <xdr:col>45</xdr:col>
      <xdr:colOff>392206</xdr:colOff>
      <xdr:row>147</xdr:row>
      <xdr:rowOff>189380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920F951C-05B2-40B2-974F-B0CF487C0B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29</xdr:col>
      <xdr:colOff>0</xdr:colOff>
      <xdr:row>260</xdr:row>
      <xdr:rowOff>0</xdr:rowOff>
    </xdr:from>
    <xdr:to>
      <xdr:col>49</xdr:col>
      <xdr:colOff>549088</xdr:colOff>
      <xdr:row>271</xdr:row>
      <xdr:rowOff>122143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5249306-624D-420E-9BC3-0BBD127E6B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29</xdr:col>
      <xdr:colOff>504265</xdr:colOff>
      <xdr:row>281</xdr:row>
      <xdr:rowOff>1120</xdr:rowOff>
    </xdr:from>
    <xdr:to>
      <xdr:col>37</xdr:col>
      <xdr:colOff>235324</xdr:colOff>
      <xdr:row>295</xdr:row>
      <xdr:rowOff>77320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F32935F7-15CC-4F4E-84AA-CB43E2F0B0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3</xdr:row>
      <xdr:rowOff>0</xdr:rowOff>
    </xdr:from>
    <xdr:to>
      <xdr:col>25</xdr:col>
      <xdr:colOff>276224</xdr:colOff>
      <xdr:row>17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50C386-F3EE-4F24-A8E2-0CC75D3D52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hał Ingielewicz" refreshedDate="44212.694602430558" createdVersion="6" refreshedVersion="6" minRefreshableVersion="3" recordCount="891">
  <cacheSource type="worksheet">
    <worksheetSource ref="A1:Q892" sheet="train (version 1).xlsb"/>
  </cacheSource>
  <cacheFields count="17">
    <cacheField name="PassengerId" numFmtId="0">
      <sharedItems containsSemiMixedTypes="0" containsString="0" containsNumber="1" containsInteger="1" minValue="1" maxValue="891"/>
    </cacheField>
    <cacheField name="Survived" numFmtId="0">
      <sharedItems containsSemiMixedTypes="0" containsString="0" containsNumber="1" containsInteger="1" minValue="0" maxValue="1" count="2">
        <n v="0"/>
        <n v="1"/>
      </sharedItems>
    </cacheField>
    <cacheField name="Pclass" numFmtId="0">
      <sharedItems containsSemiMixedTypes="0" containsString="0" containsNumber="1" containsInteger="1" minValue="1" maxValue="3" count="3">
        <n v="2"/>
        <n v="1"/>
        <n v="3"/>
      </sharedItems>
    </cacheField>
    <cacheField name="Name" numFmtId="0">
      <sharedItems/>
    </cacheField>
    <cacheField name="FancyName" numFmtId="0">
      <sharedItems containsSemiMixedTypes="0" containsString="0" containsNumber="1" containsInteger="1" minValue="12" maxValue="82" count="50">
        <n v="25"/>
        <n v="23"/>
        <n v="28"/>
        <n v="18"/>
        <n v="27"/>
        <n v="22"/>
        <n v="39"/>
        <n v="32"/>
        <n v="36"/>
        <n v="26"/>
        <n v="16"/>
        <n v="40"/>
        <n v="53"/>
        <n v="19"/>
        <n v="31"/>
        <n v="20"/>
        <n v="38"/>
        <n v="44"/>
        <n v="21"/>
        <n v="52"/>
        <n v="30"/>
        <n v="29"/>
        <n v="24"/>
        <n v="82"/>
        <n v="42"/>
        <n v="15"/>
        <n v="49"/>
        <n v="34"/>
        <n v="17"/>
        <n v="14"/>
        <n v="41"/>
        <n v="37"/>
        <n v="51"/>
        <n v="46"/>
        <n v="50"/>
        <n v="47"/>
        <n v="45"/>
        <n v="33"/>
        <n v="48"/>
        <n v="43"/>
        <n v="35"/>
        <n v="56"/>
        <n v="55"/>
        <n v="57"/>
        <n v="54"/>
        <n v="65"/>
        <n v="67"/>
        <n v="61"/>
        <n v="12"/>
        <n v="13"/>
      </sharedItems>
      <fieldGroup base="4">
        <rangePr autoEnd="0" startNum="12" endNum="42" groupInterval="6"/>
        <groupItems count="7">
          <s v="&lt;12"/>
          <s v="12-17"/>
          <s v="18-23"/>
          <s v="24-29"/>
          <s v="30-35"/>
          <s v="36-42"/>
          <s v="&gt;42"/>
        </groupItems>
      </fieldGroup>
    </cacheField>
    <cacheField name="Sex" numFmtId="0">
      <sharedItems count="2">
        <s v="male"/>
        <s v="female"/>
      </sharedItems>
    </cacheField>
    <cacheField name="Age" numFmtId="0">
      <sharedItems containsString="0" containsBlank="1" containsNumber="1" minValue="0.42" maxValue="80" count="89">
        <n v="29"/>
        <n v="36"/>
        <n v="70"/>
        <n v="30"/>
        <n v="46"/>
        <m/>
        <n v="16"/>
        <n v="48"/>
        <n v="9"/>
        <n v="21"/>
        <n v="27"/>
        <n v="23"/>
        <n v="3"/>
        <n v="22"/>
        <n v="38"/>
        <n v="50"/>
        <n v="19"/>
        <n v="25"/>
        <n v="17"/>
        <n v="31"/>
        <n v="26"/>
        <n v="24"/>
        <n v="28"/>
        <n v="32"/>
        <n v="39"/>
        <n v="20"/>
        <n v="1"/>
        <n v="35"/>
        <n v="44"/>
        <n v="18"/>
        <n v="42"/>
        <n v="41"/>
        <n v="71"/>
        <n v="33"/>
        <n v="37"/>
        <n v="62"/>
        <n v="54"/>
        <n v="40"/>
        <n v="51"/>
        <n v="57"/>
        <n v="49"/>
        <n v="4"/>
        <n v="58"/>
        <n v="43"/>
        <n v="45"/>
        <n v="14"/>
        <n v="32.5"/>
        <n v="65"/>
        <n v="7"/>
        <n v="11"/>
        <n v="5"/>
        <n v="34"/>
        <n v="60"/>
        <n v="52"/>
        <n v="8"/>
        <n v="56"/>
        <n v="66"/>
        <n v="40.5"/>
        <n v="47"/>
        <n v="20.5"/>
        <n v="55.5"/>
        <n v="2"/>
        <n v="6"/>
        <n v="59"/>
        <n v="30.5"/>
        <n v="10"/>
        <n v="15"/>
        <n v="74"/>
        <n v="61"/>
        <n v="70.5"/>
        <n v="24.5"/>
        <n v="28.5"/>
        <n v="0.67"/>
        <n v="13"/>
        <n v="0.83"/>
        <n v="23.5"/>
        <n v="55"/>
        <n v="34.5"/>
        <n v="36.5"/>
        <n v="0.92"/>
        <n v="45.5"/>
        <n v="0.75"/>
        <n v="80"/>
        <n v="14.5"/>
        <n v="64"/>
        <n v="63"/>
        <n v="53"/>
        <n v="12"/>
        <n v="0.42"/>
      </sharedItems>
      <fieldGroup base="6">
        <rangePr autoStart="0" autoEnd="0" startNum="0" endNum="60" groupInterval="10"/>
        <groupItems count="8">
          <s v="&lt;0 or (blank)"/>
          <s v="0-10"/>
          <s v="10-20"/>
          <s v="20-30"/>
          <s v="30-40"/>
          <s v="40-50"/>
          <s v="50-60"/>
          <s v="&gt;60"/>
        </groupItems>
      </fieldGroup>
    </cacheField>
    <cacheField name="SibSp" numFmtId="0">
      <sharedItems containsSemiMixedTypes="0" containsString="0" containsNumber="1" containsInteger="1" minValue="0" maxValue="8" count="7">
        <n v="1"/>
        <n v="0"/>
        <n v="2"/>
        <n v="8"/>
        <n v="5"/>
        <n v="4"/>
        <n v="3"/>
      </sharedItems>
    </cacheField>
    <cacheField name="Parch" numFmtId="0">
      <sharedItems containsSemiMixedTypes="0" containsString="0" containsNumber="1" containsInteger="1" minValue="0" maxValue="6" count="7">
        <n v="0"/>
        <n v="2"/>
        <n v="1"/>
        <n v="3"/>
        <n v="6"/>
        <n v="5"/>
        <n v="4"/>
      </sharedItems>
      <fieldGroup base="8">
        <rangePr autoEnd="0" startNum="0" endNum="3"/>
        <groupItems count="5">
          <s v="&lt;0"/>
          <s v="0-0"/>
          <s v="1-1"/>
          <s v="2-3"/>
          <s v="&gt;3"/>
        </groupItems>
      </fieldGroup>
    </cacheField>
    <cacheField name="Ticket" numFmtId="0">
      <sharedItems containsMixedTypes="1" containsNumber="1" containsInteger="1" minValue="693" maxValue="3101298"/>
    </cacheField>
    <cacheField name="Fare" numFmtId="0">
      <sharedItems containsSemiMixedTypes="0" containsString="0" containsNumber="1" minValue="0" maxValue="512.32920000000001" count="248">
        <n v="27.720800000000001"/>
        <n v="71"/>
        <n v="10.5"/>
        <n v="61.174999999999997"/>
        <n v="7.55"/>
        <n v="34.375"/>
        <n v="12.875"/>
        <n v="13.8583"/>
        <n v="23.45"/>
        <n v="13.862500000000001"/>
        <n v="15.0458"/>
        <n v="15.05"/>
        <n v="7.75"/>
        <n v="41.5792"/>
        <n v="80"/>
        <n v="7.9249999999999998"/>
        <n v="13.791700000000001"/>
        <n v="12"/>
        <n v="37.004199999999997"/>
        <n v="15.85"/>
        <n v="106.425"/>
        <n v="7.125"/>
        <n v="135.63329999999999"/>
        <n v="63.3583"/>
        <n v="108.9"/>
        <n v="8.0500000000000007"/>
        <n v="227.52500000000001"/>
        <n v="83.158299999999997"/>
        <n v="512.32920000000001"/>
        <n v="7.05"/>
        <n v="7.25"/>
        <n v="34.654200000000003"/>
        <n v="49.504199999999997"/>
        <n v="262.375"/>
        <n v="12.275"/>
        <n v="82.1708"/>
        <n v="26"/>
        <n v="59.4"/>
        <n v="8.1583000000000006"/>
        <n v="12.525"/>
        <n v="30.695799999999998"/>
        <n v="71.283299999999997"/>
        <n v="61.379199999999997"/>
        <n v="73.5"/>
        <n v="29.7"/>
        <n v="28.712499999999999"/>
        <n v="79.2"/>
        <n v="90"/>
        <n v="76.729200000000006"/>
        <n v="16.7"/>
        <n v="146.52080000000001"/>
        <n v="9.35"/>
        <n v="133.65"/>
        <n v="247.52080000000001"/>
        <n v="39.4"/>
        <n v="50.495800000000003"/>
        <n v="153.46250000000001"/>
        <n v="56.929200000000002"/>
        <n v="221.7792"/>
        <n v="26.287500000000001"/>
        <n v="69.3"/>
        <n v="26.387499999999999"/>
        <n v="24"/>
        <n v="25.925000000000001"/>
        <n v="0"/>
        <n v="13.416700000000001"/>
        <n v="7.8958000000000004"/>
        <n v="8.6624999999999996"/>
        <n v="7.3125"/>
        <n v="26.25"/>
        <n v="30.070799999999998"/>
        <n v="31"/>
        <n v="61.979199999999999"/>
        <n v="21"/>
        <n v="52"/>
        <n v="211.5"/>
        <n v="27.75"/>
        <n v="69.55"/>
        <n v="39.6"/>
        <n v="26.55"/>
        <n v="30"/>
        <n v="46.9"/>
        <n v="57.979199999999999"/>
        <n v="15.1"/>
        <n v="15.9"/>
        <n v="15.75"/>
        <n v="75.25"/>
        <n v="78.2667"/>
        <n v="113.27500000000001"/>
        <n v="36.75"/>
        <n v="89.104200000000006"/>
        <n v="13"/>
        <n v="20.25"/>
        <n v="20.574999999999999"/>
        <n v="110.88330000000001"/>
        <n v="6.45"/>
        <n v="22.524999999999999"/>
        <n v="7.1417000000000002"/>
        <n v="14.5"/>
        <n v="16.100000000000001"/>
        <n v="7.8"/>
        <n v="24.15"/>
        <n v="12.2875"/>
        <n v="39.6875"/>
        <n v="134.5"/>
        <n v="6.4958"/>
        <n v="7.4958"/>
        <n v="12.475"/>
        <n v="12.35"/>
        <n v="49.5"/>
        <n v="20.212499999999999"/>
        <n v="20.524999999999999"/>
        <n v="30.5"/>
        <n v="35.5"/>
        <n v="7.8541999999999996"/>
        <n v="7.5208000000000004"/>
        <n v="7.7957999999999998"/>
        <n v="40.125"/>
        <n v="7.0541999999999998"/>
        <n v="91.0792"/>
        <n v="14.1083"/>
        <n v="7.7750000000000004"/>
        <n v="15.55"/>
        <n v="76.291700000000006"/>
        <n v="21.074999999999999"/>
        <n v="8.6832999999999991"/>
        <n v="17.8"/>
        <n v="8.85"/>
        <n v="10.1708"/>
        <n v="7.65"/>
        <n v="11.1333"/>
        <n v="6.9749999999999996"/>
        <n v="27.9"/>
        <n v="31.274999999999999"/>
        <n v="8.0291999999999994"/>
        <n v="14.4"/>
        <n v="7.8792"/>
        <n v="31.387499999999999"/>
        <n v="55.441699999999997"/>
        <n v="10.4625"/>
        <n v="9.5"/>
        <n v="9"/>
        <n v="18"/>
        <n v="17.399999999999999"/>
        <n v="8.7125000000000004"/>
        <n v="6.2374999999999998"/>
        <n v="7.2291999999999996"/>
        <n v="18.787500000000001"/>
        <n v="6.75"/>
        <n v="22.024999999999999"/>
        <n v="7.7332999999999998"/>
        <n v="23.25"/>
        <n v="7.875"/>
        <n v="29.125"/>
        <n v="15.5"/>
        <n v="19.5"/>
        <n v="29"/>
        <n v="13.5"/>
        <n v="33"/>
        <n v="7.2249999999999996"/>
        <n v="14.4542"/>
        <n v="16"/>
        <n v="27"/>
        <n v="12.65"/>
        <n v="14.458299999999999"/>
        <n v="15"/>
        <n v="6.4375"/>
        <n v="15.245799999999999"/>
        <n v="11.5"/>
        <n v="23"/>
        <n v="39"/>
        <n v="65"/>
        <n v="8.4582999999999995"/>
        <n v="8.1374999999999993"/>
        <n v="53.1"/>
        <n v="42.4"/>
        <n v="151.55000000000001"/>
        <n v="66.599999999999994"/>
        <n v="50"/>
        <n v="120"/>
        <n v="35"/>
        <n v="55"/>
        <n v="47.1"/>
        <n v="28.5"/>
        <n v="38.5"/>
        <n v="33.5"/>
        <n v="79.650000000000006"/>
        <n v="22.3583"/>
        <n v="86.5"/>
        <n v="8.1125000000000007"/>
        <n v="19.966699999999999"/>
        <n v="83.474999999999994"/>
        <n v="34.020800000000001"/>
        <n v="32.320799999999998"/>
        <n v="164.86670000000001"/>
        <n v="7.8292000000000002"/>
        <n v="77.287499999999994"/>
        <n v="7.7874999999999996"/>
        <n v="81.8583"/>
        <n v="18.75"/>
        <n v="14"/>
        <n v="19.258299999999998"/>
        <n v="32.5"/>
        <n v="211.33750000000001"/>
        <n v="7.7374999999999998"/>
        <n v="7.7291999999999996"/>
        <n v="263"/>
        <n v="7.7416999999999998"/>
        <n v="7.7249999999999996"/>
        <n v="7.6292"/>
        <n v="78.849999999999994"/>
        <n v="57"/>
        <n v="21.679200000000002"/>
        <n v="25.929200000000002"/>
        <n v="51.862499999999997"/>
        <n v="55.9"/>
        <n v="77.958299999999994"/>
        <n v="93.5"/>
        <n v="51.479199999999999"/>
        <n v="52.554200000000002"/>
        <n v="26.283300000000001"/>
        <n v="15.7417"/>
        <n v="11.2417"/>
        <n v="8.4332999999999991"/>
        <n v="8.3625000000000007"/>
        <n v="4.0125000000000002"/>
        <n v="9.8375000000000004"/>
        <n v="10.5167"/>
        <n v="9.4749999999999996"/>
        <n v="9.4832999999999998"/>
        <n v="8.6541999999999994"/>
        <n v="9.2166999999999994"/>
        <n v="9.8458000000000006"/>
        <n v="9.2249999999999996"/>
        <n v="25.587499999999999"/>
        <n v="8.4041999999999994"/>
        <n v="9.8416999999999994"/>
        <n v="9.8249999999999993"/>
        <n v="9.5875000000000004"/>
        <n v="25.466699999999999"/>
        <n v="6.95"/>
        <n v="6.8582999999999998"/>
        <n v="7.8875000000000002"/>
        <n v="7.0457999999999998"/>
        <n v="8.5167000000000002"/>
        <n v="8.3000000000000007"/>
        <n v="56.495800000000003"/>
        <n v="5"/>
      </sharedItems>
      <fieldGroup base="10">
        <rangePr autoStart="0" autoEnd="0" startNum="7" endNum="35" groupInterval="5"/>
        <groupItems count="8">
          <s v="&lt;7"/>
          <s v="7-12"/>
          <s v="12-17"/>
          <s v="17-22"/>
          <s v="22-27"/>
          <s v="27-32"/>
          <s v="32-37"/>
          <s v="&gt;37"/>
        </groupItems>
      </fieldGroup>
    </cacheField>
    <cacheField name="Cabin" numFmtId="0">
      <sharedItems containsBlank="1"/>
    </cacheField>
    <cacheField name="Cabintest" numFmtId="2">
      <sharedItems/>
    </cacheField>
    <cacheField name="Cabin2" numFmtId="1">
      <sharedItems containsMixedTypes="1" containsNumber="1" containsInteger="1" minValue="2" maxValue="148" count="94">
        <s v=""/>
        <n v="22"/>
        <n v="31"/>
        <n v="38"/>
        <n v="28"/>
        <n v="86"/>
        <n v="32"/>
        <n v="10"/>
        <n v="65"/>
        <n v="62"/>
        <n v="45"/>
        <n v="49"/>
        <n v="51"/>
        <n v="101"/>
        <n v="57"/>
        <n v="85"/>
        <n v="118"/>
        <n v="82"/>
        <n v="78"/>
        <n v="77"/>
        <n v="33"/>
        <n v="80"/>
        <n v="99"/>
        <n v="58"/>
        <n v="24"/>
        <n v="125"/>
        <n v="91"/>
        <n v="36"/>
        <n v="95"/>
        <n v="20"/>
        <n v="90"/>
        <n v="35"/>
        <n v="25"/>
        <n v="30"/>
        <n v="71"/>
        <n v="111"/>
        <n v="148"/>
        <n v="18"/>
        <n v="37"/>
        <n v="48"/>
        <n v="92"/>
        <n v="70"/>
        <n v="68"/>
        <n v="34"/>
        <n v="121"/>
        <n v="40"/>
        <n v="39"/>
        <n v="41"/>
        <n v="50"/>
        <n v="26"/>
        <n v="15"/>
        <e v="#VALUE!"/>
        <n v="47"/>
        <n v="54"/>
        <n v="16"/>
        <n v="56"/>
        <n v="123"/>
        <n v="104"/>
        <n v="103"/>
        <n v="96"/>
        <n v="87"/>
        <n v="128"/>
        <n v="19"/>
        <n v="17"/>
        <n v="124"/>
        <n v="94"/>
        <n v="102"/>
        <n v="42"/>
        <n v="63"/>
        <n v="52"/>
        <n v="14"/>
        <n v="110"/>
        <n v="67"/>
        <n v="79"/>
        <n v="83"/>
        <n v="46"/>
        <n v="23"/>
        <n v="126"/>
        <n v="106"/>
        <n v="12"/>
        <n v="93"/>
        <n v="21"/>
        <n v="44"/>
        <n v="11"/>
        <n v="73"/>
        <n v="69"/>
        <n v="5" u="1"/>
        <n v="2" u="1"/>
        <n v="6" u="1"/>
        <n v="7" u="1"/>
        <n v="3" u="1"/>
        <n v="8" u="1"/>
        <n v="9" u="1"/>
        <n v="4" u="1"/>
      </sharedItems>
    </cacheField>
    <cacheField name="Ticket2" numFmtId="0">
      <sharedItems count="56">
        <s v="SC"/>
        <s v="WE"/>
        <s v="W/"/>
        <s v="W."/>
        <s v="38"/>
        <s v="11"/>
        <s v="SW"/>
        <s v="ST"/>
        <s v="S."/>
        <s v="PC"/>
        <s v="SO"/>
        <s v="19"/>
        <s v="PP"/>
        <s v="P/"/>
        <s v="LI"/>
        <s v="34"/>
        <s v="Fa"/>
        <s v="F."/>
        <s v="23"/>
        <s v="CA"/>
        <s v="C."/>
        <s v="36"/>
        <s v="35"/>
        <s v="17"/>
        <s v="C "/>
        <s v="A4"/>
        <s v="A/"/>
        <s v="A."/>
        <s v="31"/>
        <s v="16"/>
        <s v="39"/>
        <s v="37"/>
        <s v="22"/>
        <s v="13"/>
        <s v="21"/>
        <s v="33"/>
        <s v="27"/>
        <s v="26"/>
        <s v="32"/>
        <s v="25"/>
        <s v="24"/>
        <s v="65"/>
        <s v="54"/>
        <s v="29"/>
        <s v="28"/>
        <s v="12"/>
        <s v="14"/>
        <s v="92"/>
        <s v="84"/>
        <s v="75"/>
        <s v="72"/>
        <s v="57"/>
        <s v="45"/>
        <s v="41"/>
        <s v="20"/>
        <s v="69"/>
      </sharedItems>
    </cacheField>
    <cacheField name="Deck" numFmtId="0">
      <sharedItems count="9">
        <s v=""/>
        <s v="B"/>
        <s v="E"/>
        <s v="D"/>
        <s v="F"/>
        <s v="C"/>
        <s v="A"/>
        <s v="G"/>
        <s v="T"/>
      </sharedItems>
    </cacheField>
    <cacheField name="Embarked" numFmtId="0">
      <sharedItems containsBlank="1" count="4">
        <s v="C"/>
        <s v="S"/>
        <s v="Q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chał Ingielewicz" refreshedDate="44212.696719097221" createdVersion="6" refreshedVersion="6" minRefreshableVersion="3" recordCount="891">
  <cacheSource type="worksheet">
    <worksheetSource ref="B1:C892" sheet="Sheet2"/>
  </cacheSource>
  <cacheFields count="2">
    <cacheField name="Survived" numFmtId="0">
      <sharedItems containsSemiMixedTypes="0" containsString="0" containsNumber="1" containsInteger="1" minValue="0" maxValue="1" count="2">
        <n v="0"/>
        <n v="1"/>
      </sharedItems>
    </cacheField>
    <cacheField name="Cabin2" numFmtId="0">
      <sharedItems containsMixedTypes="1" containsNumber="1" containsInteger="1" minValue="10" maxValue="148" count="86">
        <s v=""/>
        <n v="22"/>
        <n v="31"/>
        <n v="38"/>
        <n v="28"/>
        <n v="86"/>
        <n v="32"/>
        <n v="10"/>
        <n v="65"/>
        <n v="62"/>
        <n v="45"/>
        <n v="49"/>
        <n v="51"/>
        <n v="101"/>
        <n v="57"/>
        <n v="85"/>
        <n v="118"/>
        <n v="82"/>
        <n v="78"/>
        <n v="77"/>
        <n v="33"/>
        <n v="80"/>
        <n v="99"/>
        <n v="58"/>
        <n v="24"/>
        <n v="125"/>
        <n v="91"/>
        <n v="36"/>
        <n v="95"/>
        <n v="20"/>
        <n v="90"/>
        <n v="35"/>
        <n v="25"/>
        <n v="30"/>
        <n v="71"/>
        <n v="111"/>
        <n v="148"/>
        <n v="18"/>
        <n v="37"/>
        <n v="48"/>
        <n v="92"/>
        <n v="70"/>
        <n v="68"/>
        <n v="34"/>
        <n v="121"/>
        <n v="40"/>
        <n v="39"/>
        <n v="41"/>
        <n v="50"/>
        <n v="26"/>
        <n v="15"/>
        <e v="#VALUE!"/>
        <n v="47"/>
        <n v="54"/>
        <n v="16"/>
        <n v="56"/>
        <n v="123"/>
        <n v="104"/>
        <n v="103"/>
        <n v="96"/>
        <n v="87"/>
        <n v="128"/>
        <n v="19"/>
        <n v="17"/>
        <n v="124"/>
        <n v="94"/>
        <n v="102"/>
        <n v="42"/>
        <n v="63"/>
        <n v="52"/>
        <n v="14"/>
        <n v="110"/>
        <n v="67"/>
        <n v="79"/>
        <n v="83"/>
        <n v="46"/>
        <n v="23"/>
        <n v="126"/>
        <n v="106"/>
        <n v="12"/>
        <n v="93"/>
        <n v="21"/>
        <n v="44"/>
        <n v="11"/>
        <n v="73"/>
        <n v="6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91">
  <r>
    <n v="362"/>
    <x v="0"/>
    <x v="0"/>
    <s v="del Carlo, Mr. Sebastiano"/>
    <x v="0"/>
    <x v="0"/>
    <x v="0"/>
    <x v="0"/>
    <x v="0"/>
    <s v="SC/PARIS 2167"/>
    <x v="0"/>
    <m/>
    <s v=""/>
    <x v="0"/>
    <x v="0"/>
    <x v="0"/>
    <x v="0"/>
  </r>
  <r>
    <n v="541"/>
    <x v="1"/>
    <x v="1"/>
    <s v="Crosby, Miss. Harriet R"/>
    <x v="1"/>
    <x v="1"/>
    <x v="1"/>
    <x v="1"/>
    <x v="1"/>
    <s v="WE/P 5735"/>
    <x v="1"/>
    <s v="B22"/>
    <s v="22"/>
    <x v="1"/>
    <x v="1"/>
    <x v="1"/>
    <x v="1"/>
  </r>
  <r>
    <n v="746"/>
    <x v="0"/>
    <x v="1"/>
    <s v="Crosby, Capt. Edward Gifford"/>
    <x v="2"/>
    <x v="0"/>
    <x v="2"/>
    <x v="0"/>
    <x v="2"/>
    <s v="WE/P 5735"/>
    <x v="1"/>
    <s v="B22"/>
    <s v="22"/>
    <x v="1"/>
    <x v="1"/>
    <x v="1"/>
    <x v="1"/>
  </r>
  <r>
    <n v="220"/>
    <x v="0"/>
    <x v="0"/>
    <s v="Harris, Mr. Walter"/>
    <x v="3"/>
    <x v="0"/>
    <x v="3"/>
    <x v="1"/>
    <x v="0"/>
    <s v="W/C 14208"/>
    <x v="2"/>
    <m/>
    <s v=""/>
    <x v="0"/>
    <x v="2"/>
    <x v="0"/>
    <x v="1"/>
  </r>
  <r>
    <n v="93"/>
    <x v="0"/>
    <x v="1"/>
    <s v="Chaffee, Mr. Herbert Fuller"/>
    <x v="4"/>
    <x v="0"/>
    <x v="4"/>
    <x v="0"/>
    <x v="0"/>
    <s v="W.E.P. 5734"/>
    <x v="3"/>
    <s v="E31"/>
    <s v="31"/>
    <x v="2"/>
    <x v="3"/>
    <x v="2"/>
    <x v="1"/>
  </r>
  <r>
    <n v="236"/>
    <x v="0"/>
    <x v="2"/>
    <s v="Harknett, Miss. Alice Phoebe"/>
    <x v="2"/>
    <x v="1"/>
    <x v="5"/>
    <x v="1"/>
    <x v="0"/>
    <s v="W./C. 6609"/>
    <x v="4"/>
    <m/>
    <s v=""/>
    <x v="0"/>
    <x v="3"/>
    <x v="0"/>
    <x v="1"/>
  </r>
  <r>
    <n v="87"/>
    <x v="0"/>
    <x v="2"/>
    <s v="Ford, Mr. William Neal"/>
    <x v="5"/>
    <x v="0"/>
    <x v="6"/>
    <x v="0"/>
    <x v="3"/>
    <s v="W./C. 6608"/>
    <x v="5"/>
    <m/>
    <s v=""/>
    <x v="0"/>
    <x v="3"/>
    <x v="0"/>
    <x v="1"/>
  </r>
  <r>
    <n v="737"/>
    <x v="0"/>
    <x v="2"/>
    <s v="Ford, Mrs. Edward (Margaret Ann Watson)"/>
    <x v="6"/>
    <x v="1"/>
    <x v="7"/>
    <x v="0"/>
    <x v="3"/>
    <s v="W./C. 6608"/>
    <x v="5"/>
    <m/>
    <s v=""/>
    <x v="0"/>
    <x v="3"/>
    <x v="0"/>
    <x v="1"/>
  </r>
  <r>
    <n v="148"/>
    <x v="0"/>
    <x v="2"/>
    <s v="Ford, Miss. Robina Maggie &quot;Ruby&quot;"/>
    <x v="7"/>
    <x v="1"/>
    <x v="8"/>
    <x v="2"/>
    <x v="1"/>
    <s v="W./C. 6608"/>
    <x v="5"/>
    <m/>
    <s v=""/>
    <x v="0"/>
    <x v="3"/>
    <x v="0"/>
    <x v="1"/>
  </r>
  <r>
    <n v="293"/>
    <x v="0"/>
    <x v="0"/>
    <s v="Levy, Mr. Rene Jacques"/>
    <x v="5"/>
    <x v="0"/>
    <x v="1"/>
    <x v="1"/>
    <x v="0"/>
    <s v="SC/Paris 2163"/>
    <x v="6"/>
    <s v="D"/>
    <s v="D"/>
    <x v="0"/>
    <x v="0"/>
    <x v="3"/>
    <x v="0"/>
  </r>
  <r>
    <n v="437"/>
    <x v="0"/>
    <x v="2"/>
    <s v="Ford, Miss. Doolina Margaret &quot;Daisy&quot;"/>
    <x v="8"/>
    <x v="1"/>
    <x v="9"/>
    <x v="2"/>
    <x v="1"/>
    <s v="W./C. 6608"/>
    <x v="5"/>
    <m/>
    <s v=""/>
    <x v="0"/>
    <x v="3"/>
    <x v="0"/>
    <x v="1"/>
  </r>
  <r>
    <n v="867"/>
    <x v="1"/>
    <x v="0"/>
    <s v="Duran y More, Miss. Asuncion"/>
    <x v="2"/>
    <x v="1"/>
    <x v="10"/>
    <x v="0"/>
    <x v="0"/>
    <s v="SC/PARIS 2149"/>
    <x v="7"/>
    <m/>
    <s v=""/>
    <x v="0"/>
    <x v="0"/>
    <x v="0"/>
    <x v="0"/>
  </r>
  <r>
    <n v="784"/>
    <x v="0"/>
    <x v="2"/>
    <s v="Johnston, Mr. Andrew G"/>
    <x v="5"/>
    <x v="0"/>
    <x v="5"/>
    <x v="0"/>
    <x v="1"/>
    <s v="W./C. 6607"/>
    <x v="8"/>
    <m/>
    <s v=""/>
    <x v="0"/>
    <x v="3"/>
    <x v="0"/>
    <x v="1"/>
  </r>
  <r>
    <n v="548"/>
    <x v="1"/>
    <x v="0"/>
    <s v="Padro y Manent, Mr. Julian"/>
    <x v="9"/>
    <x v="0"/>
    <x v="5"/>
    <x v="1"/>
    <x v="0"/>
    <s v="SC/PARIS 2146"/>
    <x v="9"/>
    <m/>
    <s v=""/>
    <x v="0"/>
    <x v="0"/>
    <x v="0"/>
    <x v="0"/>
  </r>
  <r>
    <n v="136"/>
    <x v="0"/>
    <x v="0"/>
    <s v="Richard, Mr. Emile"/>
    <x v="3"/>
    <x v="0"/>
    <x v="11"/>
    <x v="1"/>
    <x v="0"/>
    <s v="SC/PARIS 2133"/>
    <x v="10"/>
    <m/>
    <s v=""/>
    <x v="0"/>
    <x v="0"/>
    <x v="0"/>
    <x v="0"/>
  </r>
  <r>
    <n v="182"/>
    <x v="0"/>
    <x v="0"/>
    <s v="Pernot, Mr. Rene"/>
    <x v="10"/>
    <x v="0"/>
    <x v="5"/>
    <x v="1"/>
    <x v="0"/>
    <s v="SC/PARIS 2131"/>
    <x v="11"/>
    <m/>
    <s v=""/>
    <x v="0"/>
    <x v="0"/>
    <x v="0"/>
    <x v="0"/>
  </r>
  <r>
    <n v="777"/>
    <x v="0"/>
    <x v="2"/>
    <s v="Tobin, Mr. Roger"/>
    <x v="10"/>
    <x v="0"/>
    <x v="5"/>
    <x v="1"/>
    <x v="0"/>
    <n v="383121"/>
    <x v="12"/>
    <s v="F38"/>
    <s v="38"/>
    <x v="3"/>
    <x v="4"/>
    <x v="4"/>
    <x v="2"/>
  </r>
  <r>
    <n v="44"/>
    <x v="1"/>
    <x v="0"/>
    <s v="Laroche, Miss. Simonne Marie Anne Andree"/>
    <x v="11"/>
    <x v="1"/>
    <x v="12"/>
    <x v="0"/>
    <x v="1"/>
    <s v="SC/Paris 2123"/>
    <x v="13"/>
    <m/>
    <s v=""/>
    <x v="0"/>
    <x v="0"/>
    <x v="0"/>
    <x v="0"/>
  </r>
  <r>
    <n v="609"/>
    <x v="1"/>
    <x v="0"/>
    <s v="Laroche, Mrs. Joseph (Juliette Marie Louise Lafargue)"/>
    <x v="12"/>
    <x v="1"/>
    <x v="13"/>
    <x v="0"/>
    <x v="1"/>
    <s v="SC/Paris 2123"/>
    <x v="13"/>
    <m/>
    <s v=""/>
    <x v="0"/>
    <x v="0"/>
    <x v="0"/>
    <x v="0"/>
  </r>
  <r>
    <n v="62"/>
    <x v="1"/>
    <x v="1"/>
    <s v="Icard, Miss. Amelie"/>
    <x v="13"/>
    <x v="1"/>
    <x v="14"/>
    <x v="1"/>
    <x v="0"/>
    <n v="113572"/>
    <x v="14"/>
    <s v="B28"/>
    <s v="28"/>
    <x v="4"/>
    <x v="5"/>
    <x v="1"/>
    <x v="3"/>
  </r>
  <r>
    <n v="889"/>
    <x v="0"/>
    <x v="2"/>
    <s v="Johnston, Miss. Catherine Helen &quot;Carrie&quot;"/>
    <x v="11"/>
    <x v="1"/>
    <x v="5"/>
    <x v="0"/>
    <x v="1"/>
    <s v="W./C. 6607"/>
    <x v="8"/>
    <m/>
    <s v=""/>
    <x v="0"/>
    <x v="3"/>
    <x v="0"/>
    <x v="1"/>
  </r>
  <r>
    <n v="243"/>
    <x v="0"/>
    <x v="0"/>
    <s v="Coleridge, Mr. Reginald Charles"/>
    <x v="14"/>
    <x v="0"/>
    <x v="0"/>
    <x v="1"/>
    <x v="0"/>
    <s v="W./C. 14263"/>
    <x v="2"/>
    <m/>
    <s v=""/>
    <x v="0"/>
    <x v="3"/>
    <x v="0"/>
    <x v="1"/>
  </r>
  <r>
    <n v="527"/>
    <x v="1"/>
    <x v="0"/>
    <s v="Ridsdale, Miss. Lucy"/>
    <x v="15"/>
    <x v="1"/>
    <x v="15"/>
    <x v="1"/>
    <x v="0"/>
    <s v="W./C. 14258"/>
    <x v="2"/>
    <m/>
    <s v=""/>
    <x v="0"/>
    <x v="3"/>
    <x v="0"/>
    <x v="1"/>
  </r>
  <r>
    <n v="227"/>
    <x v="1"/>
    <x v="0"/>
    <s v="Mellors, Mr. William John"/>
    <x v="0"/>
    <x v="0"/>
    <x v="16"/>
    <x v="1"/>
    <x v="0"/>
    <s v="SW/PP 751"/>
    <x v="2"/>
    <m/>
    <s v=""/>
    <x v="0"/>
    <x v="6"/>
    <x v="0"/>
    <x v="1"/>
  </r>
  <r>
    <n v="817"/>
    <x v="0"/>
    <x v="2"/>
    <s v="Heininen, Miss. Wendla Maria"/>
    <x v="2"/>
    <x v="1"/>
    <x v="11"/>
    <x v="1"/>
    <x v="0"/>
    <s v="STON/O2. 3101290"/>
    <x v="15"/>
    <m/>
    <s v=""/>
    <x v="0"/>
    <x v="7"/>
    <x v="0"/>
    <x v="1"/>
  </r>
  <r>
    <n v="686"/>
    <x v="0"/>
    <x v="0"/>
    <s v="Laroche, Mr. Joseph Philippe Lemercier"/>
    <x v="16"/>
    <x v="0"/>
    <x v="17"/>
    <x v="0"/>
    <x v="1"/>
    <s v="SC/Paris 2123"/>
    <x v="13"/>
    <m/>
    <s v=""/>
    <x v="0"/>
    <x v="0"/>
    <x v="0"/>
    <x v="0"/>
  </r>
  <r>
    <n v="474"/>
    <x v="1"/>
    <x v="0"/>
    <s v="Jerwan, Mrs. Amin S (Marie Marthe Thuillard)"/>
    <x v="17"/>
    <x v="1"/>
    <x v="11"/>
    <x v="1"/>
    <x v="0"/>
    <s v="SC/AH Basle 541"/>
    <x v="16"/>
    <s v="D"/>
    <s v="D"/>
    <x v="0"/>
    <x v="0"/>
    <x v="3"/>
    <x v="0"/>
  </r>
  <r>
    <n v="217"/>
    <x v="1"/>
    <x v="2"/>
    <s v="Honkanen, Miss. Eliina"/>
    <x v="5"/>
    <x v="1"/>
    <x v="10"/>
    <x v="1"/>
    <x v="0"/>
    <s v="STON/O2. 3101283"/>
    <x v="15"/>
    <m/>
    <s v=""/>
    <x v="0"/>
    <x v="7"/>
    <x v="0"/>
    <x v="1"/>
  </r>
  <r>
    <n v="390"/>
    <x v="1"/>
    <x v="0"/>
    <s v="Lehmann, Miss. Bertha"/>
    <x v="18"/>
    <x v="1"/>
    <x v="18"/>
    <x v="1"/>
    <x v="0"/>
    <s v="SC 1748"/>
    <x v="17"/>
    <m/>
    <s v=""/>
    <x v="0"/>
    <x v="0"/>
    <x v="0"/>
    <x v="0"/>
  </r>
  <r>
    <n v="818"/>
    <x v="0"/>
    <x v="0"/>
    <s v="Mallet, Mr. Albert"/>
    <x v="3"/>
    <x v="0"/>
    <x v="19"/>
    <x v="0"/>
    <x v="2"/>
    <s v="S.C./PARIS 2079"/>
    <x v="18"/>
    <m/>
    <s v=""/>
    <x v="0"/>
    <x v="8"/>
    <x v="0"/>
    <x v="0"/>
  </r>
  <r>
    <n v="3"/>
    <x v="1"/>
    <x v="2"/>
    <s v="Heikkinen, Miss. Laina"/>
    <x v="5"/>
    <x v="1"/>
    <x v="20"/>
    <x v="1"/>
    <x v="0"/>
    <s v="STON/O2. 3101282"/>
    <x v="15"/>
    <m/>
    <s v=""/>
    <x v="0"/>
    <x v="7"/>
    <x v="0"/>
    <x v="1"/>
  </r>
  <r>
    <n v="143"/>
    <x v="1"/>
    <x v="2"/>
    <s v="Hakkarainen, Mrs. Pekka Pietari (Elin Matilda Dolck)"/>
    <x v="19"/>
    <x v="1"/>
    <x v="21"/>
    <x v="0"/>
    <x v="0"/>
    <s v="STON/O2. 3101279"/>
    <x v="19"/>
    <m/>
    <s v=""/>
    <x v="0"/>
    <x v="7"/>
    <x v="0"/>
    <x v="1"/>
  </r>
  <r>
    <n v="404"/>
    <x v="0"/>
    <x v="2"/>
    <s v="Hakkarainen, Mr. Pekka Pietari"/>
    <x v="20"/>
    <x v="0"/>
    <x v="22"/>
    <x v="0"/>
    <x v="0"/>
    <s v="STON/O2. 3101279"/>
    <x v="19"/>
    <m/>
    <s v=""/>
    <x v="0"/>
    <x v="7"/>
    <x v="0"/>
    <x v="1"/>
  </r>
  <r>
    <n v="730"/>
    <x v="0"/>
    <x v="2"/>
    <s v="Ilmakangas, Miss. Pieta Sofia"/>
    <x v="21"/>
    <x v="1"/>
    <x v="17"/>
    <x v="0"/>
    <x v="0"/>
    <s v="STON/O2. 3101271"/>
    <x v="15"/>
    <m/>
    <s v=""/>
    <x v="0"/>
    <x v="7"/>
    <x v="0"/>
    <x v="1"/>
  </r>
  <r>
    <n v="116"/>
    <x v="0"/>
    <x v="2"/>
    <s v="Pekoniemi, Mr. Edvard"/>
    <x v="18"/>
    <x v="0"/>
    <x v="9"/>
    <x v="1"/>
    <x v="0"/>
    <s v="STON/O 2. 3101294"/>
    <x v="15"/>
    <m/>
    <s v=""/>
    <x v="0"/>
    <x v="7"/>
    <x v="0"/>
    <x v="1"/>
  </r>
  <r>
    <n v="383"/>
    <x v="0"/>
    <x v="2"/>
    <s v="Tikkanen, Mr. Juho"/>
    <x v="3"/>
    <x v="0"/>
    <x v="23"/>
    <x v="1"/>
    <x v="0"/>
    <s v="STON/O 2. 3101293"/>
    <x v="15"/>
    <m/>
    <s v=""/>
    <x v="0"/>
    <x v="7"/>
    <x v="0"/>
    <x v="1"/>
  </r>
  <r>
    <n v="637"/>
    <x v="0"/>
    <x v="2"/>
    <s v="Leinonen, Mr. Antti Gustaf"/>
    <x v="9"/>
    <x v="0"/>
    <x v="23"/>
    <x v="1"/>
    <x v="0"/>
    <s v="STON/O 2. 3101292"/>
    <x v="15"/>
    <m/>
    <s v=""/>
    <x v="0"/>
    <x v="7"/>
    <x v="0"/>
    <x v="1"/>
  </r>
  <r>
    <n v="401"/>
    <x v="1"/>
    <x v="2"/>
    <s v="Niskanen, Mr. Juha"/>
    <x v="3"/>
    <x v="0"/>
    <x v="24"/>
    <x v="1"/>
    <x v="0"/>
    <s v="STON/O 2. 3101289"/>
    <x v="15"/>
    <m/>
    <s v=""/>
    <x v="0"/>
    <x v="7"/>
    <x v="0"/>
    <x v="1"/>
  </r>
  <r>
    <n v="745"/>
    <x v="1"/>
    <x v="2"/>
    <s v="Stranden, Mr. Juho"/>
    <x v="3"/>
    <x v="0"/>
    <x v="19"/>
    <x v="1"/>
    <x v="0"/>
    <s v="STON/O 2. 3101288"/>
    <x v="15"/>
    <m/>
    <s v=""/>
    <x v="0"/>
    <x v="7"/>
    <x v="0"/>
    <x v="1"/>
  </r>
  <r>
    <n v="580"/>
    <x v="1"/>
    <x v="2"/>
    <s v="Jussila, Mr. Eiriik"/>
    <x v="13"/>
    <x v="0"/>
    <x v="23"/>
    <x v="1"/>
    <x v="0"/>
    <s v="STON/O 2. 3101286"/>
    <x v="15"/>
    <m/>
    <s v=""/>
    <x v="0"/>
    <x v="7"/>
    <x v="0"/>
    <x v="1"/>
  </r>
  <r>
    <n v="665"/>
    <x v="1"/>
    <x v="2"/>
    <s v="Lindqvist, Mr. Eino William"/>
    <x v="4"/>
    <x v="0"/>
    <x v="25"/>
    <x v="0"/>
    <x v="0"/>
    <s v="STON/O 2. 3101285"/>
    <x v="15"/>
    <m/>
    <s v=""/>
    <x v="0"/>
    <x v="7"/>
    <x v="0"/>
    <x v="1"/>
  </r>
  <r>
    <n v="828"/>
    <x v="1"/>
    <x v="0"/>
    <s v="Mallet, Master. Andre"/>
    <x v="18"/>
    <x v="0"/>
    <x v="26"/>
    <x v="1"/>
    <x v="1"/>
    <s v="S.C./PARIS 2079"/>
    <x v="18"/>
    <m/>
    <s v=""/>
    <x v="0"/>
    <x v="8"/>
    <x v="0"/>
    <x v="0"/>
  </r>
  <r>
    <n v="545"/>
    <x v="0"/>
    <x v="1"/>
    <s v="Douglas, Mr. Walter Donald"/>
    <x v="9"/>
    <x v="0"/>
    <x v="15"/>
    <x v="0"/>
    <x v="0"/>
    <s v="PC 17761"/>
    <x v="20"/>
    <s v="C86"/>
    <s v="86"/>
    <x v="5"/>
    <x v="9"/>
    <x v="5"/>
    <x v="0"/>
  </r>
  <r>
    <n v="174"/>
    <x v="0"/>
    <x v="2"/>
    <s v="Sivola, Mr. Antti Wilhelm"/>
    <x v="0"/>
    <x v="0"/>
    <x v="9"/>
    <x v="1"/>
    <x v="0"/>
    <s v="STON/O 2. 3101280"/>
    <x v="15"/>
    <m/>
    <s v=""/>
    <x v="0"/>
    <x v="7"/>
    <x v="0"/>
    <x v="1"/>
  </r>
  <r>
    <n v="244"/>
    <x v="0"/>
    <x v="2"/>
    <s v="Maenpaa, Mr. Matti Alexanteri"/>
    <x v="21"/>
    <x v="0"/>
    <x v="13"/>
    <x v="1"/>
    <x v="0"/>
    <s v="STON/O 2. 3101275"/>
    <x v="21"/>
    <m/>
    <s v=""/>
    <x v="0"/>
    <x v="7"/>
    <x v="0"/>
    <x v="1"/>
  </r>
  <r>
    <n v="538"/>
    <x v="1"/>
    <x v="1"/>
    <s v="LeRoy, Miss. Bertha"/>
    <x v="13"/>
    <x v="1"/>
    <x v="3"/>
    <x v="1"/>
    <x v="0"/>
    <s v="PC 17761"/>
    <x v="20"/>
    <m/>
    <s v=""/>
    <x v="0"/>
    <x v="9"/>
    <x v="0"/>
    <x v="0"/>
  </r>
  <r>
    <n v="434"/>
    <x v="0"/>
    <x v="2"/>
    <s v="Kallio, Mr. Nikolai Erland"/>
    <x v="9"/>
    <x v="0"/>
    <x v="18"/>
    <x v="1"/>
    <x v="0"/>
    <s v="STON/O 2. 3101274"/>
    <x v="21"/>
    <m/>
    <s v=""/>
    <x v="0"/>
    <x v="7"/>
    <x v="0"/>
    <x v="1"/>
  </r>
  <r>
    <n v="591"/>
    <x v="0"/>
    <x v="2"/>
    <s v="Rintamaki, Mr. Matti"/>
    <x v="15"/>
    <x v="0"/>
    <x v="27"/>
    <x v="1"/>
    <x v="0"/>
    <s v="STON/O 2. 3101273"/>
    <x v="21"/>
    <m/>
    <s v=""/>
    <x v="0"/>
    <x v="7"/>
    <x v="0"/>
    <x v="1"/>
  </r>
  <r>
    <n v="326"/>
    <x v="1"/>
    <x v="1"/>
    <s v="Young, Miss. Marie Grice"/>
    <x v="22"/>
    <x v="1"/>
    <x v="1"/>
    <x v="1"/>
    <x v="0"/>
    <s v="PC 17760"/>
    <x v="22"/>
    <s v="C32"/>
    <s v="32"/>
    <x v="6"/>
    <x v="9"/>
    <x v="5"/>
    <x v="0"/>
  </r>
  <r>
    <n v="374"/>
    <x v="0"/>
    <x v="1"/>
    <s v="Ringhini, Mr. Sante"/>
    <x v="13"/>
    <x v="0"/>
    <x v="13"/>
    <x v="1"/>
    <x v="0"/>
    <s v="PC 17760"/>
    <x v="22"/>
    <m/>
    <s v=""/>
    <x v="0"/>
    <x v="9"/>
    <x v="0"/>
    <x v="0"/>
  </r>
  <r>
    <n v="415"/>
    <x v="1"/>
    <x v="2"/>
    <s v="Sundman, Mr. Johan Julian"/>
    <x v="0"/>
    <x v="0"/>
    <x v="28"/>
    <x v="1"/>
    <x v="0"/>
    <s v="STON/O 2. 3101269"/>
    <x v="15"/>
    <m/>
    <s v=""/>
    <x v="0"/>
    <x v="7"/>
    <x v="0"/>
    <x v="1"/>
  </r>
  <r>
    <n v="98"/>
    <x v="1"/>
    <x v="1"/>
    <s v="Greenfield, Mr. William Bertram"/>
    <x v="14"/>
    <x v="0"/>
    <x v="11"/>
    <x v="1"/>
    <x v="2"/>
    <s v="PC 17759"/>
    <x v="23"/>
    <s v="D10 D12"/>
    <s v="10 "/>
    <x v="7"/>
    <x v="9"/>
    <x v="3"/>
    <x v="0"/>
  </r>
  <r>
    <n v="308"/>
    <x v="1"/>
    <x v="1"/>
    <s v="Penasco y Castellana, Mrs. Victor de Satode (Maria Josefa Perez de Soto y Vallejo)"/>
    <x v="23"/>
    <x v="1"/>
    <x v="18"/>
    <x v="0"/>
    <x v="0"/>
    <s v="PC 17758"/>
    <x v="24"/>
    <s v="C65"/>
    <s v="65"/>
    <x v="8"/>
    <x v="9"/>
    <x v="5"/>
    <x v="0"/>
  </r>
  <r>
    <n v="506"/>
    <x v="0"/>
    <x v="1"/>
    <s v="Penasco y Castellana, Mr. Victor de Satode"/>
    <x v="24"/>
    <x v="0"/>
    <x v="29"/>
    <x v="0"/>
    <x v="0"/>
    <s v="PC 17758"/>
    <x v="24"/>
    <s v="C65"/>
    <s v="65"/>
    <x v="8"/>
    <x v="9"/>
    <x v="5"/>
    <x v="0"/>
  </r>
  <r>
    <n v="158"/>
    <x v="0"/>
    <x v="2"/>
    <s v="Corn, Mr. Harry"/>
    <x v="25"/>
    <x v="0"/>
    <x v="3"/>
    <x v="1"/>
    <x v="0"/>
    <s v="SOTON/OQ 392090"/>
    <x v="25"/>
    <m/>
    <s v=""/>
    <x v="0"/>
    <x v="10"/>
    <x v="0"/>
    <x v="1"/>
  </r>
  <r>
    <n v="558"/>
    <x v="0"/>
    <x v="1"/>
    <s v="Robbins, Mr. Victor"/>
    <x v="13"/>
    <x v="0"/>
    <x v="5"/>
    <x v="1"/>
    <x v="0"/>
    <s v="PC 17757"/>
    <x v="26"/>
    <m/>
    <s v=""/>
    <x v="0"/>
    <x v="9"/>
    <x v="0"/>
    <x v="0"/>
  </r>
  <r>
    <n v="221"/>
    <x v="1"/>
    <x v="2"/>
    <s v="Sunderland, Mr. Victor Francis"/>
    <x v="20"/>
    <x v="0"/>
    <x v="6"/>
    <x v="1"/>
    <x v="0"/>
    <s v="SOTON/OQ 392089"/>
    <x v="25"/>
    <m/>
    <s v=""/>
    <x v="0"/>
    <x v="10"/>
    <x v="0"/>
    <x v="1"/>
  </r>
  <r>
    <n v="381"/>
    <x v="1"/>
    <x v="1"/>
    <s v="Bidois, Miss. Rosalie"/>
    <x v="18"/>
    <x v="1"/>
    <x v="30"/>
    <x v="1"/>
    <x v="0"/>
    <s v="PC 17757"/>
    <x v="26"/>
    <m/>
    <s v=""/>
    <x v="0"/>
    <x v="9"/>
    <x v="0"/>
    <x v="0"/>
  </r>
  <r>
    <n v="88"/>
    <x v="0"/>
    <x v="2"/>
    <s v="Slocovski, Mr. Selman Francis"/>
    <x v="21"/>
    <x v="0"/>
    <x v="5"/>
    <x v="1"/>
    <x v="0"/>
    <s v="SOTON/OQ 392086"/>
    <x v="25"/>
    <m/>
    <s v=""/>
    <x v="0"/>
    <x v="10"/>
    <x v="0"/>
    <x v="1"/>
  </r>
  <r>
    <n v="701"/>
    <x v="1"/>
    <x v="1"/>
    <s v="Astor, Mrs. John Jacob (Madeleine Talmadge Force)"/>
    <x v="26"/>
    <x v="1"/>
    <x v="29"/>
    <x v="0"/>
    <x v="0"/>
    <s v="PC 17757"/>
    <x v="26"/>
    <s v="C62 C64"/>
    <s v="62 "/>
    <x v="9"/>
    <x v="9"/>
    <x v="5"/>
    <x v="0"/>
  </r>
  <r>
    <n v="717"/>
    <x v="1"/>
    <x v="1"/>
    <s v="Endres, Miss. Caroline Louise"/>
    <x v="21"/>
    <x v="1"/>
    <x v="14"/>
    <x v="1"/>
    <x v="0"/>
    <s v="PC 17757"/>
    <x v="26"/>
    <s v="C45"/>
    <s v="45"/>
    <x v="10"/>
    <x v="9"/>
    <x v="5"/>
    <x v="0"/>
  </r>
  <r>
    <n v="836"/>
    <x v="1"/>
    <x v="1"/>
    <s v="Compton, Miss. Sara Rebecca"/>
    <x v="4"/>
    <x v="1"/>
    <x v="24"/>
    <x v="0"/>
    <x v="2"/>
    <s v="PC 17756"/>
    <x v="27"/>
    <s v="E49"/>
    <s v="49"/>
    <x v="11"/>
    <x v="9"/>
    <x v="2"/>
    <x v="0"/>
  </r>
  <r>
    <n v="259"/>
    <x v="1"/>
    <x v="1"/>
    <s v="Ward, Miss. Anna"/>
    <x v="10"/>
    <x v="1"/>
    <x v="27"/>
    <x v="1"/>
    <x v="0"/>
    <s v="PC 17755"/>
    <x v="28"/>
    <m/>
    <s v=""/>
    <x v="0"/>
    <x v="9"/>
    <x v="0"/>
    <x v="0"/>
  </r>
  <r>
    <n v="680"/>
    <x v="1"/>
    <x v="1"/>
    <s v="Cardeza, Mr. Thomas Drake Martinez"/>
    <x v="27"/>
    <x v="0"/>
    <x v="1"/>
    <x v="1"/>
    <x v="2"/>
    <s v="PC 17755"/>
    <x v="28"/>
    <s v="B51 B53 B55"/>
    <s v="51 "/>
    <x v="12"/>
    <x v="9"/>
    <x v="1"/>
    <x v="0"/>
  </r>
  <r>
    <n v="564"/>
    <x v="0"/>
    <x v="2"/>
    <s v="Simmons, Mr. John"/>
    <x v="28"/>
    <x v="0"/>
    <x v="5"/>
    <x v="1"/>
    <x v="0"/>
    <s v="SOTON/OQ 392082"/>
    <x v="25"/>
    <m/>
    <s v=""/>
    <x v="0"/>
    <x v="10"/>
    <x v="0"/>
    <x v="1"/>
  </r>
  <r>
    <n v="885"/>
    <x v="0"/>
    <x v="2"/>
    <s v="Sutehall, Mr. Henry Jr"/>
    <x v="5"/>
    <x v="0"/>
    <x v="17"/>
    <x v="1"/>
    <x v="0"/>
    <s v="SOTON/OQ 392076"/>
    <x v="29"/>
    <m/>
    <s v=""/>
    <x v="0"/>
    <x v="10"/>
    <x v="0"/>
    <x v="1"/>
  </r>
  <r>
    <n v="492"/>
    <x v="0"/>
    <x v="2"/>
    <s v="Windelov, Mr. Einar"/>
    <x v="13"/>
    <x v="0"/>
    <x v="9"/>
    <x v="1"/>
    <x v="0"/>
    <s v="SOTON/OQ 3101317"/>
    <x v="30"/>
    <m/>
    <s v=""/>
    <x v="0"/>
    <x v="10"/>
    <x v="0"/>
    <x v="1"/>
  </r>
  <r>
    <n v="512"/>
    <x v="0"/>
    <x v="2"/>
    <s v="Webber, Mr. James"/>
    <x v="28"/>
    <x v="0"/>
    <x v="5"/>
    <x v="1"/>
    <x v="0"/>
    <s v="SOTON/OQ 3101316"/>
    <x v="25"/>
    <m/>
    <s v=""/>
    <x v="0"/>
    <x v="10"/>
    <x v="0"/>
    <x v="1"/>
  </r>
  <r>
    <n v="841"/>
    <x v="0"/>
    <x v="2"/>
    <s v="Alhomaki, Mr. Ilmari Rudolf"/>
    <x v="4"/>
    <x v="0"/>
    <x v="25"/>
    <x v="1"/>
    <x v="0"/>
    <s v="SOTON/O2 3101287"/>
    <x v="15"/>
    <m/>
    <s v=""/>
    <x v="0"/>
    <x v="10"/>
    <x v="0"/>
    <x v="1"/>
  </r>
  <r>
    <n v="762"/>
    <x v="0"/>
    <x v="2"/>
    <s v="Nirva, Mr. Iisakki Antino Aijo"/>
    <x v="20"/>
    <x v="0"/>
    <x v="31"/>
    <x v="1"/>
    <x v="0"/>
    <s v="SOTON/O2 3101272"/>
    <x v="21"/>
    <m/>
    <s v=""/>
    <x v="0"/>
    <x v="10"/>
    <x v="0"/>
    <x v="1"/>
  </r>
  <r>
    <n v="565"/>
    <x v="0"/>
    <x v="2"/>
    <s v="Meanwell, Miss. (Marion Ogden)"/>
    <x v="20"/>
    <x v="1"/>
    <x v="5"/>
    <x v="1"/>
    <x v="0"/>
    <s v="SOTON/O.Q. 392087"/>
    <x v="25"/>
    <m/>
    <s v=""/>
    <x v="0"/>
    <x v="10"/>
    <x v="0"/>
    <x v="1"/>
  </r>
  <r>
    <n v="430"/>
    <x v="1"/>
    <x v="2"/>
    <s v="Pickard, Mr. Berk (Berk Trembisky)"/>
    <x v="27"/>
    <x v="0"/>
    <x v="23"/>
    <x v="1"/>
    <x v="0"/>
    <s v="SOTON/O.Q. 392078"/>
    <x v="25"/>
    <s v="E10"/>
    <s v="10"/>
    <x v="7"/>
    <x v="10"/>
    <x v="2"/>
    <x v="1"/>
  </r>
  <r>
    <n v="785"/>
    <x v="0"/>
    <x v="2"/>
    <s v="Ali, Mr. William"/>
    <x v="10"/>
    <x v="0"/>
    <x v="17"/>
    <x v="1"/>
    <x v="0"/>
    <s v="SOTON/O.Q. 3101312"/>
    <x v="29"/>
    <m/>
    <s v=""/>
    <x v="0"/>
    <x v="10"/>
    <x v="0"/>
    <x v="1"/>
  </r>
  <r>
    <n v="211"/>
    <x v="0"/>
    <x v="2"/>
    <s v="Ali, Mr. Ahmed"/>
    <x v="29"/>
    <x v="0"/>
    <x v="21"/>
    <x v="1"/>
    <x v="0"/>
    <s v="SOTON/O.Q. 3101311"/>
    <x v="29"/>
    <m/>
    <s v=""/>
    <x v="0"/>
    <x v="10"/>
    <x v="0"/>
    <x v="1"/>
  </r>
  <r>
    <n v="738"/>
    <x v="1"/>
    <x v="1"/>
    <s v="Lesurer, Mr. Gustave J"/>
    <x v="5"/>
    <x v="0"/>
    <x v="27"/>
    <x v="1"/>
    <x v="0"/>
    <s v="PC 17755"/>
    <x v="28"/>
    <s v="B101"/>
    <s v="101"/>
    <x v="13"/>
    <x v="9"/>
    <x v="1"/>
    <x v="0"/>
  </r>
  <r>
    <n v="97"/>
    <x v="0"/>
    <x v="1"/>
    <s v="Goldschmidt, Mr. George B"/>
    <x v="0"/>
    <x v="0"/>
    <x v="32"/>
    <x v="1"/>
    <x v="0"/>
    <s v="PC 17754"/>
    <x v="31"/>
    <s v="A5"/>
    <s v="5"/>
    <x v="0"/>
    <x v="9"/>
    <x v="6"/>
    <x v="0"/>
  </r>
  <r>
    <n v="364"/>
    <x v="0"/>
    <x v="2"/>
    <s v="Asim, Mr. Adola"/>
    <x v="25"/>
    <x v="0"/>
    <x v="27"/>
    <x v="1"/>
    <x v="0"/>
    <s v="SOTON/O.Q. 3101310"/>
    <x v="29"/>
    <m/>
    <s v=""/>
    <x v="0"/>
    <x v="10"/>
    <x v="0"/>
    <x v="1"/>
  </r>
  <r>
    <n v="132"/>
    <x v="0"/>
    <x v="2"/>
    <s v="Coelho, Mr. Domingos Fernandeo"/>
    <x v="20"/>
    <x v="0"/>
    <x v="25"/>
    <x v="1"/>
    <x v="0"/>
    <s v="SOTON/O.Q. 3101307"/>
    <x v="29"/>
    <m/>
    <s v=""/>
    <x v="0"/>
    <x v="10"/>
    <x v="0"/>
    <x v="1"/>
  </r>
  <r>
    <n v="296"/>
    <x v="0"/>
    <x v="1"/>
    <s v="Lewy, Mr. Ervin G"/>
    <x v="28"/>
    <x v="0"/>
    <x v="5"/>
    <x v="1"/>
    <x v="0"/>
    <s v="PC 17612"/>
    <x v="0"/>
    <m/>
    <s v=""/>
    <x v="0"/>
    <x v="9"/>
    <x v="0"/>
    <x v="0"/>
  </r>
  <r>
    <n v="466"/>
    <x v="0"/>
    <x v="2"/>
    <s v="Goncalves, Mr. Manuel Estanslas"/>
    <x v="14"/>
    <x v="0"/>
    <x v="14"/>
    <x v="1"/>
    <x v="0"/>
    <s v="SOTON/O.Q. 3101306"/>
    <x v="29"/>
    <m/>
    <s v=""/>
    <x v="0"/>
    <x v="10"/>
    <x v="0"/>
    <x v="1"/>
  </r>
  <r>
    <n v="195"/>
    <x v="1"/>
    <x v="1"/>
    <s v="Brown, Mrs. James Joseph (Margaret Tobin)"/>
    <x v="30"/>
    <x v="1"/>
    <x v="28"/>
    <x v="1"/>
    <x v="0"/>
    <s v="PC 17610"/>
    <x v="0"/>
    <s v="B4"/>
    <s v="4"/>
    <x v="0"/>
    <x v="9"/>
    <x v="1"/>
    <x v="0"/>
  </r>
  <r>
    <n v="612"/>
    <x v="0"/>
    <x v="2"/>
    <s v="Jardin, Mr. Jose Neto"/>
    <x v="18"/>
    <x v="0"/>
    <x v="5"/>
    <x v="1"/>
    <x v="0"/>
    <s v="SOTON/O.Q. 3101305"/>
    <x v="29"/>
    <m/>
    <s v=""/>
    <x v="0"/>
    <x v="10"/>
    <x v="0"/>
    <x v="1"/>
  </r>
  <r>
    <n v="494"/>
    <x v="0"/>
    <x v="1"/>
    <s v="Artagaveytia, Mr. Ramon"/>
    <x v="1"/>
    <x v="0"/>
    <x v="32"/>
    <x v="1"/>
    <x v="0"/>
    <s v="PC 17609"/>
    <x v="32"/>
    <m/>
    <s v=""/>
    <x v="0"/>
    <x v="9"/>
    <x v="0"/>
    <x v="0"/>
  </r>
  <r>
    <n v="312"/>
    <x v="1"/>
    <x v="1"/>
    <s v="Ryerson, Miss. Emily Borie"/>
    <x v="9"/>
    <x v="1"/>
    <x v="29"/>
    <x v="2"/>
    <x v="1"/>
    <s v="PC 17608"/>
    <x v="33"/>
    <s v="B57 B59 B63 B66"/>
    <s v="57 "/>
    <x v="14"/>
    <x v="9"/>
    <x v="1"/>
    <x v="0"/>
  </r>
  <r>
    <n v="743"/>
    <x v="1"/>
    <x v="1"/>
    <s v="Ryerson, Miss. Susan Parker &quot;Suzette&quot;"/>
    <x v="31"/>
    <x v="1"/>
    <x v="9"/>
    <x v="2"/>
    <x v="1"/>
    <s v="PC 17608"/>
    <x v="33"/>
    <s v="B57 B59 B63 B66"/>
    <s v="57 "/>
    <x v="14"/>
    <x v="9"/>
    <x v="1"/>
    <x v="0"/>
  </r>
  <r>
    <n v="85"/>
    <x v="1"/>
    <x v="0"/>
    <s v="Ilett, Miss. Bertha"/>
    <x v="13"/>
    <x v="1"/>
    <x v="18"/>
    <x v="1"/>
    <x v="0"/>
    <s v="SO/C 14885"/>
    <x v="2"/>
    <m/>
    <s v=""/>
    <x v="0"/>
    <x v="10"/>
    <x v="0"/>
    <x v="1"/>
  </r>
  <r>
    <n v="240"/>
    <x v="0"/>
    <x v="0"/>
    <s v="Hunt, Mr. George Henry"/>
    <x v="5"/>
    <x v="0"/>
    <x v="33"/>
    <x v="1"/>
    <x v="0"/>
    <s v="SCO/W 1585"/>
    <x v="34"/>
    <m/>
    <s v=""/>
    <x v="0"/>
    <x v="0"/>
    <x v="0"/>
    <x v="1"/>
  </r>
  <r>
    <n v="65"/>
    <x v="0"/>
    <x v="1"/>
    <s v="Stewart, Mr. Albert A"/>
    <x v="18"/>
    <x v="0"/>
    <x v="5"/>
    <x v="1"/>
    <x v="0"/>
    <s v="PC 17605"/>
    <x v="0"/>
    <m/>
    <s v=""/>
    <x v="0"/>
    <x v="9"/>
    <x v="0"/>
    <x v="0"/>
  </r>
  <r>
    <n v="376"/>
    <x v="1"/>
    <x v="1"/>
    <s v="Meyer, Mrs. Edgar Joseph (Leila Saks)"/>
    <x v="31"/>
    <x v="1"/>
    <x v="5"/>
    <x v="0"/>
    <x v="0"/>
    <s v="PC 17604"/>
    <x v="35"/>
    <m/>
    <s v=""/>
    <x v="0"/>
    <x v="9"/>
    <x v="0"/>
    <x v="0"/>
  </r>
  <r>
    <n v="35"/>
    <x v="0"/>
    <x v="1"/>
    <s v="Meyer, Mr. Edgar Joseph"/>
    <x v="1"/>
    <x v="0"/>
    <x v="22"/>
    <x v="0"/>
    <x v="0"/>
    <s v="PC 17604"/>
    <x v="35"/>
    <m/>
    <s v=""/>
    <x v="0"/>
    <x v="9"/>
    <x v="0"/>
    <x v="0"/>
  </r>
  <r>
    <n v="433"/>
    <x v="1"/>
    <x v="0"/>
    <s v="Louch, Mrs. Charles Alexander (Alice Adelaide Slow)"/>
    <x v="32"/>
    <x v="1"/>
    <x v="30"/>
    <x v="0"/>
    <x v="0"/>
    <s v="SC/AH 3085"/>
    <x v="36"/>
    <m/>
    <s v=""/>
    <x v="0"/>
    <x v="0"/>
    <x v="0"/>
    <x v="1"/>
  </r>
  <r>
    <n v="595"/>
    <x v="0"/>
    <x v="0"/>
    <s v="Chapman, Mr. John Henry"/>
    <x v="1"/>
    <x v="0"/>
    <x v="34"/>
    <x v="0"/>
    <x v="0"/>
    <s v="SC/AH 29037"/>
    <x v="36"/>
    <m/>
    <s v=""/>
    <x v="0"/>
    <x v="0"/>
    <x v="0"/>
    <x v="1"/>
  </r>
  <r>
    <n v="571"/>
    <x v="1"/>
    <x v="0"/>
    <s v="Harris, Mr. George"/>
    <x v="3"/>
    <x v="0"/>
    <x v="35"/>
    <x v="1"/>
    <x v="0"/>
    <s v="S.W./PP 752"/>
    <x v="2"/>
    <m/>
    <s v=""/>
    <x v="0"/>
    <x v="8"/>
    <x v="0"/>
    <x v="1"/>
  </r>
  <r>
    <n v="514"/>
    <x v="1"/>
    <x v="1"/>
    <s v="Rothschild, Mrs. Martin (Elizabeth L. Barrett)"/>
    <x v="33"/>
    <x v="1"/>
    <x v="36"/>
    <x v="0"/>
    <x v="0"/>
    <s v="PC 17603"/>
    <x v="37"/>
    <m/>
    <s v=""/>
    <x v="0"/>
    <x v="9"/>
    <x v="0"/>
    <x v="0"/>
  </r>
  <r>
    <n v="31"/>
    <x v="0"/>
    <x v="1"/>
    <s v="Uruchurtu, Don. Manuel E"/>
    <x v="22"/>
    <x v="0"/>
    <x v="37"/>
    <x v="1"/>
    <x v="0"/>
    <s v="PC 17601"/>
    <x v="0"/>
    <m/>
    <s v=""/>
    <x v="0"/>
    <x v="9"/>
    <x v="0"/>
    <x v="0"/>
  </r>
  <r>
    <n v="68"/>
    <x v="0"/>
    <x v="2"/>
    <s v="Crease, Mr. Ernest James"/>
    <x v="22"/>
    <x v="0"/>
    <x v="16"/>
    <x v="1"/>
    <x v="0"/>
    <s v="S.P. 3464"/>
    <x v="38"/>
    <m/>
    <s v=""/>
    <x v="0"/>
    <x v="8"/>
    <x v="0"/>
    <x v="1"/>
  </r>
  <r>
    <n v="151"/>
    <x v="0"/>
    <x v="0"/>
    <s v="Bateman, Rev. Robert James"/>
    <x v="9"/>
    <x v="0"/>
    <x v="38"/>
    <x v="1"/>
    <x v="0"/>
    <s v="S.O.P. 1166"/>
    <x v="39"/>
    <m/>
    <s v=""/>
    <x v="0"/>
    <x v="8"/>
    <x v="0"/>
    <x v="1"/>
  </r>
  <r>
    <n v="794"/>
    <x v="0"/>
    <x v="1"/>
    <s v="Hoyt, Mr. William Fisher"/>
    <x v="22"/>
    <x v="0"/>
    <x v="5"/>
    <x v="1"/>
    <x v="0"/>
    <s v="PC 17600"/>
    <x v="40"/>
    <m/>
    <s v=""/>
    <x v="0"/>
    <x v="9"/>
    <x v="0"/>
    <x v="0"/>
  </r>
  <r>
    <n v="2"/>
    <x v="1"/>
    <x v="1"/>
    <s v="Cumings, Mrs. John Bradley (Florence Briggs Thayer)"/>
    <x v="32"/>
    <x v="1"/>
    <x v="14"/>
    <x v="0"/>
    <x v="0"/>
    <s v="PC 17599"/>
    <x v="41"/>
    <s v="C85"/>
    <s v="85"/>
    <x v="15"/>
    <x v="9"/>
    <x v="5"/>
    <x v="0"/>
  </r>
  <r>
    <n v="156"/>
    <x v="0"/>
    <x v="1"/>
    <s v="Williams, Mr. Charles Duane"/>
    <x v="4"/>
    <x v="0"/>
    <x v="38"/>
    <x v="1"/>
    <x v="2"/>
    <s v="PC 17597"/>
    <x v="42"/>
    <m/>
    <s v=""/>
    <x v="0"/>
    <x v="9"/>
    <x v="0"/>
    <x v="0"/>
  </r>
  <r>
    <n v="73"/>
    <x v="0"/>
    <x v="0"/>
    <s v="Hood, Mr. Ambrose Jr"/>
    <x v="15"/>
    <x v="0"/>
    <x v="9"/>
    <x v="1"/>
    <x v="0"/>
    <s v="S.O.C. 14879"/>
    <x v="43"/>
    <m/>
    <s v=""/>
    <x v="0"/>
    <x v="8"/>
    <x v="0"/>
    <x v="1"/>
  </r>
  <r>
    <n v="274"/>
    <x v="0"/>
    <x v="1"/>
    <s v="Natsch, Mr. Charles H"/>
    <x v="18"/>
    <x v="0"/>
    <x v="34"/>
    <x v="1"/>
    <x v="2"/>
    <s v="PC 17596"/>
    <x v="44"/>
    <s v="C118"/>
    <s v="118"/>
    <x v="16"/>
    <x v="9"/>
    <x v="5"/>
    <x v="0"/>
  </r>
  <r>
    <n v="178"/>
    <x v="0"/>
    <x v="1"/>
    <s v="Isham, Miss. Ann Elizabeth"/>
    <x v="9"/>
    <x v="1"/>
    <x v="15"/>
    <x v="1"/>
    <x v="0"/>
    <s v="PC 17595"/>
    <x v="45"/>
    <s v="C49"/>
    <s v="49"/>
    <x v="11"/>
    <x v="9"/>
    <x v="5"/>
    <x v="0"/>
  </r>
  <r>
    <n v="140"/>
    <x v="0"/>
    <x v="1"/>
    <s v="Giglio, Mr. Victor"/>
    <x v="3"/>
    <x v="0"/>
    <x v="21"/>
    <x v="1"/>
    <x v="0"/>
    <s v="PC 17593"/>
    <x v="46"/>
    <s v="B86"/>
    <s v="86"/>
    <x v="5"/>
    <x v="9"/>
    <x v="1"/>
    <x v="0"/>
  </r>
  <r>
    <n v="386"/>
    <x v="0"/>
    <x v="0"/>
    <s v="Davies, Mr. Charles Henry"/>
    <x v="0"/>
    <x v="0"/>
    <x v="29"/>
    <x v="1"/>
    <x v="0"/>
    <s v="S.O.C. 14879"/>
    <x v="43"/>
    <m/>
    <s v=""/>
    <x v="0"/>
    <x v="8"/>
    <x v="0"/>
    <x v="1"/>
  </r>
  <r>
    <n v="790"/>
    <x v="0"/>
    <x v="1"/>
    <s v="Guggenheim, Mr. Benjamin"/>
    <x v="22"/>
    <x v="0"/>
    <x v="4"/>
    <x v="1"/>
    <x v="0"/>
    <s v="PC 17593"/>
    <x v="46"/>
    <s v="B82 B84"/>
    <s v="82 "/>
    <x v="17"/>
    <x v="9"/>
    <x v="1"/>
    <x v="0"/>
  </r>
  <r>
    <n v="413"/>
    <x v="1"/>
    <x v="1"/>
    <s v="Minahan, Miss. Daisy E"/>
    <x v="5"/>
    <x v="1"/>
    <x v="33"/>
    <x v="0"/>
    <x v="0"/>
    <n v="19928"/>
    <x v="47"/>
    <s v="C78"/>
    <s v="78"/>
    <x v="18"/>
    <x v="11"/>
    <x v="5"/>
    <x v="2"/>
  </r>
  <r>
    <n v="121"/>
    <x v="0"/>
    <x v="0"/>
    <s v="Hickman, Mr. Stanley George"/>
    <x v="4"/>
    <x v="0"/>
    <x v="9"/>
    <x v="2"/>
    <x v="0"/>
    <s v="S.O.C. 14879"/>
    <x v="43"/>
    <m/>
    <s v=""/>
    <x v="0"/>
    <x v="8"/>
    <x v="0"/>
    <x v="1"/>
  </r>
  <r>
    <n v="656"/>
    <x v="0"/>
    <x v="0"/>
    <s v="Hickman, Mr. Leonard Mark"/>
    <x v="0"/>
    <x v="0"/>
    <x v="21"/>
    <x v="2"/>
    <x v="0"/>
    <s v="S.O.C. 14879"/>
    <x v="43"/>
    <m/>
    <s v=""/>
    <x v="0"/>
    <x v="8"/>
    <x v="0"/>
    <x v="1"/>
  </r>
  <r>
    <n v="666"/>
    <x v="0"/>
    <x v="0"/>
    <s v="Hickman, Mr. Lewis"/>
    <x v="3"/>
    <x v="0"/>
    <x v="23"/>
    <x v="2"/>
    <x v="0"/>
    <s v="S.O.C. 14879"/>
    <x v="43"/>
    <m/>
    <s v=""/>
    <x v="0"/>
    <x v="8"/>
    <x v="0"/>
    <x v="1"/>
  </r>
  <r>
    <n v="649"/>
    <x v="0"/>
    <x v="2"/>
    <s v="Willey, Mr. Edward"/>
    <x v="3"/>
    <x v="0"/>
    <x v="5"/>
    <x v="1"/>
    <x v="0"/>
    <s v="S.O./P.P. 751"/>
    <x v="4"/>
    <m/>
    <s v=""/>
    <x v="0"/>
    <x v="8"/>
    <x v="0"/>
    <x v="1"/>
  </r>
  <r>
    <n v="773"/>
    <x v="0"/>
    <x v="0"/>
    <s v="Mack, Mrs. (Mary)"/>
    <x v="28"/>
    <x v="1"/>
    <x v="39"/>
    <x v="1"/>
    <x v="0"/>
    <s v="S.O./P.P. 3"/>
    <x v="2"/>
    <s v="E77"/>
    <s v="77"/>
    <x v="19"/>
    <x v="8"/>
    <x v="2"/>
    <x v="1"/>
  </r>
  <r>
    <n v="257"/>
    <x v="1"/>
    <x v="1"/>
    <s v="Thorne, Mrs. Gertrude Maybelle"/>
    <x v="20"/>
    <x v="1"/>
    <x v="5"/>
    <x v="1"/>
    <x v="0"/>
    <s v="PC 17585"/>
    <x v="46"/>
    <m/>
    <s v=""/>
    <x v="0"/>
    <x v="9"/>
    <x v="0"/>
    <x v="0"/>
  </r>
  <r>
    <n v="842"/>
    <x v="0"/>
    <x v="0"/>
    <s v="Mudd, Mr. Thomas Charles"/>
    <x v="22"/>
    <x v="0"/>
    <x v="6"/>
    <x v="1"/>
    <x v="0"/>
    <s v="S.O./P.P. 3"/>
    <x v="2"/>
    <m/>
    <s v=""/>
    <x v="0"/>
    <x v="8"/>
    <x v="0"/>
    <x v="1"/>
  </r>
  <r>
    <n v="53"/>
    <x v="1"/>
    <x v="1"/>
    <s v="Harper, Mrs. Henry Sleeper (Myna Haxtun)"/>
    <x v="11"/>
    <x v="1"/>
    <x v="40"/>
    <x v="0"/>
    <x v="0"/>
    <s v="PC 17572"/>
    <x v="48"/>
    <s v="D33"/>
    <s v="33"/>
    <x v="20"/>
    <x v="9"/>
    <x v="3"/>
    <x v="0"/>
  </r>
  <r>
    <n v="646"/>
    <x v="1"/>
    <x v="1"/>
    <s v="Harper, Mr. Henry Sleeper"/>
    <x v="0"/>
    <x v="0"/>
    <x v="7"/>
    <x v="0"/>
    <x v="0"/>
    <s v="PC 17572"/>
    <x v="48"/>
    <s v="D33"/>
    <s v="33"/>
    <x v="20"/>
    <x v="9"/>
    <x v="3"/>
    <x v="0"/>
  </r>
  <r>
    <n v="46"/>
    <x v="0"/>
    <x v="2"/>
    <s v="Rogers, Mr. William John"/>
    <x v="22"/>
    <x v="0"/>
    <x v="5"/>
    <x v="1"/>
    <x v="0"/>
    <s v="S.C./A.4. 23567"/>
    <x v="25"/>
    <m/>
    <s v=""/>
    <x v="0"/>
    <x v="8"/>
    <x v="0"/>
    <x v="1"/>
  </r>
  <r>
    <n v="11"/>
    <x v="1"/>
    <x v="2"/>
    <s v="Sandstrom, Miss. Marguerite Rut"/>
    <x v="14"/>
    <x v="1"/>
    <x v="41"/>
    <x v="0"/>
    <x v="2"/>
    <s v="PP 9549"/>
    <x v="49"/>
    <s v="G6"/>
    <s v="6"/>
    <x v="0"/>
    <x v="12"/>
    <x v="7"/>
    <x v="1"/>
  </r>
  <r>
    <n v="395"/>
    <x v="1"/>
    <x v="2"/>
    <s v="Sandstrom, Mrs. Hjalmar (Agnes Charlotta Bengtsson)"/>
    <x v="32"/>
    <x v="1"/>
    <x v="21"/>
    <x v="1"/>
    <x v="1"/>
    <s v="PP 9549"/>
    <x v="49"/>
    <s v="G6"/>
    <s v="6"/>
    <x v="0"/>
    <x v="12"/>
    <x v="7"/>
    <x v="1"/>
  </r>
  <r>
    <n v="682"/>
    <x v="1"/>
    <x v="1"/>
    <s v="Hassab, Mr. Hammad"/>
    <x v="3"/>
    <x v="0"/>
    <x v="10"/>
    <x v="1"/>
    <x v="0"/>
    <s v="PC 17572"/>
    <x v="48"/>
    <s v="D49"/>
    <s v="49"/>
    <x v="11"/>
    <x v="9"/>
    <x v="3"/>
    <x v="0"/>
  </r>
  <r>
    <n v="32"/>
    <x v="1"/>
    <x v="1"/>
    <s v="Spencer, Mrs. William Augustus (Marie Eugenie)"/>
    <x v="33"/>
    <x v="1"/>
    <x v="5"/>
    <x v="0"/>
    <x v="0"/>
    <s v="PC 17569"/>
    <x v="50"/>
    <s v="B78"/>
    <s v="78"/>
    <x v="18"/>
    <x v="9"/>
    <x v="1"/>
    <x v="0"/>
  </r>
  <r>
    <n v="226"/>
    <x v="0"/>
    <x v="2"/>
    <s v="Berglund, Mr. Karl Ivar Sven"/>
    <x v="2"/>
    <x v="0"/>
    <x v="13"/>
    <x v="1"/>
    <x v="0"/>
    <s v="PP 4348"/>
    <x v="51"/>
    <m/>
    <s v=""/>
    <x v="0"/>
    <x v="12"/>
    <x v="0"/>
    <x v="1"/>
  </r>
  <r>
    <n v="196"/>
    <x v="1"/>
    <x v="1"/>
    <s v="Lurette, Miss. Elise"/>
    <x v="15"/>
    <x v="1"/>
    <x v="42"/>
    <x v="1"/>
    <x v="0"/>
    <s v="PC 17569"/>
    <x v="50"/>
    <s v="B80"/>
    <s v="80"/>
    <x v="21"/>
    <x v="9"/>
    <x v="1"/>
    <x v="0"/>
  </r>
  <r>
    <n v="270"/>
    <x v="1"/>
    <x v="1"/>
    <s v="Bissette, Miss. Amelia"/>
    <x v="5"/>
    <x v="1"/>
    <x v="27"/>
    <x v="1"/>
    <x v="0"/>
    <s v="PC 17760"/>
    <x v="22"/>
    <s v="C99"/>
    <s v="99"/>
    <x v="22"/>
    <x v="9"/>
    <x v="5"/>
    <x v="1"/>
  </r>
  <r>
    <n v="335"/>
    <x v="1"/>
    <x v="1"/>
    <s v="Frauenthal, Mrs. Henry William (Clara Heinsheimer)"/>
    <x v="34"/>
    <x v="1"/>
    <x v="5"/>
    <x v="0"/>
    <x v="0"/>
    <s v="PC 17611"/>
    <x v="52"/>
    <m/>
    <s v=""/>
    <x v="0"/>
    <x v="9"/>
    <x v="0"/>
    <x v="1"/>
  </r>
  <r>
    <n v="119"/>
    <x v="0"/>
    <x v="1"/>
    <s v="Baxter, Mr. Quigg Edmond"/>
    <x v="22"/>
    <x v="0"/>
    <x v="21"/>
    <x v="1"/>
    <x v="2"/>
    <s v="PC 17558"/>
    <x v="53"/>
    <s v="B58 B60"/>
    <s v="58 "/>
    <x v="23"/>
    <x v="9"/>
    <x v="1"/>
    <x v="0"/>
  </r>
  <r>
    <n v="661"/>
    <x v="1"/>
    <x v="1"/>
    <s v="Frauenthal, Dr. Henry William"/>
    <x v="21"/>
    <x v="0"/>
    <x v="15"/>
    <x v="2"/>
    <x v="0"/>
    <s v="PC 17611"/>
    <x v="52"/>
    <m/>
    <s v=""/>
    <x v="0"/>
    <x v="9"/>
    <x v="0"/>
    <x v="1"/>
  </r>
  <r>
    <n v="854"/>
    <x v="1"/>
    <x v="1"/>
    <s v="Lines, Miss. Mary Conover"/>
    <x v="0"/>
    <x v="1"/>
    <x v="6"/>
    <x v="1"/>
    <x v="2"/>
    <s v="PC 17592"/>
    <x v="54"/>
    <s v="D28"/>
    <s v="28"/>
    <x v="4"/>
    <x v="9"/>
    <x v="3"/>
    <x v="1"/>
  </r>
  <r>
    <n v="300"/>
    <x v="1"/>
    <x v="1"/>
    <s v="Baxter, Mrs. James (Helene DeLaudeniere Chaput)"/>
    <x v="35"/>
    <x v="1"/>
    <x v="15"/>
    <x v="1"/>
    <x v="2"/>
    <s v="PC 17558"/>
    <x v="53"/>
    <s v="B58 B60"/>
    <s v="58 "/>
    <x v="23"/>
    <x v="9"/>
    <x v="1"/>
    <x v="0"/>
  </r>
  <r>
    <n v="868"/>
    <x v="0"/>
    <x v="1"/>
    <s v="Roebling, Mr. Washington Augustus II"/>
    <x v="8"/>
    <x v="0"/>
    <x v="19"/>
    <x v="1"/>
    <x v="0"/>
    <s v="PC 17590"/>
    <x v="55"/>
    <s v="A24"/>
    <s v="24"/>
    <x v="24"/>
    <x v="9"/>
    <x v="6"/>
    <x v="1"/>
  </r>
  <r>
    <n v="269"/>
    <x v="1"/>
    <x v="1"/>
    <s v="Graham, Mrs. William Thompson (Edith Junkins)"/>
    <x v="36"/>
    <x v="1"/>
    <x v="42"/>
    <x v="1"/>
    <x v="2"/>
    <s v="PC 17582"/>
    <x v="56"/>
    <s v="C125"/>
    <s v="125"/>
    <x v="25"/>
    <x v="9"/>
    <x v="5"/>
    <x v="1"/>
  </r>
  <r>
    <n v="333"/>
    <x v="0"/>
    <x v="1"/>
    <s v="Graham, Mr. George Edward"/>
    <x v="0"/>
    <x v="0"/>
    <x v="14"/>
    <x v="1"/>
    <x v="2"/>
    <s v="PC 17582"/>
    <x v="56"/>
    <s v="C91"/>
    <s v="91"/>
    <x v="26"/>
    <x v="9"/>
    <x v="5"/>
    <x v="1"/>
  </r>
  <r>
    <n v="610"/>
    <x v="1"/>
    <x v="1"/>
    <s v="Shutes, Miss. Elizabeth W"/>
    <x v="0"/>
    <x v="1"/>
    <x v="37"/>
    <x v="1"/>
    <x v="0"/>
    <s v="PC 17582"/>
    <x v="56"/>
    <s v="C125"/>
    <s v="125"/>
    <x v="25"/>
    <x v="9"/>
    <x v="5"/>
    <x v="1"/>
  </r>
  <r>
    <n v="310"/>
    <x v="1"/>
    <x v="1"/>
    <s v="Francatelli, Miss. Laura Mabel"/>
    <x v="20"/>
    <x v="1"/>
    <x v="3"/>
    <x v="1"/>
    <x v="0"/>
    <s v="PC 17485"/>
    <x v="57"/>
    <s v="E36"/>
    <s v="36"/>
    <x v="27"/>
    <x v="9"/>
    <x v="2"/>
    <x v="0"/>
  </r>
  <r>
    <n v="528"/>
    <x v="0"/>
    <x v="1"/>
    <s v="Farthing, Mr. John"/>
    <x v="3"/>
    <x v="0"/>
    <x v="5"/>
    <x v="1"/>
    <x v="0"/>
    <s v="PC 17483"/>
    <x v="58"/>
    <s v="C95"/>
    <s v="95"/>
    <x v="28"/>
    <x v="9"/>
    <x v="5"/>
    <x v="1"/>
  </r>
  <r>
    <n v="708"/>
    <x v="1"/>
    <x v="1"/>
    <s v="Calderhead, Mr. Edward Pennington"/>
    <x v="37"/>
    <x v="0"/>
    <x v="30"/>
    <x v="1"/>
    <x v="0"/>
    <s v="PC 17476"/>
    <x v="59"/>
    <s v="E24"/>
    <s v="24"/>
    <x v="24"/>
    <x v="9"/>
    <x v="2"/>
    <x v="1"/>
  </r>
  <r>
    <n v="600"/>
    <x v="1"/>
    <x v="1"/>
    <s v="Duff Gordon, Sir. Cosmo Edmund (&quot;Mr Morgan&quot;)"/>
    <x v="17"/>
    <x v="0"/>
    <x v="40"/>
    <x v="0"/>
    <x v="0"/>
    <s v="PC 17485"/>
    <x v="57"/>
    <s v="A20"/>
    <s v="20"/>
    <x v="29"/>
    <x v="9"/>
    <x v="6"/>
    <x v="0"/>
  </r>
  <r>
    <n v="702"/>
    <x v="1"/>
    <x v="1"/>
    <s v="Silverthorne, Mr. Spencer Victor"/>
    <x v="7"/>
    <x v="0"/>
    <x v="27"/>
    <x v="1"/>
    <x v="0"/>
    <s v="PC 17475"/>
    <x v="59"/>
    <s v="E24"/>
    <s v="24"/>
    <x v="24"/>
    <x v="9"/>
    <x v="2"/>
    <x v="1"/>
  </r>
  <r>
    <n v="711"/>
    <x v="1"/>
    <x v="1"/>
    <s v="Mayne, Mlle. Berthe Antonine (&quot;Mrs de Villiers&quot;)"/>
    <x v="38"/>
    <x v="1"/>
    <x v="21"/>
    <x v="1"/>
    <x v="0"/>
    <s v="PC 17482"/>
    <x v="32"/>
    <s v="C90"/>
    <s v="90"/>
    <x v="30"/>
    <x v="9"/>
    <x v="5"/>
    <x v="0"/>
  </r>
  <r>
    <n v="370"/>
    <x v="1"/>
    <x v="1"/>
    <s v="Aubart, Mme. Leontine Pauline"/>
    <x v="21"/>
    <x v="1"/>
    <x v="21"/>
    <x v="1"/>
    <x v="0"/>
    <s v="PC 17477"/>
    <x v="60"/>
    <s v="B35"/>
    <s v="35"/>
    <x v="31"/>
    <x v="9"/>
    <x v="1"/>
    <x v="0"/>
  </r>
  <r>
    <n v="642"/>
    <x v="1"/>
    <x v="1"/>
    <s v="Sagesser, Mlle. Emma"/>
    <x v="15"/>
    <x v="1"/>
    <x v="21"/>
    <x v="1"/>
    <x v="0"/>
    <s v="PC 17477"/>
    <x v="60"/>
    <s v="B35"/>
    <s v="35"/>
    <x v="31"/>
    <x v="9"/>
    <x v="1"/>
    <x v="0"/>
  </r>
  <r>
    <n v="573"/>
    <x v="1"/>
    <x v="1"/>
    <s v="Flynn, Mr. John Irwin (&quot;Irving&quot;)"/>
    <x v="7"/>
    <x v="0"/>
    <x v="1"/>
    <x v="1"/>
    <x v="0"/>
    <s v="PC 17474"/>
    <x v="61"/>
    <s v="E25"/>
    <s v="25"/>
    <x v="32"/>
    <x v="9"/>
    <x v="2"/>
    <x v="1"/>
  </r>
  <r>
    <n v="309"/>
    <x v="0"/>
    <x v="0"/>
    <s v="Abelson, Mr. Samuel"/>
    <x v="13"/>
    <x v="0"/>
    <x v="3"/>
    <x v="0"/>
    <x v="0"/>
    <s v="P/PP 3381"/>
    <x v="62"/>
    <m/>
    <s v=""/>
    <x v="0"/>
    <x v="13"/>
    <x v="0"/>
    <x v="0"/>
  </r>
  <r>
    <n v="513"/>
    <x v="1"/>
    <x v="1"/>
    <s v="McGough, Mr. James Robert"/>
    <x v="0"/>
    <x v="0"/>
    <x v="1"/>
    <x v="1"/>
    <x v="0"/>
    <s v="PC 17473"/>
    <x v="59"/>
    <s v="E25"/>
    <s v="25"/>
    <x v="32"/>
    <x v="9"/>
    <x v="2"/>
    <x v="1"/>
  </r>
  <r>
    <n v="169"/>
    <x v="0"/>
    <x v="1"/>
    <s v="Baumann, Mr. John D"/>
    <x v="13"/>
    <x v="0"/>
    <x v="5"/>
    <x v="1"/>
    <x v="0"/>
    <s v="PC 17318"/>
    <x v="63"/>
    <m/>
    <s v=""/>
    <x v="0"/>
    <x v="9"/>
    <x v="0"/>
    <x v="1"/>
  </r>
  <r>
    <n v="875"/>
    <x v="1"/>
    <x v="0"/>
    <s v="Abelson, Mrs. Samuel (Hannah Wizosky)"/>
    <x v="31"/>
    <x v="1"/>
    <x v="22"/>
    <x v="0"/>
    <x v="0"/>
    <s v="P/PP 3381"/>
    <x v="62"/>
    <m/>
    <s v=""/>
    <x v="0"/>
    <x v="13"/>
    <x v="0"/>
    <x v="0"/>
  </r>
  <r>
    <n v="180"/>
    <x v="0"/>
    <x v="2"/>
    <s v="Leonard, Mr. Lionel"/>
    <x v="13"/>
    <x v="0"/>
    <x v="1"/>
    <x v="1"/>
    <x v="0"/>
    <s v="LINE"/>
    <x v="64"/>
    <m/>
    <s v=""/>
    <x v="0"/>
    <x v="14"/>
    <x v="0"/>
    <x v="1"/>
  </r>
  <r>
    <n v="692"/>
    <x v="1"/>
    <x v="2"/>
    <s v="Karun, Miss. Manca"/>
    <x v="3"/>
    <x v="1"/>
    <x v="41"/>
    <x v="1"/>
    <x v="2"/>
    <n v="349256"/>
    <x v="65"/>
    <m/>
    <s v=""/>
    <x v="0"/>
    <x v="15"/>
    <x v="0"/>
    <x v="0"/>
  </r>
  <r>
    <n v="421"/>
    <x v="0"/>
    <x v="2"/>
    <s v="Gheorgheff, Mr. Stanio"/>
    <x v="5"/>
    <x v="0"/>
    <x v="5"/>
    <x v="1"/>
    <x v="0"/>
    <n v="349254"/>
    <x v="66"/>
    <m/>
    <s v=""/>
    <x v="0"/>
    <x v="15"/>
    <x v="0"/>
    <x v="0"/>
  </r>
  <r>
    <n v="272"/>
    <x v="1"/>
    <x v="2"/>
    <s v="Tornquist, Mr. William Henry"/>
    <x v="2"/>
    <x v="0"/>
    <x v="17"/>
    <x v="1"/>
    <x v="0"/>
    <s v="LINE"/>
    <x v="64"/>
    <m/>
    <s v=""/>
    <x v="0"/>
    <x v="14"/>
    <x v="0"/>
    <x v="1"/>
  </r>
  <r>
    <n v="43"/>
    <x v="0"/>
    <x v="2"/>
    <s v="Kraeff, Mr. Theodor"/>
    <x v="13"/>
    <x v="0"/>
    <x v="5"/>
    <x v="1"/>
    <x v="0"/>
    <n v="349253"/>
    <x v="66"/>
    <m/>
    <s v=""/>
    <x v="0"/>
    <x v="15"/>
    <x v="0"/>
    <x v="0"/>
  </r>
  <r>
    <n v="131"/>
    <x v="0"/>
    <x v="2"/>
    <s v="Drazenoic, Mr. Jozef"/>
    <x v="15"/>
    <x v="0"/>
    <x v="33"/>
    <x v="1"/>
    <x v="0"/>
    <n v="349241"/>
    <x v="66"/>
    <m/>
    <s v=""/>
    <x v="0"/>
    <x v="15"/>
    <x v="0"/>
    <x v="0"/>
  </r>
  <r>
    <n v="456"/>
    <x v="1"/>
    <x v="2"/>
    <s v="Jalsevac, Mr. Ivan"/>
    <x v="3"/>
    <x v="0"/>
    <x v="0"/>
    <x v="1"/>
    <x v="0"/>
    <n v="349240"/>
    <x v="66"/>
    <m/>
    <s v=""/>
    <x v="0"/>
    <x v="15"/>
    <x v="0"/>
    <x v="0"/>
  </r>
  <r>
    <n v="303"/>
    <x v="0"/>
    <x v="2"/>
    <s v="Johnson, Mr. William Cahoone Jr"/>
    <x v="14"/>
    <x v="0"/>
    <x v="16"/>
    <x v="1"/>
    <x v="0"/>
    <s v="LINE"/>
    <x v="64"/>
    <m/>
    <s v=""/>
    <x v="0"/>
    <x v="14"/>
    <x v="0"/>
    <x v="1"/>
  </r>
  <r>
    <n v="286"/>
    <x v="0"/>
    <x v="2"/>
    <s v="Stankovic, Mr. Ivan"/>
    <x v="13"/>
    <x v="0"/>
    <x v="33"/>
    <x v="1"/>
    <x v="0"/>
    <n v="349239"/>
    <x v="67"/>
    <m/>
    <s v=""/>
    <x v="0"/>
    <x v="15"/>
    <x v="0"/>
    <x v="0"/>
  </r>
  <r>
    <n v="598"/>
    <x v="0"/>
    <x v="2"/>
    <s v="Johnson, Mr. Alfred"/>
    <x v="13"/>
    <x v="0"/>
    <x v="40"/>
    <x v="1"/>
    <x v="0"/>
    <s v="LINE"/>
    <x v="64"/>
    <m/>
    <s v=""/>
    <x v="0"/>
    <x v="14"/>
    <x v="0"/>
    <x v="1"/>
  </r>
  <r>
    <n v="155"/>
    <x v="0"/>
    <x v="2"/>
    <s v="Olsen, Mr. Ole Martin"/>
    <x v="18"/>
    <x v="0"/>
    <x v="5"/>
    <x v="1"/>
    <x v="0"/>
    <s v="Fa 265302"/>
    <x v="68"/>
    <m/>
    <s v=""/>
    <x v="0"/>
    <x v="16"/>
    <x v="0"/>
    <x v="1"/>
  </r>
  <r>
    <n v="459"/>
    <x v="1"/>
    <x v="0"/>
    <s v="Toomey, Miss. Ellen"/>
    <x v="13"/>
    <x v="1"/>
    <x v="15"/>
    <x v="1"/>
    <x v="0"/>
    <s v="F.C.C. 13531"/>
    <x v="2"/>
    <m/>
    <s v=""/>
    <x v="0"/>
    <x v="17"/>
    <x v="0"/>
    <x v="1"/>
  </r>
  <r>
    <n v="315"/>
    <x v="0"/>
    <x v="0"/>
    <s v="Hart, Mr. Benjamin"/>
    <x v="3"/>
    <x v="0"/>
    <x v="43"/>
    <x v="0"/>
    <x v="2"/>
    <s v="F.C.C. 13529"/>
    <x v="69"/>
    <m/>
    <s v=""/>
    <x v="0"/>
    <x v="17"/>
    <x v="0"/>
    <x v="1"/>
  </r>
  <r>
    <n v="441"/>
    <x v="1"/>
    <x v="0"/>
    <s v="Hart, Mrs. Benjamin (Esther Ada Bloomfield)"/>
    <x v="39"/>
    <x v="1"/>
    <x v="44"/>
    <x v="0"/>
    <x v="2"/>
    <s v="F.C.C. 13529"/>
    <x v="69"/>
    <m/>
    <s v=""/>
    <x v="0"/>
    <x v="17"/>
    <x v="0"/>
    <x v="1"/>
  </r>
  <r>
    <n v="848"/>
    <x v="0"/>
    <x v="2"/>
    <s v="Markoff, Mr. Marin"/>
    <x v="3"/>
    <x v="0"/>
    <x v="27"/>
    <x v="1"/>
    <x v="0"/>
    <n v="349213"/>
    <x v="66"/>
    <m/>
    <s v=""/>
    <x v="0"/>
    <x v="15"/>
    <x v="0"/>
    <x v="0"/>
  </r>
  <r>
    <n v="10"/>
    <x v="1"/>
    <x v="0"/>
    <s v="Nasser, Mrs. Nicholas (Adele Achem)"/>
    <x v="40"/>
    <x v="1"/>
    <x v="45"/>
    <x v="0"/>
    <x v="0"/>
    <n v="237736"/>
    <x v="70"/>
    <m/>
    <s v=""/>
    <x v="0"/>
    <x v="18"/>
    <x v="0"/>
    <x v="0"/>
  </r>
  <r>
    <n v="123"/>
    <x v="0"/>
    <x v="0"/>
    <s v="Nasser, Mr. Nicholas"/>
    <x v="15"/>
    <x v="0"/>
    <x v="46"/>
    <x v="0"/>
    <x v="0"/>
    <n v="237736"/>
    <x v="70"/>
    <m/>
    <s v=""/>
    <x v="0"/>
    <x v="18"/>
    <x v="0"/>
    <x v="0"/>
  </r>
  <r>
    <n v="843"/>
    <x v="1"/>
    <x v="1"/>
    <s v="Serepeca, Miss. Augusta"/>
    <x v="1"/>
    <x v="1"/>
    <x v="3"/>
    <x v="1"/>
    <x v="0"/>
    <n v="113798"/>
    <x v="71"/>
    <m/>
    <s v=""/>
    <x v="0"/>
    <x v="5"/>
    <x v="0"/>
    <x v="0"/>
  </r>
  <r>
    <n v="55"/>
    <x v="0"/>
    <x v="1"/>
    <s v="Ostby, Mr. Engelhart Cornelius"/>
    <x v="20"/>
    <x v="0"/>
    <x v="47"/>
    <x v="1"/>
    <x v="2"/>
    <n v="113509"/>
    <x v="72"/>
    <s v="B30"/>
    <s v="30"/>
    <x v="33"/>
    <x v="5"/>
    <x v="1"/>
    <x v="0"/>
  </r>
  <r>
    <n v="536"/>
    <x v="1"/>
    <x v="0"/>
    <s v="Hart, Miss. Eva Miriam"/>
    <x v="5"/>
    <x v="1"/>
    <x v="48"/>
    <x v="1"/>
    <x v="1"/>
    <s v="F.C.C. 13529"/>
    <x v="69"/>
    <m/>
    <s v=""/>
    <x v="0"/>
    <x v="17"/>
    <x v="0"/>
    <x v="1"/>
  </r>
  <r>
    <n v="212"/>
    <x v="1"/>
    <x v="0"/>
    <s v="Cameron, Miss. Clear Annie"/>
    <x v="9"/>
    <x v="1"/>
    <x v="27"/>
    <x v="1"/>
    <x v="0"/>
    <s v="F.C.C. 13528"/>
    <x v="73"/>
    <m/>
    <s v=""/>
    <x v="0"/>
    <x v="17"/>
    <x v="0"/>
    <x v="1"/>
  </r>
  <r>
    <n v="672"/>
    <x v="0"/>
    <x v="1"/>
    <s v="Davidson, Mr. Thornton"/>
    <x v="5"/>
    <x v="0"/>
    <x v="19"/>
    <x v="0"/>
    <x v="0"/>
    <s v="F.C. 12750"/>
    <x v="74"/>
    <s v="B71"/>
    <s v="71"/>
    <x v="34"/>
    <x v="17"/>
    <x v="1"/>
    <x v="1"/>
  </r>
  <r>
    <n v="378"/>
    <x v="0"/>
    <x v="1"/>
    <s v="Widener, Mr. Harry Elkins"/>
    <x v="0"/>
    <x v="0"/>
    <x v="10"/>
    <x v="1"/>
    <x v="1"/>
    <n v="113503"/>
    <x v="75"/>
    <s v="C82"/>
    <s v="82"/>
    <x v="17"/>
    <x v="5"/>
    <x v="5"/>
    <x v="0"/>
  </r>
  <r>
    <n v="453"/>
    <x v="0"/>
    <x v="1"/>
    <s v="Foreman, Mr. Benjamin Laventall"/>
    <x v="14"/>
    <x v="0"/>
    <x v="3"/>
    <x v="1"/>
    <x v="0"/>
    <n v="113051"/>
    <x v="76"/>
    <s v="C111"/>
    <s v="111"/>
    <x v="35"/>
    <x v="5"/>
    <x v="5"/>
    <x v="0"/>
  </r>
  <r>
    <n v="160"/>
    <x v="0"/>
    <x v="2"/>
    <s v="Sage, Master. Thomas Henry"/>
    <x v="9"/>
    <x v="0"/>
    <x v="5"/>
    <x v="3"/>
    <x v="1"/>
    <s v="CA. 2343"/>
    <x v="77"/>
    <m/>
    <s v=""/>
    <x v="0"/>
    <x v="19"/>
    <x v="0"/>
    <x v="1"/>
  </r>
  <r>
    <n v="181"/>
    <x v="0"/>
    <x v="2"/>
    <s v="Sage, Miss. Constance Gladys"/>
    <x v="2"/>
    <x v="1"/>
    <x v="5"/>
    <x v="3"/>
    <x v="1"/>
    <s v="CA. 2343"/>
    <x v="77"/>
    <m/>
    <s v=""/>
    <x v="0"/>
    <x v="19"/>
    <x v="0"/>
    <x v="1"/>
  </r>
  <r>
    <n v="202"/>
    <x v="0"/>
    <x v="2"/>
    <s v="Sage, Mr. Frederick"/>
    <x v="13"/>
    <x v="0"/>
    <x v="5"/>
    <x v="3"/>
    <x v="1"/>
    <s v="CA. 2343"/>
    <x v="77"/>
    <m/>
    <s v=""/>
    <x v="0"/>
    <x v="19"/>
    <x v="0"/>
    <x v="1"/>
  </r>
  <r>
    <n v="767"/>
    <x v="0"/>
    <x v="1"/>
    <s v="Brewe, Dr. Arthur Jackson"/>
    <x v="0"/>
    <x v="0"/>
    <x v="5"/>
    <x v="1"/>
    <x v="0"/>
    <n v="112379"/>
    <x v="78"/>
    <m/>
    <s v=""/>
    <x v="0"/>
    <x v="5"/>
    <x v="0"/>
    <x v="0"/>
  </r>
  <r>
    <n v="210"/>
    <x v="1"/>
    <x v="1"/>
    <s v="Blank, Mr. Henry"/>
    <x v="10"/>
    <x v="0"/>
    <x v="37"/>
    <x v="1"/>
    <x v="0"/>
    <n v="112277"/>
    <x v="71"/>
    <s v="A31"/>
    <s v="31"/>
    <x v="2"/>
    <x v="5"/>
    <x v="6"/>
    <x v="0"/>
  </r>
  <r>
    <n v="605"/>
    <x v="1"/>
    <x v="1"/>
    <s v="Homer, Mr. Harry (&quot;Mr E Haven&quot;)"/>
    <x v="14"/>
    <x v="0"/>
    <x v="27"/>
    <x v="1"/>
    <x v="0"/>
    <n v="111426"/>
    <x v="79"/>
    <m/>
    <s v=""/>
    <x v="0"/>
    <x v="5"/>
    <x v="0"/>
    <x v="0"/>
  </r>
  <r>
    <n v="325"/>
    <x v="0"/>
    <x v="2"/>
    <s v="Sage, Mr. George John Jr"/>
    <x v="22"/>
    <x v="0"/>
    <x v="5"/>
    <x v="3"/>
    <x v="1"/>
    <s v="CA. 2343"/>
    <x v="77"/>
    <m/>
    <s v=""/>
    <x v="0"/>
    <x v="19"/>
    <x v="0"/>
    <x v="1"/>
  </r>
  <r>
    <n v="793"/>
    <x v="0"/>
    <x v="2"/>
    <s v="Sage, Miss. Stella Anna"/>
    <x v="1"/>
    <x v="1"/>
    <x v="5"/>
    <x v="3"/>
    <x v="1"/>
    <s v="CA. 2343"/>
    <x v="77"/>
    <m/>
    <s v=""/>
    <x v="0"/>
    <x v="19"/>
    <x v="0"/>
    <x v="1"/>
  </r>
  <r>
    <n v="847"/>
    <x v="0"/>
    <x v="2"/>
    <s v="Sage, Mr. Douglas Bullen"/>
    <x v="22"/>
    <x v="0"/>
    <x v="5"/>
    <x v="3"/>
    <x v="1"/>
    <s v="CA. 2343"/>
    <x v="77"/>
    <m/>
    <s v=""/>
    <x v="0"/>
    <x v="19"/>
    <x v="0"/>
    <x v="1"/>
  </r>
  <r>
    <n v="864"/>
    <x v="0"/>
    <x v="2"/>
    <s v="Sage, Miss. Dorothy Edith &quot;Dolly&quot;"/>
    <x v="37"/>
    <x v="1"/>
    <x v="5"/>
    <x v="3"/>
    <x v="1"/>
    <s v="CA. 2343"/>
    <x v="77"/>
    <m/>
    <s v=""/>
    <x v="0"/>
    <x v="19"/>
    <x v="0"/>
    <x v="1"/>
  </r>
  <r>
    <n v="890"/>
    <x v="1"/>
    <x v="1"/>
    <s v="Behr, Mr. Karl Howell"/>
    <x v="18"/>
    <x v="0"/>
    <x v="20"/>
    <x v="1"/>
    <x v="0"/>
    <n v="111369"/>
    <x v="80"/>
    <s v="C148"/>
    <s v="148"/>
    <x v="36"/>
    <x v="5"/>
    <x v="5"/>
    <x v="0"/>
  </r>
  <r>
    <n v="650"/>
    <x v="1"/>
    <x v="2"/>
    <s v="Stanley, Miss. Amy Zillah Elsie"/>
    <x v="14"/>
    <x v="1"/>
    <x v="11"/>
    <x v="1"/>
    <x v="0"/>
    <s v="CA. 2314"/>
    <x v="4"/>
    <m/>
    <s v=""/>
    <x v="0"/>
    <x v="19"/>
    <x v="0"/>
    <x v="1"/>
  </r>
  <r>
    <n v="60"/>
    <x v="0"/>
    <x v="2"/>
    <s v="Goodwin, Master. William Frederick"/>
    <x v="27"/>
    <x v="0"/>
    <x v="49"/>
    <x v="4"/>
    <x v="1"/>
    <s v="CA 2144"/>
    <x v="81"/>
    <m/>
    <s v=""/>
    <x v="0"/>
    <x v="19"/>
    <x v="0"/>
    <x v="1"/>
  </r>
  <r>
    <n v="330"/>
    <x v="1"/>
    <x v="1"/>
    <s v="Hippach, Miss. Jean Gertrude"/>
    <x v="2"/>
    <x v="1"/>
    <x v="6"/>
    <x v="1"/>
    <x v="2"/>
    <n v="111361"/>
    <x v="82"/>
    <s v="B18"/>
    <s v="18"/>
    <x v="37"/>
    <x v="5"/>
    <x v="1"/>
    <x v="0"/>
  </r>
  <r>
    <n v="72"/>
    <x v="0"/>
    <x v="2"/>
    <s v="Goodwin, Miss. Lillian Amy"/>
    <x v="9"/>
    <x v="1"/>
    <x v="6"/>
    <x v="4"/>
    <x v="1"/>
    <s v="CA 2144"/>
    <x v="81"/>
    <m/>
    <s v=""/>
    <x v="0"/>
    <x v="19"/>
    <x v="0"/>
    <x v="1"/>
  </r>
  <r>
    <n v="387"/>
    <x v="0"/>
    <x v="2"/>
    <s v="Goodwin, Master. Sidney Leonard"/>
    <x v="14"/>
    <x v="0"/>
    <x v="26"/>
    <x v="4"/>
    <x v="1"/>
    <s v="CA 2144"/>
    <x v="81"/>
    <m/>
    <s v=""/>
    <x v="0"/>
    <x v="19"/>
    <x v="0"/>
    <x v="1"/>
  </r>
  <r>
    <n v="481"/>
    <x v="0"/>
    <x v="2"/>
    <s v="Goodwin, Master. Harold Victor"/>
    <x v="20"/>
    <x v="0"/>
    <x v="8"/>
    <x v="4"/>
    <x v="1"/>
    <s v="CA 2144"/>
    <x v="81"/>
    <m/>
    <s v=""/>
    <x v="0"/>
    <x v="19"/>
    <x v="0"/>
    <x v="1"/>
  </r>
  <r>
    <n v="684"/>
    <x v="0"/>
    <x v="2"/>
    <s v="Goodwin, Mr. Charles Edward"/>
    <x v="4"/>
    <x v="0"/>
    <x v="45"/>
    <x v="4"/>
    <x v="1"/>
    <s v="CA 2144"/>
    <x v="81"/>
    <m/>
    <s v=""/>
    <x v="0"/>
    <x v="19"/>
    <x v="0"/>
    <x v="1"/>
  </r>
  <r>
    <n v="679"/>
    <x v="0"/>
    <x v="2"/>
    <s v="Goodwin, Mrs. Frederick (Augusta Tyler)"/>
    <x v="6"/>
    <x v="1"/>
    <x v="43"/>
    <x v="0"/>
    <x v="4"/>
    <s v="CA 2144"/>
    <x v="81"/>
    <m/>
    <s v=""/>
    <x v="0"/>
    <x v="19"/>
    <x v="0"/>
    <x v="1"/>
  </r>
  <r>
    <n v="884"/>
    <x v="0"/>
    <x v="0"/>
    <s v="Banfield, Mr. Frederick James"/>
    <x v="21"/>
    <x v="0"/>
    <x v="22"/>
    <x v="1"/>
    <x v="0"/>
    <s v="C.A./SOTON 34068"/>
    <x v="2"/>
    <m/>
    <s v=""/>
    <x v="0"/>
    <x v="20"/>
    <x v="0"/>
    <x v="1"/>
  </r>
  <r>
    <n v="498"/>
    <x v="0"/>
    <x v="2"/>
    <s v="Shellard, Mr. Frederick William"/>
    <x v="14"/>
    <x v="0"/>
    <x v="5"/>
    <x v="1"/>
    <x v="0"/>
    <s v="C.A. 6212"/>
    <x v="83"/>
    <m/>
    <s v=""/>
    <x v="0"/>
    <x v="20"/>
    <x v="0"/>
    <x v="1"/>
  </r>
  <r>
    <n v="846"/>
    <x v="0"/>
    <x v="2"/>
    <s v="Abbing, Mr. Anthony"/>
    <x v="13"/>
    <x v="0"/>
    <x v="30"/>
    <x v="1"/>
    <x v="0"/>
    <s v="C.A. 5547"/>
    <x v="4"/>
    <m/>
    <s v=""/>
    <x v="0"/>
    <x v="20"/>
    <x v="0"/>
    <x v="1"/>
  </r>
  <r>
    <n v="349"/>
    <x v="1"/>
    <x v="2"/>
    <s v="Coutts, Master. William Loch &quot;William&quot;"/>
    <x v="16"/>
    <x v="0"/>
    <x v="12"/>
    <x v="0"/>
    <x v="2"/>
    <s v="C.A. 37671"/>
    <x v="84"/>
    <m/>
    <s v=""/>
    <x v="0"/>
    <x v="20"/>
    <x v="0"/>
    <x v="1"/>
  </r>
  <r>
    <n v="490"/>
    <x v="1"/>
    <x v="2"/>
    <s v="Coutts, Master. Eden Leslie &quot;Neville&quot;"/>
    <x v="31"/>
    <x v="0"/>
    <x v="8"/>
    <x v="0"/>
    <x v="2"/>
    <s v="C.A. 37671"/>
    <x v="84"/>
    <m/>
    <s v=""/>
    <x v="0"/>
    <x v="20"/>
    <x v="0"/>
    <x v="1"/>
  </r>
  <r>
    <n v="524"/>
    <x v="1"/>
    <x v="1"/>
    <s v="Hippach, Mrs. Louis Albert (Ida Sophia Fischer)"/>
    <x v="35"/>
    <x v="1"/>
    <x v="28"/>
    <x v="1"/>
    <x v="2"/>
    <n v="111361"/>
    <x v="82"/>
    <s v="B18"/>
    <s v="18"/>
    <x v="37"/>
    <x v="5"/>
    <x v="1"/>
    <x v="0"/>
  </r>
  <r>
    <n v="59"/>
    <x v="1"/>
    <x v="0"/>
    <s v="West, Miss. Constance Mirium"/>
    <x v="2"/>
    <x v="1"/>
    <x v="50"/>
    <x v="0"/>
    <x v="1"/>
    <s v="C.A. 34651"/>
    <x v="76"/>
    <m/>
    <s v=""/>
    <x v="0"/>
    <x v="20"/>
    <x v="0"/>
    <x v="1"/>
  </r>
  <r>
    <n v="451"/>
    <x v="0"/>
    <x v="0"/>
    <s v="West, Mr. Edwy Arthur"/>
    <x v="18"/>
    <x v="0"/>
    <x v="1"/>
    <x v="0"/>
    <x v="1"/>
    <s v="C.A. 34651"/>
    <x v="76"/>
    <m/>
    <s v=""/>
    <x v="0"/>
    <x v="20"/>
    <x v="0"/>
    <x v="1"/>
  </r>
  <r>
    <n v="473"/>
    <x v="1"/>
    <x v="0"/>
    <s v="West, Mrs. Edwy Arthur (Ada Mary Worth)"/>
    <x v="6"/>
    <x v="1"/>
    <x v="33"/>
    <x v="0"/>
    <x v="1"/>
    <s v="C.A. 34651"/>
    <x v="76"/>
    <m/>
    <s v=""/>
    <x v="0"/>
    <x v="20"/>
    <x v="0"/>
    <x v="1"/>
  </r>
  <r>
    <n v="517"/>
    <x v="1"/>
    <x v="0"/>
    <s v="Lemore, Mrs. (Amelia Milley)"/>
    <x v="2"/>
    <x v="1"/>
    <x v="51"/>
    <x v="1"/>
    <x v="0"/>
    <s v="C.A. 34260"/>
    <x v="2"/>
    <s v="F33"/>
    <s v="33"/>
    <x v="20"/>
    <x v="20"/>
    <x v="4"/>
    <x v="1"/>
  </r>
  <r>
    <n v="162"/>
    <x v="1"/>
    <x v="0"/>
    <s v="Watt, Mrs. James (Elizabeth &quot;Bessie&quot; Inglis Milne)"/>
    <x v="34"/>
    <x v="1"/>
    <x v="37"/>
    <x v="1"/>
    <x v="0"/>
    <s v="C.A. 33595"/>
    <x v="85"/>
    <m/>
    <s v=""/>
    <x v="0"/>
    <x v="20"/>
    <x v="0"/>
    <x v="1"/>
  </r>
  <r>
    <n v="367"/>
    <x v="1"/>
    <x v="1"/>
    <s v="Warren, Mrs. Frank Manley (Anna Sophia Atkinson)"/>
    <x v="38"/>
    <x v="1"/>
    <x v="52"/>
    <x v="0"/>
    <x v="0"/>
    <n v="110813"/>
    <x v="86"/>
    <s v="D37"/>
    <s v="37"/>
    <x v="38"/>
    <x v="5"/>
    <x v="3"/>
    <x v="0"/>
  </r>
  <r>
    <n v="830"/>
    <x v="1"/>
    <x v="1"/>
    <s v="Stone, Mrs. George Nelson (Martha Evelyn)"/>
    <x v="30"/>
    <x v="1"/>
    <x v="35"/>
    <x v="1"/>
    <x v="0"/>
    <n v="113572"/>
    <x v="14"/>
    <s v="B28"/>
    <s v="28"/>
    <x v="4"/>
    <x v="5"/>
    <x v="1"/>
    <x v="3"/>
  </r>
  <r>
    <n v="497"/>
    <x v="1"/>
    <x v="1"/>
    <s v="Eustis, Miss. Elizabeth Mussey"/>
    <x v="20"/>
    <x v="1"/>
    <x v="36"/>
    <x v="0"/>
    <x v="0"/>
    <n v="36947"/>
    <x v="87"/>
    <s v="D20"/>
    <s v="20"/>
    <x v="29"/>
    <x v="21"/>
    <x v="3"/>
    <x v="0"/>
  </r>
  <r>
    <n v="592"/>
    <x v="1"/>
    <x v="1"/>
    <s v="Stephenson, Mrs. Walter Bertram (Martha Eustis)"/>
    <x v="35"/>
    <x v="1"/>
    <x v="53"/>
    <x v="0"/>
    <x v="0"/>
    <n v="36947"/>
    <x v="87"/>
    <s v="D20"/>
    <s v="20"/>
    <x v="29"/>
    <x v="21"/>
    <x v="3"/>
    <x v="0"/>
  </r>
  <r>
    <n v="216"/>
    <x v="1"/>
    <x v="1"/>
    <s v="Newell, Miss. Madeleine"/>
    <x v="1"/>
    <x v="1"/>
    <x v="19"/>
    <x v="0"/>
    <x v="0"/>
    <n v="35273"/>
    <x v="88"/>
    <s v="D36"/>
    <s v="36"/>
    <x v="27"/>
    <x v="22"/>
    <x v="3"/>
    <x v="0"/>
  </r>
  <r>
    <n v="394"/>
    <x v="1"/>
    <x v="1"/>
    <s v="Newell, Miss. Marjorie"/>
    <x v="5"/>
    <x v="1"/>
    <x v="11"/>
    <x v="0"/>
    <x v="0"/>
    <n v="35273"/>
    <x v="88"/>
    <s v="D36"/>
    <s v="36"/>
    <x v="27"/>
    <x v="22"/>
    <x v="3"/>
    <x v="0"/>
  </r>
  <r>
    <n v="146"/>
    <x v="0"/>
    <x v="0"/>
    <s v="Nicholls, Mr. Joseph Charles"/>
    <x v="2"/>
    <x v="0"/>
    <x v="16"/>
    <x v="0"/>
    <x v="2"/>
    <s v="C.A. 33112"/>
    <x v="89"/>
    <m/>
    <s v=""/>
    <x v="0"/>
    <x v="20"/>
    <x v="0"/>
    <x v="1"/>
  </r>
  <r>
    <n v="550"/>
    <x v="1"/>
    <x v="0"/>
    <s v="Davies, Master. John Morgan Jr"/>
    <x v="20"/>
    <x v="0"/>
    <x v="54"/>
    <x v="0"/>
    <x v="2"/>
    <s v="C.A. 33112"/>
    <x v="89"/>
    <m/>
    <s v=""/>
    <x v="0"/>
    <x v="20"/>
    <x v="0"/>
    <x v="1"/>
  </r>
  <r>
    <n v="71"/>
    <x v="0"/>
    <x v="0"/>
    <s v="Jenkin, Mr. Stephen Curnow"/>
    <x v="9"/>
    <x v="0"/>
    <x v="23"/>
    <x v="1"/>
    <x v="0"/>
    <s v="C.A. 33111"/>
    <x v="2"/>
    <m/>
    <s v=""/>
    <x v="0"/>
    <x v="20"/>
    <x v="0"/>
    <x v="1"/>
  </r>
  <r>
    <n v="238"/>
    <x v="1"/>
    <x v="0"/>
    <s v="Collyer, Miss. Marjorie &quot;Lottie&quot;"/>
    <x v="7"/>
    <x v="1"/>
    <x v="54"/>
    <x v="1"/>
    <x v="1"/>
    <s v="C.A. 31921"/>
    <x v="69"/>
    <m/>
    <s v=""/>
    <x v="0"/>
    <x v="20"/>
    <x v="0"/>
    <x v="1"/>
  </r>
  <r>
    <n v="638"/>
    <x v="0"/>
    <x v="0"/>
    <s v="Collyer, Mr. Harvey"/>
    <x v="13"/>
    <x v="0"/>
    <x v="19"/>
    <x v="0"/>
    <x v="2"/>
    <s v="C.A. 31921"/>
    <x v="69"/>
    <m/>
    <s v=""/>
    <x v="0"/>
    <x v="20"/>
    <x v="0"/>
    <x v="1"/>
  </r>
  <r>
    <n v="802"/>
    <x v="1"/>
    <x v="0"/>
    <s v="Collyer, Mrs. Harvey (Charlotte Annie Tate)"/>
    <x v="39"/>
    <x v="1"/>
    <x v="19"/>
    <x v="0"/>
    <x v="2"/>
    <s v="C.A. 31921"/>
    <x v="69"/>
    <m/>
    <s v=""/>
    <x v="0"/>
    <x v="20"/>
    <x v="0"/>
    <x v="1"/>
  </r>
  <r>
    <n v="660"/>
    <x v="0"/>
    <x v="1"/>
    <s v="Newell, Mr. Arthur Webster"/>
    <x v="9"/>
    <x v="0"/>
    <x v="42"/>
    <x v="1"/>
    <x v="1"/>
    <n v="35273"/>
    <x v="88"/>
    <s v="D48"/>
    <s v="48"/>
    <x v="39"/>
    <x v="22"/>
    <x v="3"/>
    <x v="0"/>
  </r>
  <r>
    <n v="57"/>
    <x v="1"/>
    <x v="0"/>
    <s v="Rugg, Miss. Emily"/>
    <x v="28"/>
    <x v="1"/>
    <x v="9"/>
    <x v="1"/>
    <x v="0"/>
    <s v="C.A. 31026"/>
    <x v="2"/>
    <m/>
    <s v=""/>
    <x v="0"/>
    <x v="20"/>
    <x v="0"/>
    <x v="1"/>
  </r>
  <r>
    <n v="235"/>
    <x v="0"/>
    <x v="0"/>
    <s v="Leyson, Mr. Robert William Norman"/>
    <x v="37"/>
    <x v="0"/>
    <x v="21"/>
    <x v="1"/>
    <x v="0"/>
    <s v="C.A. 29566"/>
    <x v="2"/>
    <m/>
    <s v=""/>
    <x v="0"/>
    <x v="20"/>
    <x v="0"/>
    <x v="1"/>
  </r>
  <r>
    <n v="175"/>
    <x v="0"/>
    <x v="1"/>
    <s v="Smith, Mr. James Clinch"/>
    <x v="1"/>
    <x v="0"/>
    <x v="55"/>
    <x v="1"/>
    <x v="0"/>
    <n v="17764"/>
    <x v="40"/>
    <s v="A7"/>
    <s v="7"/>
    <x v="0"/>
    <x v="23"/>
    <x v="6"/>
    <x v="0"/>
  </r>
  <r>
    <n v="67"/>
    <x v="1"/>
    <x v="0"/>
    <s v="Nye, Mrs. (Elizabeth Ramell)"/>
    <x v="2"/>
    <x v="1"/>
    <x v="0"/>
    <x v="1"/>
    <x v="0"/>
    <s v="C.A. 29395"/>
    <x v="2"/>
    <s v="F33"/>
    <s v="33"/>
    <x v="20"/>
    <x v="20"/>
    <x v="4"/>
    <x v="1"/>
  </r>
  <r>
    <n v="850"/>
    <x v="1"/>
    <x v="1"/>
    <s v="Goldenberg, Mrs. Samuel L (Edwiga Grabowska)"/>
    <x v="17"/>
    <x v="1"/>
    <x v="5"/>
    <x v="0"/>
    <x v="0"/>
    <n v="17453"/>
    <x v="90"/>
    <s v="C92"/>
    <s v="92"/>
    <x v="40"/>
    <x v="23"/>
    <x v="5"/>
    <x v="0"/>
  </r>
  <r>
    <n v="135"/>
    <x v="0"/>
    <x v="0"/>
    <s v="Sobey, Mr. Samuel James Hayden"/>
    <x v="20"/>
    <x v="0"/>
    <x v="17"/>
    <x v="1"/>
    <x v="0"/>
    <s v="C.A. 29178"/>
    <x v="91"/>
    <m/>
    <s v=""/>
    <x v="0"/>
    <x v="20"/>
    <x v="0"/>
    <x v="1"/>
  </r>
  <r>
    <n v="280"/>
    <x v="1"/>
    <x v="2"/>
    <s v="Abbott, Mrs. Stanton (Rosa Hunt)"/>
    <x v="7"/>
    <x v="1"/>
    <x v="27"/>
    <x v="0"/>
    <x v="2"/>
    <s v="C.A. 2673"/>
    <x v="92"/>
    <m/>
    <s v=""/>
    <x v="0"/>
    <x v="20"/>
    <x v="0"/>
    <x v="1"/>
  </r>
  <r>
    <n v="246"/>
    <x v="0"/>
    <x v="1"/>
    <s v="Minahan, Dr. William Edward"/>
    <x v="4"/>
    <x v="0"/>
    <x v="28"/>
    <x v="2"/>
    <x v="0"/>
    <n v="19928"/>
    <x v="47"/>
    <s v="C78"/>
    <s v="78"/>
    <x v="18"/>
    <x v="11"/>
    <x v="5"/>
    <x v="2"/>
  </r>
  <r>
    <n v="747"/>
    <x v="0"/>
    <x v="2"/>
    <s v="Abbott, Mr. Rossmore Edward"/>
    <x v="4"/>
    <x v="0"/>
    <x v="6"/>
    <x v="0"/>
    <x v="2"/>
    <s v="C.A. 2673"/>
    <x v="92"/>
    <m/>
    <s v=""/>
    <x v="0"/>
    <x v="20"/>
    <x v="0"/>
    <x v="1"/>
  </r>
  <r>
    <n v="673"/>
    <x v="0"/>
    <x v="0"/>
    <s v="Mitchell, Mr. Henry Michael"/>
    <x v="4"/>
    <x v="0"/>
    <x v="2"/>
    <x v="1"/>
    <x v="0"/>
    <s v="C.A. 24580"/>
    <x v="2"/>
    <m/>
    <s v=""/>
    <x v="0"/>
    <x v="20"/>
    <x v="0"/>
    <x v="1"/>
  </r>
  <r>
    <n v="34"/>
    <x v="0"/>
    <x v="0"/>
    <s v="Wheadon, Mr. Edward H"/>
    <x v="18"/>
    <x v="0"/>
    <x v="56"/>
    <x v="1"/>
    <x v="0"/>
    <s v="C.A. 24579"/>
    <x v="2"/>
    <m/>
    <s v=""/>
    <x v="0"/>
    <x v="20"/>
    <x v="0"/>
    <x v="1"/>
  </r>
  <r>
    <n v="454"/>
    <x v="1"/>
    <x v="1"/>
    <s v="Goldenberg, Mr. Samuel L"/>
    <x v="22"/>
    <x v="0"/>
    <x v="40"/>
    <x v="0"/>
    <x v="0"/>
    <n v="17453"/>
    <x v="90"/>
    <s v="C92"/>
    <s v="92"/>
    <x v="40"/>
    <x v="23"/>
    <x v="5"/>
    <x v="0"/>
  </r>
  <r>
    <n v="94"/>
    <x v="0"/>
    <x v="2"/>
    <s v="Dean, Mr. Bertram Frank"/>
    <x v="1"/>
    <x v="0"/>
    <x v="20"/>
    <x v="0"/>
    <x v="1"/>
    <s v="C.A. 2315"/>
    <x v="93"/>
    <m/>
    <s v=""/>
    <x v="0"/>
    <x v="20"/>
    <x v="0"/>
    <x v="1"/>
  </r>
  <r>
    <n v="789"/>
    <x v="1"/>
    <x v="2"/>
    <s v="Dean, Master. Bertram Vere"/>
    <x v="9"/>
    <x v="0"/>
    <x v="26"/>
    <x v="0"/>
    <x v="1"/>
    <s v="C.A. 2315"/>
    <x v="93"/>
    <m/>
    <s v=""/>
    <x v="0"/>
    <x v="20"/>
    <x v="0"/>
    <x v="1"/>
  </r>
  <r>
    <n v="307"/>
    <x v="1"/>
    <x v="1"/>
    <s v="Fleming, Miss. Margaret"/>
    <x v="1"/>
    <x v="1"/>
    <x v="5"/>
    <x v="1"/>
    <x v="0"/>
    <n v="17421"/>
    <x v="94"/>
    <m/>
    <s v=""/>
    <x v="0"/>
    <x v="23"/>
    <x v="0"/>
    <x v="0"/>
  </r>
  <r>
    <n v="440"/>
    <x v="0"/>
    <x v="0"/>
    <s v="Kvillner, Mr. Johan Henrik Johannesson"/>
    <x v="16"/>
    <x v="0"/>
    <x v="19"/>
    <x v="1"/>
    <x v="0"/>
    <s v="C.A. 18723"/>
    <x v="2"/>
    <m/>
    <s v=""/>
    <x v="0"/>
    <x v="20"/>
    <x v="0"/>
    <x v="1"/>
  </r>
  <r>
    <n v="266"/>
    <x v="0"/>
    <x v="0"/>
    <s v="Reeves, Mr. David"/>
    <x v="28"/>
    <x v="0"/>
    <x v="1"/>
    <x v="1"/>
    <x v="0"/>
    <s v="C.A. 17248"/>
    <x v="2"/>
    <m/>
    <s v=""/>
    <x v="0"/>
    <x v="20"/>
    <x v="0"/>
    <x v="1"/>
  </r>
  <r>
    <n v="377"/>
    <x v="1"/>
    <x v="2"/>
    <s v="Landergren, Miss. Aurora Adelia"/>
    <x v="14"/>
    <x v="1"/>
    <x v="13"/>
    <x v="1"/>
    <x v="0"/>
    <s v="C 7077"/>
    <x v="30"/>
    <m/>
    <s v=""/>
    <x v="0"/>
    <x v="24"/>
    <x v="0"/>
    <x v="1"/>
  </r>
  <r>
    <n v="366"/>
    <x v="0"/>
    <x v="2"/>
    <s v="Adahl, Mr. Mauritz Nils Martin"/>
    <x v="20"/>
    <x v="0"/>
    <x v="3"/>
    <x v="1"/>
    <x v="0"/>
    <s v="C 7076"/>
    <x v="30"/>
    <m/>
    <s v=""/>
    <x v="0"/>
    <x v="24"/>
    <x v="0"/>
    <x v="1"/>
  </r>
  <r>
    <n v="819"/>
    <x v="0"/>
    <x v="2"/>
    <s v="Holm, Mr. John Fredrik Alexander"/>
    <x v="7"/>
    <x v="0"/>
    <x v="43"/>
    <x v="1"/>
    <x v="0"/>
    <s v="C 7075"/>
    <x v="95"/>
    <m/>
    <s v=""/>
    <x v="0"/>
    <x v="24"/>
    <x v="0"/>
    <x v="1"/>
  </r>
  <r>
    <n v="509"/>
    <x v="0"/>
    <x v="2"/>
    <s v="Olsen, Mr. Henry Margido"/>
    <x v="22"/>
    <x v="0"/>
    <x v="22"/>
    <x v="1"/>
    <x v="0"/>
    <s v="C 4001"/>
    <x v="96"/>
    <m/>
    <s v=""/>
    <x v="0"/>
    <x v="24"/>
    <x v="0"/>
    <x v="1"/>
  </r>
  <r>
    <n v="128"/>
    <x v="1"/>
    <x v="2"/>
    <s v="Madsen, Mr. Fridtjof Arne"/>
    <x v="0"/>
    <x v="0"/>
    <x v="21"/>
    <x v="1"/>
    <x v="0"/>
    <s v="C 17369"/>
    <x v="97"/>
    <m/>
    <s v=""/>
    <x v="0"/>
    <x v="24"/>
    <x v="0"/>
    <x v="1"/>
  </r>
  <r>
    <n v="122"/>
    <x v="0"/>
    <x v="2"/>
    <s v="Moore, Mr. Leonard Charles"/>
    <x v="9"/>
    <x v="0"/>
    <x v="5"/>
    <x v="1"/>
    <x v="0"/>
    <s v="A4. 54510"/>
    <x v="25"/>
    <m/>
    <s v=""/>
    <x v="0"/>
    <x v="25"/>
    <x v="0"/>
    <x v="1"/>
  </r>
  <r>
    <n v="465"/>
    <x v="0"/>
    <x v="2"/>
    <s v="Maisner, Mr. Simon"/>
    <x v="3"/>
    <x v="0"/>
    <x v="5"/>
    <x v="1"/>
    <x v="0"/>
    <s v="A/S 2816"/>
    <x v="25"/>
    <m/>
    <s v=""/>
    <x v="0"/>
    <x v="26"/>
    <x v="0"/>
    <x v="1"/>
  </r>
  <r>
    <n v="154"/>
    <x v="0"/>
    <x v="2"/>
    <s v="van Billiard, Mr. Austin Blyler"/>
    <x v="14"/>
    <x v="0"/>
    <x v="57"/>
    <x v="1"/>
    <x v="1"/>
    <s v="A/5. 851"/>
    <x v="98"/>
    <m/>
    <s v=""/>
    <x v="0"/>
    <x v="26"/>
    <x v="0"/>
    <x v="1"/>
  </r>
  <r>
    <n v="133"/>
    <x v="0"/>
    <x v="2"/>
    <s v="Robins, Mrs. Alexander A (Grace Charity Laury)"/>
    <x v="33"/>
    <x v="1"/>
    <x v="58"/>
    <x v="0"/>
    <x v="0"/>
    <s v="A/5. 3337"/>
    <x v="98"/>
    <m/>
    <s v=""/>
    <x v="0"/>
    <x v="26"/>
    <x v="0"/>
    <x v="1"/>
  </r>
  <r>
    <n v="254"/>
    <x v="0"/>
    <x v="2"/>
    <s v="Lobb, Mr. William Arthur"/>
    <x v="22"/>
    <x v="0"/>
    <x v="3"/>
    <x v="0"/>
    <x v="0"/>
    <s v="A/5. 3336"/>
    <x v="99"/>
    <m/>
    <s v=""/>
    <x v="0"/>
    <x v="26"/>
    <x v="0"/>
    <x v="1"/>
  </r>
  <r>
    <n v="618"/>
    <x v="0"/>
    <x v="2"/>
    <s v="Lobb, Mrs. William Arthur (Cordelia K Stanlick)"/>
    <x v="35"/>
    <x v="1"/>
    <x v="20"/>
    <x v="0"/>
    <x v="0"/>
    <s v="A/5. 3336"/>
    <x v="99"/>
    <m/>
    <s v=""/>
    <x v="0"/>
    <x v="26"/>
    <x v="0"/>
    <x v="1"/>
  </r>
  <r>
    <n v="13"/>
    <x v="0"/>
    <x v="2"/>
    <s v="Saundercock, Mr. William Henry"/>
    <x v="20"/>
    <x v="0"/>
    <x v="25"/>
    <x v="1"/>
    <x v="0"/>
    <s v="A/5. 2151"/>
    <x v="25"/>
    <m/>
    <s v=""/>
    <x v="0"/>
    <x v="26"/>
    <x v="0"/>
    <x v="1"/>
  </r>
  <r>
    <n v="284"/>
    <x v="1"/>
    <x v="2"/>
    <s v="Dorking, Mr. Edward Arthur"/>
    <x v="9"/>
    <x v="0"/>
    <x v="16"/>
    <x v="1"/>
    <x v="0"/>
    <s v="A/5. 10482"/>
    <x v="25"/>
    <m/>
    <s v=""/>
    <x v="0"/>
    <x v="26"/>
    <x v="0"/>
    <x v="1"/>
  </r>
  <r>
    <n v="593"/>
    <x v="0"/>
    <x v="2"/>
    <s v="Elsbury, Mr. William James"/>
    <x v="9"/>
    <x v="0"/>
    <x v="58"/>
    <x v="1"/>
    <x v="0"/>
    <s v="A/5 3902"/>
    <x v="30"/>
    <m/>
    <s v=""/>
    <x v="0"/>
    <x v="26"/>
    <x v="0"/>
    <x v="1"/>
  </r>
  <r>
    <n v="483"/>
    <x v="0"/>
    <x v="2"/>
    <s v="Rouse, Mr. Richard Henry"/>
    <x v="22"/>
    <x v="0"/>
    <x v="15"/>
    <x v="1"/>
    <x v="0"/>
    <s v="A/5 3594"/>
    <x v="25"/>
    <m/>
    <s v=""/>
    <x v="0"/>
    <x v="26"/>
    <x v="0"/>
    <x v="1"/>
  </r>
  <r>
    <n v="205"/>
    <x v="1"/>
    <x v="2"/>
    <s v="Cohen, Mr. Gurshon &quot;Gus&quot;"/>
    <x v="22"/>
    <x v="0"/>
    <x v="29"/>
    <x v="1"/>
    <x v="0"/>
    <s v="A/5 3540"/>
    <x v="25"/>
    <m/>
    <s v=""/>
    <x v="0"/>
    <x v="26"/>
    <x v="0"/>
    <x v="1"/>
  </r>
  <r>
    <n v="551"/>
    <x v="1"/>
    <x v="1"/>
    <s v="Thayer, Mr. John Borland Jr"/>
    <x v="4"/>
    <x v="0"/>
    <x v="18"/>
    <x v="1"/>
    <x v="1"/>
    <n v="17421"/>
    <x v="94"/>
    <s v="C70"/>
    <s v="70"/>
    <x v="41"/>
    <x v="23"/>
    <x v="5"/>
    <x v="0"/>
  </r>
  <r>
    <n v="669"/>
    <x v="0"/>
    <x v="2"/>
    <s v="Cook, Mr. Jacob"/>
    <x v="25"/>
    <x v="0"/>
    <x v="43"/>
    <x v="1"/>
    <x v="0"/>
    <s v="A/5 3536"/>
    <x v="25"/>
    <m/>
    <s v=""/>
    <x v="0"/>
    <x v="26"/>
    <x v="0"/>
    <x v="1"/>
  </r>
  <r>
    <n v="455"/>
    <x v="0"/>
    <x v="2"/>
    <s v="Peduzzi, Mr. Joseph"/>
    <x v="13"/>
    <x v="0"/>
    <x v="5"/>
    <x v="1"/>
    <x v="0"/>
    <s v="A/5 2817"/>
    <x v="25"/>
    <m/>
    <s v=""/>
    <x v="0"/>
    <x v="26"/>
    <x v="0"/>
    <x v="1"/>
  </r>
  <r>
    <n v="305"/>
    <x v="0"/>
    <x v="2"/>
    <s v="Williams, Mr. Howard Hugh &quot;Harry&quot;"/>
    <x v="37"/>
    <x v="0"/>
    <x v="5"/>
    <x v="1"/>
    <x v="0"/>
    <s v="A/5 2466"/>
    <x v="25"/>
    <m/>
    <s v=""/>
    <x v="0"/>
    <x v="26"/>
    <x v="0"/>
    <x v="1"/>
  </r>
  <r>
    <n v="582"/>
    <x v="1"/>
    <x v="1"/>
    <s v="Thayer, Mrs. John Borland (Marian Longstreth Morris)"/>
    <x v="19"/>
    <x v="1"/>
    <x v="24"/>
    <x v="0"/>
    <x v="2"/>
    <n v="17421"/>
    <x v="94"/>
    <s v="C68"/>
    <s v="68"/>
    <x v="42"/>
    <x v="23"/>
    <x v="5"/>
    <x v="0"/>
  </r>
  <r>
    <n v="213"/>
    <x v="0"/>
    <x v="2"/>
    <s v="Perkin, Mr. John Henry"/>
    <x v="5"/>
    <x v="0"/>
    <x v="13"/>
    <x v="1"/>
    <x v="0"/>
    <s v="A/5 21174"/>
    <x v="30"/>
    <m/>
    <s v=""/>
    <x v="0"/>
    <x v="26"/>
    <x v="0"/>
    <x v="1"/>
  </r>
  <r>
    <n v="228"/>
    <x v="0"/>
    <x v="2"/>
    <s v="Lovell, Mr. John Hall (&quot;Henry&quot;)"/>
    <x v="14"/>
    <x v="0"/>
    <x v="59"/>
    <x v="1"/>
    <x v="0"/>
    <s v="A/5 21173"/>
    <x v="30"/>
    <m/>
    <s v=""/>
    <x v="0"/>
    <x v="26"/>
    <x v="0"/>
    <x v="1"/>
  </r>
  <r>
    <n v="321"/>
    <x v="0"/>
    <x v="2"/>
    <s v="Dennis, Mr. Samuel"/>
    <x v="3"/>
    <x v="0"/>
    <x v="13"/>
    <x v="1"/>
    <x v="0"/>
    <s v="A/5 21172"/>
    <x v="30"/>
    <m/>
    <s v=""/>
    <x v="0"/>
    <x v="26"/>
    <x v="0"/>
    <x v="1"/>
  </r>
  <r>
    <n v="1"/>
    <x v="0"/>
    <x v="2"/>
    <s v="Braund, Mr. Owen Harris"/>
    <x v="1"/>
    <x v="0"/>
    <x v="13"/>
    <x v="0"/>
    <x v="0"/>
    <s v="A/5 21171"/>
    <x v="30"/>
    <m/>
    <s v=""/>
    <x v="0"/>
    <x v="26"/>
    <x v="0"/>
    <x v="1"/>
  </r>
  <r>
    <n v="52"/>
    <x v="0"/>
    <x v="2"/>
    <s v="Nosworthy, Mr. Richard Cater"/>
    <x v="2"/>
    <x v="0"/>
    <x v="9"/>
    <x v="1"/>
    <x v="0"/>
    <s v="A/4. 39886"/>
    <x v="100"/>
    <m/>
    <s v=""/>
    <x v="0"/>
    <x v="26"/>
    <x v="0"/>
    <x v="1"/>
  </r>
  <r>
    <n v="426"/>
    <x v="0"/>
    <x v="2"/>
    <s v="Wiseman, Mr. Phillippe"/>
    <x v="5"/>
    <x v="0"/>
    <x v="5"/>
    <x v="1"/>
    <x v="0"/>
    <s v="A/4. 34244"/>
    <x v="30"/>
    <m/>
    <s v=""/>
    <x v="0"/>
    <x v="26"/>
    <x v="0"/>
    <x v="1"/>
  </r>
  <r>
    <n v="575"/>
    <x v="0"/>
    <x v="2"/>
    <s v="Rush, Mr. Alfred George John"/>
    <x v="2"/>
    <x v="0"/>
    <x v="6"/>
    <x v="1"/>
    <x v="0"/>
    <s v="A/4. 20589"/>
    <x v="25"/>
    <m/>
    <s v=""/>
    <x v="0"/>
    <x v="26"/>
    <x v="0"/>
    <x v="1"/>
  </r>
  <r>
    <n v="566"/>
    <x v="0"/>
    <x v="2"/>
    <s v="Davies, Mr. Alfred J"/>
    <x v="15"/>
    <x v="0"/>
    <x v="21"/>
    <x v="2"/>
    <x v="0"/>
    <s v="A/4 48871"/>
    <x v="101"/>
    <m/>
    <s v=""/>
    <x v="0"/>
    <x v="26"/>
    <x v="0"/>
    <x v="1"/>
  </r>
  <r>
    <n v="812"/>
    <x v="0"/>
    <x v="2"/>
    <s v="Lester, Mr. James"/>
    <x v="28"/>
    <x v="0"/>
    <x v="24"/>
    <x v="1"/>
    <x v="0"/>
    <s v="A/4 48871"/>
    <x v="101"/>
    <m/>
    <s v=""/>
    <x v="0"/>
    <x v="26"/>
    <x v="0"/>
    <x v="1"/>
  </r>
  <r>
    <n v="495"/>
    <x v="0"/>
    <x v="2"/>
    <s v="Stanley, Mr. Edward Roland"/>
    <x v="9"/>
    <x v="0"/>
    <x v="9"/>
    <x v="1"/>
    <x v="0"/>
    <s v="A/4 45380"/>
    <x v="25"/>
    <m/>
    <s v=""/>
    <x v="0"/>
    <x v="26"/>
    <x v="0"/>
    <x v="1"/>
  </r>
  <r>
    <n v="489"/>
    <x v="0"/>
    <x v="2"/>
    <s v="Somerton, Mr. Francis William"/>
    <x v="21"/>
    <x v="0"/>
    <x v="3"/>
    <x v="1"/>
    <x v="0"/>
    <s v="A.5. 18509"/>
    <x v="25"/>
    <m/>
    <s v=""/>
    <x v="0"/>
    <x v="27"/>
    <x v="0"/>
    <x v="1"/>
  </r>
  <r>
    <n v="153"/>
    <x v="0"/>
    <x v="2"/>
    <s v="Meo, Mr. Alfonzo"/>
    <x v="10"/>
    <x v="0"/>
    <x v="60"/>
    <x v="1"/>
    <x v="0"/>
    <s v="A.5. 11206"/>
    <x v="25"/>
    <m/>
    <s v=""/>
    <x v="0"/>
    <x v="27"/>
    <x v="0"/>
    <x v="1"/>
  </r>
  <r>
    <n v="590"/>
    <x v="0"/>
    <x v="2"/>
    <s v="Murdlin, Mr. Joseph"/>
    <x v="13"/>
    <x v="0"/>
    <x v="5"/>
    <x v="1"/>
    <x v="0"/>
    <s v="A./5. 3235"/>
    <x v="25"/>
    <m/>
    <s v=""/>
    <x v="0"/>
    <x v="27"/>
    <x v="0"/>
    <x v="1"/>
  </r>
  <r>
    <n v="38"/>
    <x v="0"/>
    <x v="2"/>
    <s v="Cann, Mr. Ernest Charles"/>
    <x v="22"/>
    <x v="0"/>
    <x v="9"/>
    <x v="1"/>
    <x v="0"/>
    <s v="A./5. 2152"/>
    <x v="25"/>
    <m/>
    <s v=""/>
    <x v="0"/>
    <x v="27"/>
    <x v="0"/>
    <x v="1"/>
  </r>
  <r>
    <n v="480"/>
    <x v="1"/>
    <x v="2"/>
    <s v="Hirvonen, Miss. Hildur E"/>
    <x v="22"/>
    <x v="1"/>
    <x v="61"/>
    <x v="1"/>
    <x v="2"/>
    <n v="3101298"/>
    <x v="102"/>
    <m/>
    <s v=""/>
    <x v="0"/>
    <x v="28"/>
    <x v="0"/>
    <x v="1"/>
  </r>
  <r>
    <n v="529"/>
    <x v="0"/>
    <x v="2"/>
    <s v="Salonen, Mr. Johan Werner"/>
    <x v="0"/>
    <x v="0"/>
    <x v="24"/>
    <x v="1"/>
    <x v="0"/>
    <n v="3101296"/>
    <x v="15"/>
    <m/>
    <s v=""/>
    <x v="0"/>
    <x v="28"/>
    <x v="0"/>
    <x v="1"/>
  </r>
  <r>
    <n v="51"/>
    <x v="0"/>
    <x v="2"/>
    <s v="Panula, Master. Juha Niilo"/>
    <x v="9"/>
    <x v="0"/>
    <x v="48"/>
    <x v="5"/>
    <x v="2"/>
    <n v="3101295"/>
    <x v="103"/>
    <m/>
    <s v=""/>
    <x v="0"/>
    <x v="28"/>
    <x v="0"/>
    <x v="1"/>
  </r>
  <r>
    <n v="165"/>
    <x v="0"/>
    <x v="2"/>
    <s v="Panula, Master. Eino Viljami"/>
    <x v="2"/>
    <x v="0"/>
    <x v="26"/>
    <x v="5"/>
    <x v="2"/>
    <n v="3101295"/>
    <x v="103"/>
    <m/>
    <s v=""/>
    <x v="0"/>
    <x v="28"/>
    <x v="0"/>
    <x v="1"/>
  </r>
  <r>
    <n v="267"/>
    <x v="0"/>
    <x v="2"/>
    <s v="Panula, Mr. Ernesti Arvid"/>
    <x v="0"/>
    <x v="0"/>
    <x v="6"/>
    <x v="5"/>
    <x v="2"/>
    <n v="3101295"/>
    <x v="103"/>
    <m/>
    <s v=""/>
    <x v="0"/>
    <x v="28"/>
    <x v="0"/>
    <x v="1"/>
  </r>
  <r>
    <n v="687"/>
    <x v="0"/>
    <x v="2"/>
    <s v="Panula, Mr. Jaako Arnold"/>
    <x v="22"/>
    <x v="0"/>
    <x v="45"/>
    <x v="5"/>
    <x v="2"/>
    <n v="3101295"/>
    <x v="103"/>
    <m/>
    <s v=""/>
    <x v="0"/>
    <x v="28"/>
    <x v="0"/>
    <x v="1"/>
  </r>
  <r>
    <n v="825"/>
    <x v="0"/>
    <x v="2"/>
    <s v="Panula, Master. Urho Abraham"/>
    <x v="2"/>
    <x v="0"/>
    <x v="61"/>
    <x v="5"/>
    <x v="2"/>
    <n v="3101295"/>
    <x v="103"/>
    <m/>
    <s v=""/>
    <x v="0"/>
    <x v="28"/>
    <x v="0"/>
    <x v="1"/>
  </r>
  <r>
    <n v="639"/>
    <x v="0"/>
    <x v="2"/>
    <s v="Panula, Mrs. Juha (Maria Emilia Ojala)"/>
    <x v="16"/>
    <x v="1"/>
    <x v="31"/>
    <x v="1"/>
    <x v="5"/>
    <n v="3101295"/>
    <x v="103"/>
    <m/>
    <s v=""/>
    <x v="0"/>
    <x v="28"/>
    <x v="0"/>
    <x v="1"/>
  </r>
  <r>
    <n v="699"/>
    <x v="0"/>
    <x v="1"/>
    <s v="Thayer, Mr. John Borland"/>
    <x v="22"/>
    <x v="0"/>
    <x v="40"/>
    <x v="0"/>
    <x v="2"/>
    <n v="17421"/>
    <x v="94"/>
    <s v="C68"/>
    <s v="68"/>
    <x v="42"/>
    <x v="23"/>
    <x v="5"/>
    <x v="0"/>
  </r>
  <r>
    <n v="69"/>
    <x v="1"/>
    <x v="2"/>
    <s v="Andersson, Miss. Erna Alexandra"/>
    <x v="14"/>
    <x v="1"/>
    <x v="18"/>
    <x v="5"/>
    <x v="1"/>
    <n v="3101281"/>
    <x v="15"/>
    <m/>
    <s v=""/>
    <x v="0"/>
    <x v="28"/>
    <x v="0"/>
    <x v="1"/>
  </r>
  <r>
    <n v="320"/>
    <x v="1"/>
    <x v="1"/>
    <s v="Spedden, Mrs. Frederic Oakley (Margaretta Corning Stone)"/>
    <x v="41"/>
    <x v="1"/>
    <x v="37"/>
    <x v="0"/>
    <x v="2"/>
    <n v="16966"/>
    <x v="104"/>
    <s v="E34"/>
    <s v="34"/>
    <x v="43"/>
    <x v="29"/>
    <x v="2"/>
    <x v="0"/>
  </r>
  <r>
    <n v="207"/>
    <x v="0"/>
    <x v="2"/>
    <s v="Backstrom, Mr. Karl Alfred"/>
    <x v="9"/>
    <x v="0"/>
    <x v="23"/>
    <x v="0"/>
    <x v="0"/>
    <n v="3101278"/>
    <x v="19"/>
    <m/>
    <s v=""/>
    <x v="0"/>
    <x v="28"/>
    <x v="0"/>
    <x v="1"/>
  </r>
  <r>
    <n v="86"/>
    <x v="1"/>
    <x v="2"/>
    <s v="Backstrom, Mrs. Karl Alfred (Maria Mathilda Gustafsson)"/>
    <x v="42"/>
    <x v="1"/>
    <x v="33"/>
    <x v="6"/>
    <x v="0"/>
    <n v="3101278"/>
    <x v="19"/>
    <m/>
    <s v=""/>
    <x v="0"/>
    <x v="28"/>
    <x v="0"/>
    <x v="1"/>
  </r>
  <r>
    <n v="393"/>
    <x v="0"/>
    <x v="2"/>
    <s v="Gustafsson, Mr. Johan Birger"/>
    <x v="2"/>
    <x v="0"/>
    <x v="22"/>
    <x v="2"/>
    <x v="0"/>
    <n v="3101277"/>
    <x v="15"/>
    <m/>
    <s v=""/>
    <x v="0"/>
    <x v="28"/>
    <x v="0"/>
    <x v="1"/>
  </r>
  <r>
    <n v="105"/>
    <x v="0"/>
    <x v="2"/>
    <s v="Gustafsson, Mr. Anders Vilhelm"/>
    <x v="20"/>
    <x v="0"/>
    <x v="34"/>
    <x v="2"/>
    <x v="0"/>
    <n v="3101276"/>
    <x v="15"/>
    <m/>
    <s v=""/>
    <x v="0"/>
    <x v="28"/>
    <x v="0"/>
    <x v="1"/>
  </r>
  <r>
    <n v="372"/>
    <x v="0"/>
    <x v="2"/>
    <s v="Wiklund, Mr. Jakob Alfred"/>
    <x v="0"/>
    <x v="0"/>
    <x v="29"/>
    <x v="0"/>
    <x v="0"/>
    <n v="3101267"/>
    <x v="105"/>
    <m/>
    <s v=""/>
    <x v="0"/>
    <x v="28"/>
    <x v="0"/>
    <x v="1"/>
  </r>
  <r>
    <n v="787"/>
    <x v="1"/>
    <x v="2"/>
    <s v="Sjoblom, Miss. Anna Sofia"/>
    <x v="0"/>
    <x v="1"/>
    <x v="29"/>
    <x v="1"/>
    <x v="0"/>
    <n v="3101265"/>
    <x v="106"/>
    <m/>
    <s v=""/>
    <x v="0"/>
    <x v="28"/>
    <x v="0"/>
    <x v="1"/>
  </r>
  <r>
    <n v="203"/>
    <x v="0"/>
    <x v="2"/>
    <s v="Johanson, Mr. Jakob Alfred"/>
    <x v="9"/>
    <x v="0"/>
    <x v="51"/>
    <x v="1"/>
    <x v="0"/>
    <n v="3101264"/>
    <x v="105"/>
    <m/>
    <s v=""/>
    <x v="0"/>
    <x v="28"/>
    <x v="0"/>
    <x v="1"/>
  </r>
  <r>
    <n v="752"/>
    <x v="1"/>
    <x v="2"/>
    <s v="Moor, Master. Meier"/>
    <x v="13"/>
    <x v="0"/>
    <x v="62"/>
    <x v="1"/>
    <x v="2"/>
    <n v="392096"/>
    <x v="107"/>
    <s v="E121"/>
    <s v="121"/>
    <x v="44"/>
    <x v="30"/>
    <x v="2"/>
    <x v="1"/>
  </r>
  <r>
    <n v="338"/>
    <x v="1"/>
    <x v="1"/>
    <s v="Burns, Miss. Elizabeth Margaret"/>
    <x v="14"/>
    <x v="1"/>
    <x v="31"/>
    <x v="1"/>
    <x v="0"/>
    <n v="16966"/>
    <x v="104"/>
    <s v="E40"/>
    <s v="40"/>
    <x v="45"/>
    <x v="29"/>
    <x v="2"/>
    <x v="0"/>
  </r>
  <r>
    <n v="824"/>
    <x v="1"/>
    <x v="2"/>
    <s v="Moor, Mrs. (Beila)"/>
    <x v="3"/>
    <x v="1"/>
    <x v="10"/>
    <x v="1"/>
    <x v="2"/>
    <n v="392096"/>
    <x v="107"/>
    <s v="E121"/>
    <s v="121"/>
    <x v="44"/>
    <x v="30"/>
    <x v="2"/>
    <x v="1"/>
  </r>
  <r>
    <n v="838"/>
    <x v="0"/>
    <x v="2"/>
    <s v="Sirota, Mr. Maurice"/>
    <x v="13"/>
    <x v="0"/>
    <x v="5"/>
    <x v="1"/>
    <x v="0"/>
    <n v="392092"/>
    <x v="25"/>
    <m/>
    <s v=""/>
    <x v="0"/>
    <x v="30"/>
    <x v="0"/>
    <x v="1"/>
  </r>
  <r>
    <n v="856"/>
    <x v="1"/>
    <x v="2"/>
    <s v="Aks, Mrs. Sam (Leah Rosen)"/>
    <x v="9"/>
    <x v="1"/>
    <x v="29"/>
    <x v="1"/>
    <x v="2"/>
    <n v="392091"/>
    <x v="51"/>
    <m/>
    <s v=""/>
    <x v="0"/>
    <x v="30"/>
    <x v="0"/>
    <x v="1"/>
  </r>
  <r>
    <n v="348"/>
    <x v="1"/>
    <x v="2"/>
    <s v="Davison, Mrs. Thomas Henry (Mary E Finck)"/>
    <x v="30"/>
    <x v="1"/>
    <x v="5"/>
    <x v="0"/>
    <x v="0"/>
    <n v="386525"/>
    <x v="99"/>
    <m/>
    <s v=""/>
    <x v="0"/>
    <x v="4"/>
    <x v="0"/>
    <x v="1"/>
  </r>
  <r>
    <n v="323"/>
    <x v="1"/>
    <x v="0"/>
    <s v="Slayter, Miss. Hilda Mary"/>
    <x v="0"/>
    <x v="1"/>
    <x v="3"/>
    <x v="1"/>
    <x v="0"/>
    <n v="234818"/>
    <x v="108"/>
    <m/>
    <s v=""/>
    <x v="0"/>
    <x v="18"/>
    <x v="0"/>
    <x v="2"/>
  </r>
  <r>
    <n v="744"/>
    <x v="0"/>
    <x v="2"/>
    <s v="McNamee, Mr. Neal"/>
    <x v="28"/>
    <x v="0"/>
    <x v="21"/>
    <x v="0"/>
    <x v="0"/>
    <n v="376566"/>
    <x v="99"/>
    <m/>
    <s v=""/>
    <x v="0"/>
    <x v="31"/>
    <x v="0"/>
    <x v="1"/>
  </r>
  <r>
    <n v="640"/>
    <x v="0"/>
    <x v="2"/>
    <s v="Thorneycroft, Mr. Percival"/>
    <x v="9"/>
    <x v="0"/>
    <x v="5"/>
    <x v="0"/>
    <x v="0"/>
    <n v="376564"/>
    <x v="99"/>
    <m/>
    <s v=""/>
    <x v="0"/>
    <x v="31"/>
    <x v="0"/>
    <x v="1"/>
  </r>
  <r>
    <n v="432"/>
    <x v="1"/>
    <x v="2"/>
    <s v="Thorneycroft, Mrs. Percival (Florence Kate White)"/>
    <x v="26"/>
    <x v="1"/>
    <x v="5"/>
    <x v="0"/>
    <x v="0"/>
    <n v="376564"/>
    <x v="99"/>
    <m/>
    <s v=""/>
    <x v="0"/>
    <x v="31"/>
    <x v="0"/>
    <x v="1"/>
  </r>
  <r>
    <n v="304"/>
    <x v="1"/>
    <x v="0"/>
    <s v="Keane, Miss. Nora A"/>
    <x v="13"/>
    <x v="1"/>
    <x v="5"/>
    <x v="1"/>
    <x v="0"/>
    <n v="226593"/>
    <x v="108"/>
    <s v="E101"/>
    <s v="101"/>
    <x v="13"/>
    <x v="32"/>
    <x v="2"/>
    <x v="2"/>
  </r>
  <r>
    <n v="96"/>
    <x v="0"/>
    <x v="2"/>
    <s v="Shorney, Mr. Charles Joseph"/>
    <x v="4"/>
    <x v="0"/>
    <x v="5"/>
    <x v="1"/>
    <x v="0"/>
    <n v="374910"/>
    <x v="25"/>
    <m/>
    <s v=""/>
    <x v="0"/>
    <x v="31"/>
    <x v="0"/>
    <x v="1"/>
  </r>
  <r>
    <n v="786"/>
    <x v="0"/>
    <x v="2"/>
    <s v="Harmer, Mr. Abraham (David Lishin)"/>
    <x v="27"/>
    <x v="0"/>
    <x v="17"/>
    <x v="1"/>
    <x v="0"/>
    <n v="374887"/>
    <x v="30"/>
    <m/>
    <s v=""/>
    <x v="0"/>
    <x v="31"/>
    <x v="0"/>
    <x v="1"/>
  </r>
  <r>
    <n v="78"/>
    <x v="0"/>
    <x v="2"/>
    <s v="Moutal, Mr. Rahamin Haim"/>
    <x v="22"/>
    <x v="0"/>
    <x v="5"/>
    <x v="1"/>
    <x v="0"/>
    <n v="374746"/>
    <x v="25"/>
    <m/>
    <s v=""/>
    <x v="0"/>
    <x v="31"/>
    <x v="0"/>
    <x v="1"/>
  </r>
  <r>
    <n v="5"/>
    <x v="0"/>
    <x v="2"/>
    <s v="Allen, Mr. William Henry"/>
    <x v="22"/>
    <x v="0"/>
    <x v="27"/>
    <x v="1"/>
    <x v="0"/>
    <n v="373450"/>
    <x v="25"/>
    <m/>
    <s v=""/>
    <x v="0"/>
    <x v="31"/>
    <x v="0"/>
    <x v="1"/>
  </r>
  <r>
    <n v="540"/>
    <x v="1"/>
    <x v="1"/>
    <s v="Frolicher, Miss. Hedwig Margaritha"/>
    <x v="27"/>
    <x v="1"/>
    <x v="13"/>
    <x v="1"/>
    <x v="1"/>
    <n v="13568"/>
    <x v="109"/>
    <s v="B39"/>
    <s v="39"/>
    <x v="46"/>
    <x v="33"/>
    <x v="1"/>
    <x v="0"/>
  </r>
  <r>
    <n v="588"/>
    <x v="1"/>
    <x v="1"/>
    <s v="Frolicher-Stehli, Mr. Maxmillian"/>
    <x v="7"/>
    <x v="0"/>
    <x v="52"/>
    <x v="0"/>
    <x v="2"/>
    <n v="13567"/>
    <x v="46"/>
    <s v="B41"/>
    <s v="41"/>
    <x v="47"/>
    <x v="33"/>
    <x v="1"/>
    <x v="0"/>
  </r>
  <r>
    <n v="161"/>
    <x v="0"/>
    <x v="2"/>
    <s v="Cribb, Mr. John Hatfield"/>
    <x v="22"/>
    <x v="0"/>
    <x v="28"/>
    <x v="1"/>
    <x v="2"/>
    <n v="371362"/>
    <x v="99"/>
    <m/>
    <s v=""/>
    <x v="0"/>
    <x v="31"/>
    <x v="0"/>
    <x v="1"/>
  </r>
  <r>
    <n v="255"/>
    <x v="0"/>
    <x v="2"/>
    <s v="Rosblom, Mrs. Viktor (Helena Wilhelmina)"/>
    <x v="11"/>
    <x v="1"/>
    <x v="31"/>
    <x v="1"/>
    <x v="1"/>
    <n v="370129"/>
    <x v="110"/>
    <m/>
    <s v=""/>
    <x v="0"/>
    <x v="31"/>
    <x v="0"/>
    <x v="1"/>
  </r>
  <r>
    <n v="425"/>
    <x v="0"/>
    <x v="2"/>
    <s v="Rosblom, Mr. Viktor Richard"/>
    <x v="4"/>
    <x v="0"/>
    <x v="29"/>
    <x v="0"/>
    <x v="2"/>
    <n v="370129"/>
    <x v="110"/>
    <m/>
    <s v=""/>
    <x v="0"/>
    <x v="31"/>
    <x v="0"/>
    <x v="1"/>
  </r>
  <r>
    <n v="80"/>
    <x v="1"/>
    <x v="2"/>
    <s v="Dowdell, Miss. Elizabeth"/>
    <x v="22"/>
    <x v="1"/>
    <x v="3"/>
    <x v="1"/>
    <x v="0"/>
    <n v="364516"/>
    <x v="107"/>
    <m/>
    <s v=""/>
    <x v="0"/>
    <x v="21"/>
    <x v="0"/>
    <x v="1"/>
  </r>
  <r>
    <n v="778"/>
    <x v="1"/>
    <x v="2"/>
    <s v="Emanuel, Miss. Virginia Ethel"/>
    <x v="21"/>
    <x v="1"/>
    <x v="50"/>
    <x v="1"/>
    <x v="0"/>
    <n v="364516"/>
    <x v="107"/>
    <m/>
    <s v=""/>
    <x v="0"/>
    <x v="21"/>
    <x v="0"/>
    <x v="1"/>
  </r>
  <r>
    <n v="615"/>
    <x v="0"/>
    <x v="2"/>
    <s v="Brocklebank, Mr. William Alfred"/>
    <x v="14"/>
    <x v="0"/>
    <x v="27"/>
    <x v="1"/>
    <x v="0"/>
    <n v="364512"/>
    <x v="25"/>
    <m/>
    <s v=""/>
    <x v="0"/>
    <x v="21"/>
    <x v="0"/>
    <x v="1"/>
  </r>
  <r>
    <n v="604"/>
    <x v="0"/>
    <x v="2"/>
    <s v="Torber, Mr. Ernst William"/>
    <x v="0"/>
    <x v="0"/>
    <x v="28"/>
    <x v="1"/>
    <x v="0"/>
    <n v="364511"/>
    <x v="25"/>
    <m/>
    <s v=""/>
    <x v="0"/>
    <x v="21"/>
    <x v="0"/>
    <x v="1"/>
  </r>
  <r>
    <n v="462"/>
    <x v="0"/>
    <x v="2"/>
    <s v="Morley, Mr. William"/>
    <x v="13"/>
    <x v="0"/>
    <x v="51"/>
    <x v="1"/>
    <x v="0"/>
    <n v="364506"/>
    <x v="25"/>
    <m/>
    <s v=""/>
    <x v="0"/>
    <x v="21"/>
    <x v="0"/>
    <x v="1"/>
  </r>
  <r>
    <n v="95"/>
    <x v="0"/>
    <x v="2"/>
    <s v="Coxon, Mr. Daniel"/>
    <x v="28"/>
    <x v="0"/>
    <x v="63"/>
    <x v="1"/>
    <x v="0"/>
    <n v="364500"/>
    <x v="30"/>
    <m/>
    <s v=""/>
    <x v="0"/>
    <x v="21"/>
    <x v="0"/>
    <x v="1"/>
  </r>
  <r>
    <n v="815"/>
    <x v="0"/>
    <x v="2"/>
    <s v="Tomlin, Mr. Ernest Portage"/>
    <x v="9"/>
    <x v="0"/>
    <x v="64"/>
    <x v="1"/>
    <x v="0"/>
    <n v="364499"/>
    <x v="25"/>
    <m/>
    <s v=""/>
    <x v="0"/>
    <x v="21"/>
    <x v="0"/>
    <x v="1"/>
  </r>
  <r>
    <n v="539"/>
    <x v="0"/>
    <x v="2"/>
    <s v="Risien, Mr. Samuel Beard"/>
    <x v="22"/>
    <x v="0"/>
    <x v="5"/>
    <x v="1"/>
    <x v="0"/>
    <n v="364498"/>
    <x v="98"/>
    <m/>
    <s v=""/>
    <x v="0"/>
    <x v="21"/>
    <x v="0"/>
    <x v="1"/>
  </r>
  <r>
    <n v="697"/>
    <x v="0"/>
    <x v="2"/>
    <s v="Kelly, Mr. James"/>
    <x v="10"/>
    <x v="0"/>
    <x v="28"/>
    <x v="1"/>
    <x v="0"/>
    <n v="363592"/>
    <x v="25"/>
    <m/>
    <s v=""/>
    <x v="0"/>
    <x v="21"/>
    <x v="0"/>
    <x v="1"/>
  </r>
  <r>
    <n v="759"/>
    <x v="0"/>
    <x v="2"/>
    <s v="Theobald, Mr. Thomas Leonard"/>
    <x v="2"/>
    <x v="0"/>
    <x v="51"/>
    <x v="1"/>
    <x v="0"/>
    <n v="363294"/>
    <x v="25"/>
    <m/>
    <s v=""/>
    <x v="0"/>
    <x v="21"/>
    <x v="0"/>
    <x v="1"/>
  </r>
  <r>
    <n v="166"/>
    <x v="1"/>
    <x v="2"/>
    <s v="Goldsmith, Master. Frank John William &quot;Frankie&quot;"/>
    <x v="35"/>
    <x v="0"/>
    <x v="8"/>
    <x v="1"/>
    <x v="1"/>
    <n v="363291"/>
    <x v="111"/>
    <m/>
    <s v=""/>
    <x v="0"/>
    <x v="21"/>
    <x v="0"/>
    <x v="1"/>
  </r>
  <r>
    <n v="633"/>
    <x v="1"/>
    <x v="1"/>
    <s v="Stahelin-Maeglin, Dr. Max"/>
    <x v="0"/>
    <x v="0"/>
    <x v="23"/>
    <x v="1"/>
    <x v="0"/>
    <n v="13214"/>
    <x v="112"/>
    <s v="B50"/>
    <s v="50"/>
    <x v="48"/>
    <x v="33"/>
    <x v="1"/>
    <x v="0"/>
  </r>
  <r>
    <n v="329"/>
    <x v="1"/>
    <x v="2"/>
    <s v="Goldsmith, Mrs. Frank John (Emily Alice Brown)"/>
    <x v="33"/>
    <x v="1"/>
    <x v="19"/>
    <x v="0"/>
    <x v="2"/>
    <n v="363291"/>
    <x v="111"/>
    <m/>
    <s v=""/>
    <x v="0"/>
    <x v="21"/>
    <x v="0"/>
    <x v="1"/>
  </r>
  <r>
    <n v="549"/>
    <x v="0"/>
    <x v="2"/>
    <s v="Goldsmith, Mr. Frank John"/>
    <x v="0"/>
    <x v="0"/>
    <x v="33"/>
    <x v="0"/>
    <x v="2"/>
    <n v="363291"/>
    <x v="111"/>
    <m/>
    <s v=""/>
    <x v="0"/>
    <x v="21"/>
    <x v="0"/>
    <x v="1"/>
  </r>
  <r>
    <n v="648"/>
    <x v="1"/>
    <x v="1"/>
    <s v="Simonius-Blumer, Col. Oberst Alfons"/>
    <x v="40"/>
    <x v="0"/>
    <x v="55"/>
    <x v="1"/>
    <x v="0"/>
    <n v="13213"/>
    <x v="113"/>
    <s v="A26"/>
    <s v="26"/>
    <x v="49"/>
    <x v="33"/>
    <x v="6"/>
    <x v="0"/>
  </r>
  <r>
    <n v="251"/>
    <x v="0"/>
    <x v="2"/>
    <s v="Reed, Mr. James George"/>
    <x v="5"/>
    <x v="0"/>
    <x v="5"/>
    <x v="1"/>
    <x v="0"/>
    <n v="362316"/>
    <x v="30"/>
    <m/>
    <s v=""/>
    <x v="0"/>
    <x v="21"/>
    <x v="0"/>
    <x v="1"/>
  </r>
  <r>
    <n v="761"/>
    <x v="0"/>
    <x v="2"/>
    <s v="Garfirth, Mr. John"/>
    <x v="3"/>
    <x v="0"/>
    <x v="5"/>
    <x v="1"/>
    <x v="0"/>
    <n v="358585"/>
    <x v="98"/>
    <m/>
    <s v=""/>
    <x v="0"/>
    <x v="22"/>
    <x v="0"/>
    <x v="1"/>
  </r>
  <r>
    <n v="576"/>
    <x v="0"/>
    <x v="2"/>
    <s v="Patchett, Mr. George"/>
    <x v="15"/>
    <x v="0"/>
    <x v="16"/>
    <x v="1"/>
    <x v="0"/>
    <n v="358585"/>
    <x v="98"/>
    <m/>
    <s v=""/>
    <x v="0"/>
    <x v="22"/>
    <x v="0"/>
    <x v="1"/>
  </r>
  <r>
    <n v="570"/>
    <x v="1"/>
    <x v="2"/>
    <s v="Jonsson, Mr. Carl"/>
    <x v="28"/>
    <x v="0"/>
    <x v="23"/>
    <x v="1"/>
    <x v="0"/>
    <n v="350417"/>
    <x v="114"/>
    <m/>
    <s v=""/>
    <x v="0"/>
    <x v="22"/>
    <x v="0"/>
    <x v="1"/>
  </r>
  <r>
    <n v="397"/>
    <x v="0"/>
    <x v="2"/>
    <s v="Olsson, Miss. Elina"/>
    <x v="13"/>
    <x v="1"/>
    <x v="19"/>
    <x v="1"/>
    <x v="0"/>
    <n v="350407"/>
    <x v="114"/>
    <m/>
    <s v=""/>
    <x v="0"/>
    <x v="22"/>
    <x v="0"/>
    <x v="1"/>
  </r>
  <r>
    <n v="15"/>
    <x v="0"/>
    <x v="2"/>
    <s v="Vestrom, Miss. Hulda Amanda Adolfina"/>
    <x v="8"/>
    <x v="1"/>
    <x v="45"/>
    <x v="1"/>
    <x v="0"/>
    <n v="350406"/>
    <x v="114"/>
    <m/>
    <s v=""/>
    <x v="0"/>
    <x v="22"/>
    <x v="0"/>
    <x v="1"/>
  </r>
  <r>
    <n v="176"/>
    <x v="0"/>
    <x v="2"/>
    <s v="Klasen, Mr. Klas Albin"/>
    <x v="5"/>
    <x v="0"/>
    <x v="29"/>
    <x v="0"/>
    <x v="2"/>
    <n v="350404"/>
    <x v="114"/>
    <m/>
    <s v=""/>
    <x v="0"/>
    <x v="22"/>
    <x v="0"/>
    <x v="1"/>
  </r>
  <r>
    <n v="479"/>
    <x v="0"/>
    <x v="2"/>
    <s v="Karlsson, Mr. Nils August"/>
    <x v="0"/>
    <x v="0"/>
    <x v="13"/>
    <x v="1"/>
    <x v="0"/>
    <n v="350060"/>
    <x v="115"/>
    <m/>
    <s v=""/>
    <x v="0"/>
    <x v="22"/>
    <x v="0"/>
    <x v="1"/>
  </r>
  <r>
    <n v="396"/>
    <x v="0"/>
    <x v="2"/>
    <s v="Johansson, Mr. Erik"/>
    <x v="13"/>
    <x v="0"/>
    <x v="13"/>
    <x v="1"/>
    <x v="0"/>
    <n v="350052"/>
    <x v="116"/>
    <m/>
    <s v=""/>
    <x v="0"/>
    <x v="22"/>
    <x v="0"/>
    <x v="1"/>
  </r>
  <r>
    <n v="641"/>
    <x v="0"/>
    <x v="2"/>
    <s v="Jensen, Mr. Hans Peder"/>
    <x v="5"/>
    <x v="0"/>
    <x v="25"/>
    <x v="1"/>
    <x v="0"/>
    <n v="350050"/>
    <x v="114"/>
    <m/>
    <s v=""/>
    <x v="0"/>
    <x v="22"/>
    <x v="0"/>
    <x v="1"/>
  </r>
  <r>
    <n v="584"/>
    <x v="0"/>
    <x v="1"/>
    <s v="Ross, Mr. John Hugo"/>
    <x v="13"/>
    <x v="0"/>
    <x v="1"/>
    <x v="1"/>
    <x v="0"/>
    <n v="13049"/>
    <x v="117"/>
    <s v="A10"/>
    <s v="10"/>
    <x v="7"/>
    <x v="33"/>
    <x v="6"/>
    <x v="0"/>
  </r>
  <r>
    <n v="722"/>
    <x v="0"/>
    <x v="2"/>
    <s v="Jensen, Mr. Svend Lauritz"/>
    <x v="0"/>
    <x v="0"/>
    <x v="18"/>
    <x v="0"/>
    <x v="0"/>
    <n v="350048"/>
    <x v="118"/>
    <m/>
    <s v=""/>
    <x v="0"/>
    <x v="22"/>
    <x v="0"/>
    <x v="1"/>
  </r>
  <r>
    <n v="772"/>
    <x v="0"/>
    <x v="2"/>
    <s v="Jensen, Mr. Niels Peder"/>
    <x v="1"/>
    <x v="0"/>
    <x v="7"/>
    <x v="1"/>
    <x v="0"/>
    <n v="350047"/>
    <x v="114"/>
    <m/>
    <s v=""/>
    <x v="0"/>
    <x v="22"/>
    <x v="0"/>
    <x v="1"/>
  </r>
  <r>
    <n v="193"/>
    <x v="1"/>
    <x v="2"/>
    <s v="Andersen-Jensen, Miss. Carla Christine Nielsine"/>
    <x v="35"/>
    <x v="1"/>
    <x v="16"/>
    <x v="0"/>
    <x v="0"/>
    <n v="350046"/>
    <x v="114"/>
    <m/>
    <s v=""/>
    <x v="0"/>
    <x v="22"/>
    <x v="0"/>
    <x v="1"/>
  </r>
  <r>
    <n v="147"/>
    <x v="1"/>
    <x v="2"/>
    <s v="Andersson, Mr. August Edvard (&quot;Wennerstrom&quot;)"/>
    <x v="17"/>
    <x v="0"/>
    <x v="10"/>
    <x v="1"/>
    <x v="0"/>
    <n v="350043"/>
    <x v="116"/>
    <m/>
    <s v=""/>
    <x v="0"/>
    <x v="22"/>
    <x v="0"/>
    <x v="1"/>
  </r>
  <r>
    <n v="757"/>
    <x v="0"/>
    <x v="2"/>
    <s v="Carlsson, Mr. August Sigfrid"/>
    <x v="2"/>
    <x v="0"/>
    <x v="22"/>
    <x v="1"/>
    <x v="0"/>
    <n v="350042"/>
    <x v="116"/>
    <m/>
    <s v=""/>
    <x v="0"/>
    <x v="22"/>
    <x v="0"/>
    <x v="1"/>
  </r>
  <r>
    <n v="689"/>
    <x v="0"/>
    <x v="2"/>
    <s v="Fischer, Mr. Eberhard Thelander"/>
    <x v="14"/>
    <x v="0"/>
    <x v="29"/>
    <x v="1"/>
    <x v="0"/>
    <n v="350036"/>
    <x v="116"/>
    <m/>
    <s v=""/>
    <x v="0"/>
    <x v="22"/>
    <x v="0"/>
    <x v="1"/>
  </r>
  <r>
    <n v="500"/>
    <x v="0"/>
    <x v="2"/>
    <s v="Svensson, Mr. Olof"/>
    <x v="3"/>
    <x v="0"/>
    <x v="21"/>
    <x v="1"/>
    <x v="0"/>
    <n v="350035"/>
    <x v="116"/>
    <m/>
    <s v=""/>
    <x v="0"/>
    <x v="22"/>
    <x v="0"/>
    <x v="1"/>
  </r>
  <r>
    <n v="392"/>
    <x v="1"/>
    <x v="2"/>
    <s v="Jansson, Mr. Carl Olof"/>
    <x v="5"/>
    <x v="0"/>
    <x v="9"/>
    <x v="1"/>
    <x v="0"/>
    <n v="350034"/>
    <x v="116"/>
    <m/>
    <s v=""/>
    <x v="0"/>
    <x v="22"/>
    <x v="0"/>
    <x v="1"/>
  </r>
  <r>
    <n v="292"/>
    <x v="1"/>
    <x v="1"/>
    <s v="Bishop, Mrs. Dickinson H (Helen Walton)"/>
    <x v="6"/>
    <x v="1"/>
    <x v="16"/>
    <x v="0"/>
    <x v="0"/>
    <n v="11967"/>
    <x v="119"/>
    <s v="B49"/>
    <s v="49"/>
    <x v="11"/>
    <x v="5"/>
    <x v="1"/>
    <x v="0"/>
  </r>
  <r>
    <n v="624"/>
    <x v="0"/>
    <x v="2"/>
    <s v="Hansen, Mr. Henry Damsgaard"/>
    <x v="4"/>
    <x v="0"/>
    <x v="9"/>
    <x v="1"/>
    <x v="0"/>
    <n v="350029"/>
    <x v="114"/>
    <m/>
    <s v=""/>
    <x v="0"/>
    <x v="22"/>
    <x v="0"/>
    <x v="1"/>
  </r>
  <r>
    <n v="861"/>
    <x v="0"/>
    <x v="2"/>
    <s v="Hansen, Mr. Claus Peter"/>
    <x v="1"/>
    <x v="0"/>
    <x v="31"/>
    <x v="2"/>
    <x v="0"/>
    <n v="350026"/>
    <x v="120"/>
    <m/>
    <s v=""/>
    <x v="0"/>
    <x v="22"/>
    <x v="0"/>
    <x v="1"/>
  </r>
  <r>
    <n v="705"/>
    <x v="0"/>
    <x v="2"/>
    <s v="Hansen, Mr. Henrik Juul"/>
    <x v="1"/>
    <x v="0"/>
    <x v="20"/>
    <x v="0"/>
    <x v="0"/>
    <n v="350025"/>
    <x v="114"/>
    <m/>
    <s v=""/>
    <x v="0"/>
    <x v="22"/>
    <x v="0"/>
    <x v="1"/>
  </r>
  <r>
    <n v="676"/>
    <x v="0"/>
    <x v="2"/>
    <s v="Edvardsson, Mr. Gustaf Hjalmar"/>
    <x v="20"/>
    <x v="0"/>
    <x v="29"/>
    <x v="1"/>
    <x v="0"/>
    <n v="349912"/>
    <x v="121"/>
    <m/>
    <s v=""/>
    <x v="0"/>
    <x v="15"/>
    <x v="0"/>
    <x v="1"/>
  </r>
  <r>
    <n v="485"/>
    <x v="1"/>
    <x v="1"/>
    <s v="Bishop, Mr. Dickinson H"/>
    <x v="1"/>
    <x v="0"/>
    <x v="17"/>
    <x v="0"/>
    <x v="0"/>
    <n v="11967"/>
    <x v="119"/>
    <s v="B49"/>
    <s v="49"/>
    <x v="11"/>
    <x v="5"/>
    <x v="1"/>
    <x v="0"/>
  </r>
  <r>
    <n v="606"/>
    <x v="0"/>
    <x v="2"/>
    <s v="Lindell, Mr. Edvard Bengtsson"/>
    <x v="21"/>
    <x v="0"/>
    <x v="1"/>
    <x v="0"/>
    <x v="0"/>
    <n v="349910"/>
    <x v="122"/>
    <m/>
    <s v=""/>
    <x v="0"/>
    <x v="15"/>
    <x v="0"/>
    <x v="1"/>
  </r>
  <r>
    <n v="219"/>
    <x v="1"/>
    <x v="1"/>
    <s v="Bazzani, Miss. Albina"/>
    <x v="18"/>
    <x v="1"/>
    <x v="23"/>
    <x v="1"/>
    <x v="0"/>
    <n v="11813"/>
    <x v="123"/>
    <s v="D15"/>
    <s v="15"/>
    <x v="50"/>
    <x v="5"/>
    <x v="3"/>
    <x v="0"/>
  </r>
  <r>
    <n v="8"/>
    <x v="0"/>
    <x v="2"/>
    <s v="Palsson, Master. Gosta Leonard"/>
    <x v="20"/>
    <x v="0"/>
    <x v="61"/>
    <x v="6"/>
    <x v="2"/>
    <n v="349909"/>
    <x v="124"/>
    <m/>
    <s v=""/>
    <x v="0"/>
    <x v="15"/>
    <x v="0"/>
    <x v="1"/>
  </r>
  <r>
    <n v="25"/>
    <x v="0"/>
    <x v="2"/>
    <s v="Palsson, Miss. Torborg Danira"/>
    <x v="21"/>
    <x v="1"/>
    <x v="54"/>
    <x v="6"/>
    <x v="2"/>
    <n v="349909"/>
    <x v="124"/>
    <m/>
    <s v=""/>
    <x v="0"/>
    <x v="15"/>
    <x v="0"/>
    <x v="1"/>
  </r>
  <r>
    <n v="627"/>
    <x v="0"/>
    <x v="0"/>
    <s v="Kirkland, Rev. Charles Leonard"/>
    <x v="20"/>
    <x v="0"/>
    <x v="39"/>
    <x v="1"/>
    <x v="0"/>
    <n v="219533"/>
    <x v="108"/>
    <m/>
    <s v=""/>
    <x v="0"/>
    <x v="34"/>
    <x v="0"/>
    <x v="2"/>
  </r>
  <r>
    <n v="375"/>
    <x v="0"/>
    <x v="2"/>
    <s v="Palsson, Miss. Stina Viola"/>
    <x v="9"/>
    <x v="1"/>
    <x v="12"/>
    <x v="6"/>
    <x v="2"/>
    <n v="349909"/>
    <x v="124"/>
    <m/>
    <s v=""/>
    <x v="0"/>
    <x v="15"/>
    <x v="0"/>
    <x v="1"/>
  </r>
  <r>
    <n v="568"/>
    <x v="0"/>
    <x v="2"/>
    <s v="Palsson, Mrs. Nils (Alma Cornelia Berglund)"/>
    <x v="39"/>
    <x v="1"/>
    <x v="0"/>
    <x v="1"/>
    <x v="6"/>
    <n v="349909"/>
    <x v="124"/>
    <m/>
    <s v=""/>
    <x v="0"/>
    <x v="15"/>
    <x v="0"/>
    <x v="1"/>
  </r>
  <r>
    <n v="882"/>
    <x v="0"/>
    <x v="2"/>
    <s v="Markun, Mr. Johann"/>
    <x v="3"/>
    <x v="0"/>
    <x v="33"/>
    <x v="1"/>
    <x v="0"/>
    <n v="349257"/>
    <x v="66"/>
    <m/>
    <s v=""/>
    <x v="0"/>
    <x v="15"/>
    <x v="0"/>
    <x v="1"/>
  </r>
  <r>
    <n v="522"/>
    <x v="0"/>
    <x v="2"/>
    <s v="Vovk, Mr. Janko"/>
    <x v="25"/>
    <x v="0"/>
    <x v="13"/>
    <x v="1"/>
    <x v="0"/>
    <n v="349252"/>
    <x v="66"/>
    <m/>
    <s v=""/>
    <x v="0"/>
    <x v="15"/>
    <x v="0"/>
    <x v="1"/>
  </r>
  <r>
    <n v="562"/>
    <x v="0"/>
    <x v="2"/>
    <s v="Sivic, Mr. Husein"/>
    <x v="28"/>
    <x v="0"/>
    <x v="37"/>
    <x v="1"/>
    <x v="0"/>
    <n v="349251"/>
    <x v="66"/>
    <m/>
    <s v=""/>
    <x v="0"/>
    <x v="15"/>
    <x v="0"/>
    <x v="1"/>
  </r>
  <r>
    <n v="109"/>
    <x v="0"/>
    <x v="2"/>
    <s v="Rekic, Mr. Tido"/>
    <x v="25"/>
    <x v="0"/>
    <x v="14"/>
    <x v="1"/>
    <x v="0"/>
    <n v="349249"/>
    <x v="66"/>
    <m/>
    <s v=""/>
    <x v="0"/>
    <x v="15"/>
    <x v="0"/>
    <x v="1"/>
  </r>
  <r>
    <n v="871"/>
    <x v="0"/>
    <x v="2"/>
    <s v="Balkic, Mr. Cerin"/>
    <x v="28"/>
    <x v="0"/>
    <x v="20"/>
    <x v="1"/>
    <x v="0"/>
    <n v="349248"/>
    <x v="66"/>
    <m/>
    <s v=""/>
    <x v="0"/>
    <x v="15"/>
    <x v="0"/>
    <x v="1"/>
  </r>
  <r>
    <n v="190"/>
    <x v="0"/>
    <x v="2"/>
    <s v="Turcin, Mr. Stjepan"/>
    <x v="13"/>
    <x v="0"/>
    <x v="1"/>
    <x v="1"/>
    <x v="0"/>
    <n v="349247"/>
    <x v="66"/>
    <m/>
    <s v=""/>
    <x v="0"/>
    <x v="15"/>
    <x v="0"/>
    <x v="1"/>
  </r>
  <r>
    <n v="607"/>
    <x v="0"/>
    <x v="2"/>
    <s v="Karaic, Mr. Milan"/>
    <x v="28"/>
    <x v="0"/>
    <x v="3"/>
    <x v="1"/>
    <x v="0"/>
    <n v="349246"/>
    <x v="66"/>
    <m/>
    <s v=""/>
    <x v="0"/>
    <x v="15"/>
    <x v="0"/>
    <x v="1"/>
  </r>
  <r>
    <n v="101"/>
    <x v="0"/>
    <x v="2"/>
    <s v="Petranec, Miss. Matilda"/>
    <x v="1"/>
    <x v="1"/>
    <x v="22"/>
    <x v="1"/>
    <x v="0"/>
    <n v="349245"/>
    <x v="66"/>
    <m/>
    <s v=""/>
    <x v="0"/>
    <x v="15"/>
    <x v="0"/>
    <x v="1"/>
  </r>
  <r>
    <n v="798"/>
    <x v="1"/>
    <x v="2"/>
    <s v="Osman, Mrs. Mara"/>
    <x v="10"/>
    <x v="1"/>
    <x v="19"/>
    <x v="1"/>
    <x v="0"/>
    <n v="349244"/>
    <x v="125"/>
    <m/>
    <s v=""/>
    <x v="0"/>
    <x v="15"/>
    <x v="0"/>
    <x v="1"/>
  </r>
  <r>
    <n v="314"/>
    <x v="0"/>
    <x v="2"/>
    <s v="Hendekovic, Mr. Ignjac"/>
    <x v="5"/>
    <x v="0"/>
    <x v="22"/>
    <x v="1"/>
    <x v="0"/>
    <n v="349243"/>
    <x v="66"/>
    <m/>
    <s v=""/>
    <x v="0"/>
    <x v="15"/>
    <x v="0"/>
    <x v="1"/>
  </r>
  <r>
    <n v="520"/>
    <x v="0"/>
    <x v="2"/>
    <s v="Pavlovic, Mr. Stefo"/>
    <x v="13"/>
    <x v="0"/>
    <x v="23"/>
    <x v="1"/>
    <x v="0"/>
    <n v="349242"/>
    <x v="66"/>
    <m/>
    <s v=""/>
    <x v="0"/>
    <x v="15"/>
    <x v="0"/>
    <x v="1"/>
  </r>
  <r>
    <n v="50"/>
    <x v="0"/>
    <x v="2"/>
    <s v="Arnold-Franchi, Mrs. Josef (Josefine Franchi)"/>
    <x v="36"/>
    <x v="1"/>
    <x v="29"/>
    <x v="0"/>
    <x v="0"/>
    <n v="349237"/>
    <x v="126"/>
    <m/>
    <s v=""/>
    <x v="0"/>
    <x v="15"/>
    <x v="0"/>
    <x v="1"/>
  </r>
  <r>
    <n v="354"/>
    <x v="0"/>
    <x v="2"/>
    <s v="Arnold-Franchi, Mr. Josef"/>
    <x v="0"/>
    <x v="0"/>
    <x v="17"/>
    <x v="0"/>
    <x v="0"/>
    <n v="349237"/>
    <x v="126"/>
    <m/>
    <s v=""/>
    <x v="0"/>
    <x v="15"/>
    <x v="0"/>
    <x v="1"/>
  </r>
  <r>
    <n v="294"/>
    <x v="0"/>
    <x v="2"/>
    <s v="Haas, Miss. Aloisia"/>
    <x v="13"/>
    <x v="1"/>
    <x v="21"/>
    <x v="1"/>
    <x v="0"/>
    <n v="349236"/>
    <x v="127"/>
    <m/>
    <s v=""/>
    <x v="0"/>
    <x v="15"/>
    <x v="0"/>
    <x v="1"/>
  </r>
  <r>
    <n v="224"/>
    <x v="0"/>
    <x v="2"/>
    <s v="Nenkoff, Mr. Christo"/>
    <x v="15"/>
    <x v="0"/>
    <x v="5"/>
    <x v="1"/>
    <x v="0"/>
    <n v="349234"/>
    <x v="66"/>
    <m/>
    <s v=""/>
    <x v="0"/>
    <x v="15"/>
    <x v="0"/>
    <x v="1"/>
  </r>
  <r>
    <n v="295"/>
    <x v="0"/>
    <x v="2"/>
    <s v="Mineff, Mr. Ivan"/>
    <x v="10"/>
    <x v="0"/>
    <x v="21"/>
    <x v="1"/>
    <x v="0"/>
    <n v="349233"/>
    <x v="66"/>
    <m/>
    <s v=""/>
    <x v="0"/>
    <x v="15"/>
    <x v="0"/>
    <x v="1"/>
  </r>
  <r>
    <n v="647"/>
    <x v="0"/>
    <x v="2"/>
    <s v="Cor, Mr. Liudevit"/>
    <x v="28"/>
    <x v="0"/>
    <x v="16"/>
    <x v="1"/>
    <x v="0"/>
    <n v="349231"/>
    <x v="66"/>
    <m/>
    <s v=""/>
    <x v="0"/>
    <x v="15"/>
    <x v="0"/>
    <x v="1"/>
  </r>
  <r>
    <n v="688"/>
    <x v="0"/>
    <x v="2"/>
    <s v="Dakic, Mr. Branko"/>
    <x v="28"/>
    <x v="0"/>
    <x v="16"/>
    <x v="1"/>
    <x v="0"/>
    <n v="349228"/>
    <x v="128"/>
    <m/>
    <s v=""/>
    <x v="0"/>
    <x v="15"/>
    <x v="0"/>
    <x v="1"/>
  </r>
  <r>
    <n v="385"/>
    <x v="0"/>
    <x v="2"/>
    <s v="Plotcharsky, Mr. Vasil"/>
    <x v="5"/>
    <x v="0"/>
    <x v="5"/>
    <x v="1"/>
    <x v="0"/>
    <n v="349227"/>
    <x v="66"/>
    <m/>
    <s v=""/>
    <x v="0"/>
    <x v="15"/>
    <x v="0"/>
    <x v="1"/>
  </r>
  <r>
    <n v="336"/>
    <x v="0"/>
    <x v="2"/>
    <s v="Denkoff, Mr. Mitto"/>
    <x v="3"/>
    <x v="0"/>
    <x v="5"/>
    <x v="1"/>
    <x v="0"/>
    <n v="349225"/>
    <x v="66"/>
    <m/>
    <s v=""/>
    <x v="0"/>
    <x v="15"/>
    <x v="0"/>
    <x v="1"/>
  </r>
  <r>
    <n v="629"/>
    <x v="0"/>
    <x v="2"/>
    <s v="Bostandyeff, Mr. Guentcho"/>
    <x v="0"/>
    <x v="0"/>
    <x v="20"/>
    <x v="1"/>
    <x v="0"/>
    <n v="349224"/>
    <x v="66"/>
    <m/>
    <s v=""/>
    <x v="0"/>
    <x v="15"/>
    <x v="0"/>
    <x v="1"/>
  </r>
  <r>
    <n v="657"/>
    <x v="0"/>
    <x v="2"/>
    <s v="Radeff, Mr. Alexander"/>
    <x v="18"/>
    <x v="0"/>
    <x v="5"/>
    <x v="1"/>
    <x v="0"/>
    <n v="349223"/>
    <x v="66"/>
    <m/>
    <s v=""/>
    <x v="0"/>
    <x v="15"/>
    <x v="0"/>
    <x v="1"/>
  </r>
  <r>
    <n v="411"/>
    <x v="0"/>
    <x v="2"/>
    <s v="Sdycoff, Mr. Todor"/>
    <x v="3"/>
    <x v="0"/>
    <x v="5"/>
    <x v="1"/>
    <x v="0"/>
    <n v="349222"/>
    <x v="66"/>
    <m/>
    <s v=""/>
    <x v="0"/>
    <x v="15"/>
    <x v="0"/>
    <x v="1"/>
  </r>
  <r>
    <n v="651"/>
    <x v="0"/>
    <x v="2"/>
    <s v="Mitkoff, Mr. Mito"/>
    <x v="28"/>
    <x v="0"/>
    <x v="5"/>
    <x v="1"/>
    <x v="0"/>
    <n v="349221"/>
    <x v="66"/>
    <m/>
    <s v=""/>
    <x v="0"/>
    <x v="15"/>
    <x v="0"/>
    <x v="1"/>
  </r>
  <r>
    <n v="322"/>
    <x v="0"/>
    <x v="2"/>
    <s v="Danoff, Mr. Yoto"/>
    <x v="10"/>
    <x v="0"/>
    <x v="10"/>
    <x v="1"/>
    <x v="0"/>
    <n v="349219"/>
    <x v="66"/>
    <m/>
    <s v=""/>
    <x v="0"/>
    <x v="15"/>
    <x v="0"/>
    <x v="1"/>
  </r>
  <r>
    <n v="740"/>
    <x v="0"/>
    <x v="2"/>
    <s v="Nankoff, Mr. Minko"/>
    <x v="3"/>
    <x v="0"/>
    <x v="5"/>
    <x v="1"/>
    <x v="0"/>
    <n v="349218"/>
    <x v="66"/>
    <m/>
    <s v=""/>
    <x v="0"/>
    <x v="15"/>
    <x v="0"/>
    <x v="1"/>
  </r>
  <r>
    <n v="879"/>
    <x v="0"/>
    <x v="2"/>
    <s v="Laleff, Mr. Kristo"/>
    <x v="3"/>
    <x v="0"/>
    <x v="5"/>
    <x v="1"/>
    <x v="0"/>
    <n v="349217"/>
    <x v="66"/>
    <m/>
    <s v=""/>
    <x v="0"/>
    <x v="15"/>
    <x v="0"/>
    <x v="1"/>
  </r>
  <r>
    <n v="30"/>
    <x v="0"/>
    <x v="2"/>
    <s v="Todoroff, Mr. Lalio"/>
    <x v="13"/>
    <x v="0"/>
    <x v="5"/>
    <x v="1"/>
    <x v="0"/>
    <n v="349216"/>
    <x v="66"/>
    <m/>
    <s v=""/>
    <x v="0"/>
    <x v="15"/>
    <x v="0"/>
    <x v="1"/>
  </r>
  <r>
    <n v="102"/>
    <x v="0"/>
    <x v="2"/>
    <s v="Petroff, Mr. Pastcho (&quot;Pentcho&quot;)"/>
    <x v="7"/>
    <x v="0"/>
    <x v="5"/>
    <x v="1"/>
    <x v="0"/>
    <n v="349215"/>
    <x v="66"/>
    <m/>
    <s v=""/>
    <x v="0"/>
    <x v="15"/>
    <x v="0"/>
    <x v="1"/>
  </r>
  <r>
    <n v="602"/>
    <x v="0"/>
    <x v="2"/>
    <s v="Slabenoff, Mr. Petco"/>
    <x v="15"/>
    <x v="0"/>
    <x v="5"/>
    <x v="1"/>
    <x v="0"/>
    <n v="349214"/>
    <x v="66"/>
    <m/>
    <s v=""/>
    <x v="0"/>
    <x v="15"/>
    <x v="0"/>
    <x v="1"/>
  </r>
  <r>
    <n v="878"/>
    <x v="0"/>
    <x v="2"/>
    <s v="Petroff, Mr. Nedelio"/>
    <x v="15"/>
    <x v="0"/>
    <x v="16"/>
    <x v="1"/>
    <x v="0"/>
    <n v="349212"/>
    <x v="66"/>
    <m/>
    <s v=""/>
    <x v="0"/>
    <x v="15"/>
    <x v="0"/>
    <x v="1"/>
  </r>
  <r>
    <n v="664"/>
    <x v="0"/>
    <x v="2"/>
    <s v="Coleff, Mr. Peju"/>
    <x v="10"/>
    <x v="0"/>
    <x v="1"/>
    <x v="1"/>
    <x v="0"/>
    <n v="349210"/>
    <x v="106"/>
    <m/>
    <s v=""/>
    <x v="0"/>
    <x v="15"/>
    <x v="0"/>
    <x v="1"/>
  </r>
  <r>
    <n v="515"/>
    <x v="0"/>
    <x v="2"/>
    <s v="Coleff, Mr. Satio"/>
    <x v="28"/>
    <x v="0"/>
    <x v="21"/>
    <x v="1"/>
    <x v="0"/>
    <n v="349209"/>
    <x v="106"/>
    <m/>
    <s v=""/>
    <x v="0"/>
    <x v="15"/>
    <x v="0"/>
    <x v="1"/>
  </r>
  <r>
    <n v="77"/>
    <x v="0"/>
    <x v="2"/>
    <s v="Staneff, Mr. Ivan"/>
    <x v="28"/>
    <x v="0"/>
    <x v="5"/>
    <x v="1"/>
    <x v="0"/>
    <n v="349208"/>
    <x v="66"/>
    <m/>
    <s v=""/>
    <x v="0"/>
    <x v="15"/>
    <x v="0"/>
    <x v="1"/>
  </r>
  <r>
    <n v="106"/>
    <x v="0"/>
    <x v="2"/>
    <s v="Mionoff, Mr. Stoytcho"/>
    <x v="18"/>
    <x v="0"/>
    <x v="22"/>
    <x v="1"/>
    <x v="0"/>
    <n v="349207"/>
    <x v="66"/>
    <m/>
    <s v=""/>
    <x v="0"/>
    <x v="15"/>
    <x v="0"/>
    <x v="1"/>
  </r>
  <r>
    <n v="288"/>
    <x v="0"/>
    <x v="2"/>
    <s v="Naidenoff, Mr. Penko"/>
    <x v="15"/>
    <x v="0"/>
    <x v="13"/>
    <x v="1"/>
    <x v="0"/>
    <n v="349206"/>
    <x v="66"/>
    <m/>
    <s v=""/>
    <x v="0"/>
    <x v="15"/>
    <x v="0"/>
    <x v="1"/>
  </r>
  <r>
    <n v="567"/>
    <x v="0"/>
    <x v="2"/>
    <s v="Stoytcheff, Mr. Ilia"/>
    <x v="15"/>
    <x v="0"/>
    <x v="16"/>
    <x v="1"/>
    <x v="0"/>
    <n v="349205"/>
    <x v="66"/>
    <m/>
    <s v=""/>
    <x v="0"/>
    <x v="15"/>
    <x v="0"/>
    <x v="1"/>
  </r>
  <r>
    <n v="754"/>
    <x v="0"/>
    <x v="2"/>
    <s v="Jonkoff, Mr. Lalio"/>
    <x v="3"/>
    <x v="0"/>
    <x v="11"/>
    <x v="1"/>
    <x v="0"/>
    <n v="349204"/>
    <x v="66"/>
    <m/>
    <s v=""/>
    <x v="0"/>
    <x v="15"/>
    <x v="0"/>
    <x v="1"/>
  </r>
  <r>
    <n v="795"/>
    <x v="0"/>
    <x v="2"/>
    <s v="Dantcheff, Mr. Ristiu"/>
    <x v="18"/>
    <x v="0"/>
    <x v="17"/>
    <x v="1"/>
    <x v="0"/>
    <n v="349203"/>
    <x v="66"/>
    <m/>
    <s v=""/>
    <x v="0"/>
    <x v="15"/>
    <x v="0"/>
    <x v="1"/>
  </r>
  <r>
    <n v="739"/>
    <x v="0"/>
    <x v="2"/>
    <s v="Ivanoff, Mr. Kanio"/>
    <x v="3"/>
    <x v="0"/>
    <x v="5"/>
    <x v="1"/>
    <x v="0"/>
    <n v="349201"/>
    <x v="66"/>
    <m/>
    <s v=""/>
    <x v="0"/>
    <x v="15"/>
    <x v="0"/>
    <x v="1"/>
  </r>
  <r>
    <n v="716"/>
    <x v="0"/>
    <x v="2"/>
    <s v="Soholt, Mr. Peter Andreas Lauritz Andersen"/>
    <x v="24"/>
    <x v="0"/>
    <x v="16"/>
    <x v="1"/>
    <x v="0"/>
    <n v="348124"/>
    <x v="129"/>
    <s v="F G73"/>
    <s v=" G7"/>
    <x v="51"/>
    <x v="15"/>
    <x v="4"/>
    <x v="1"/>
  </r>
  <r>
    <n v="76"/>
    <x v="0"/>
    <x v="2"/>
    <s v="Moen, Mr. Sigurd Hansen"/>
    <x v="1"/>
    <x v="0"/>
    <x v="17"/>
    <x v="1"/>
    <x v="0"/>
    <n v="348123"/>
    <x v="129"/>
    <s v="F G73"/>
    <s v=" G7"/>
    <x v="51"/>
    <x v="15"/>
    <x v="4"/>
    <x v="1"/>
  </r>
  <r>
    <n v="700"/>
    <x v="0"/>
    <x v="2"/>
    <s v="Humblen, Mr. Adolf Mathias Nicolai Olsen"/>
    <x v="11"/>
    <x v="0"/>
    <x v="30"/>
    <x v="1"/>
    <x v="0"/>
    <n v="348121"/>
    <x v="129"/>
    <s v="F G63"/>
    <s v=" G6"/>
    <x v="51"/>
    <x v="15"/>
    <x v="4"/>
    <x v="1"/>
  </r>
  <r>
    <n v="632"/>
    <x v="0"/>
    <x v="2"/>
    <s v="Lundahl, Mr. Johan Svensson"/>
    <x v="4"/>
    <x v="0"/>
    <x v="38"/>
    <x v="1"/>
    <x v="0"/>
    <n v="347743"/>
    <x v="118"/>
    <m/>
    <s v=""/>
    <x v="0"/>
    <x v="15"/>
    <x v="0"/>
    <x v="1"/>
  </r>
  <r>
    <n v="9"/>
    <x v="1"/>
    <x v="2"/>
    <s v="Johnson, Mrs. Oscar W (Elisabeth Vilhelmina Berg)"/>
    <x v="26"/>
    <x v="1"/>
    <x v="10"/>
    <x v="1"/>
    <x v="1"/>
    <n v="347742"/>
    <x v="130"/>
    <m/>
    <s v=""/>
    <x v="0"/>
    <x v="15"/>
    <x v="0"/>
    <x v="1"/>
  </r>
  <r>
    <n v="173"/>
    <x v="1"/>
    <x v="2"/>
    <s v="Johnson, Miss. Eleanor Ileen"/>
    <x v="2"/>
    <x v="1"/>
    <x v="26"/>
    <x v="0"/>
    <x v="2"/>
    <n v="347742"/>
    <x v="130"/>
    <m/>
    <s v=""/>
    <x v="0"/>
    <x v="15"/>
    <x v="0"/>
    <x v="1"/>
  </r>
  <r>
    <n v="870"/>
    <x v="1"/>
    <x v="2"/>
    <s v="Johnson, Master. Harold Theodor"/>
    <x v="14"/>
    <x v="0"/>
    <x v="41"/>
    <x v="0"/>
    <x v="2"/>
    <n v="347742"/>
    <x v="130"/>
    <m/>
    <s v=""/>
    <x v="0"/>
    <x v="15"/>
    <x v="0"/>
    <x v="1"/>
  </r>
  <r>
    <n v="316"/>
    <x v="1"/>
    <x v="2"/>
    <s v="Nilsson, Miss. Helmina Josefina"/>
    <x v="14"/>
    <x v="1"/>
    <x v="20"/>
    <x v="1"/>
    <x v="0"/>
    <n v="347470"/>
    <x v="114"/>
    <m/>
    <s v=""/>
    <x v="0"/>
    <x v="15"/>
    <x v="0"/>
    <x v="1"/>
  </r>
  <r>
    <n v="834"/>
    <x v="0"/>
    <x v="2"/>
    <s v="Augustsson, Mr. Albert"/>
    <x v="5"/>
    <x v="0"/>
    <x v="11"/>
    <x v="1"/>
    <x v="0"/>
    <n v="347468"/>
    <x v="114"/>
    <m/>
    <s v=""/>
    <x v="0"/>
    <x v="15"/>
    <x v="0"/>
    <x v="1"/>
  </r>
  <r>
    <n v="92"/>
    <x v="0"/>
    <x v="2"/>
    <s v="Andreasson, Mr. Paul Edvin"/>
    <x v="9"/>
    <x v="0"/>
    <x v="25"/>
    <x v="1"/>
    <x v="0"/>
    <n v="347466"/>
    <x v="114"/>
    <m/>
    <s v=""/>
    <x v="0"/>
    <x v="15"/>
    <x v="0"/>
    <x v="1"/>
  </r>
  <r>
    <n v="840"/>
    <x v="1"/>
    <x v="1"/>
    <s v="Marechal, Mr. Pierre"/>
    <x v="15"/>
    <x v="0"/>
    <x v="5"/>
    <x v="1"/>
    <x v="0"/>
    <n v="11774"/>
    <x v="44"/>
    <s v="C47"/>
    <s v="47"/>
    <x v="52"/>
    <x v="5"/>
    <x v="5"/>
    <x v="0"/>
  </r>
  <r>
    <n v="282"/>
    <x v="0"/>
    <x v="2"/>
    <s v="Olsson, Mr. Nils Johan Goransson"/>
    <x v="7"/>
    <x v="0"/>
    <x v="22"/>
    <x v="1"/>
    <x v="0"/>
    <n v="347464"/>
    <x v="114"/>
    <m/>
    <s v=""/>
    <x v="0"/>
    <x v="15"/>
    <x v="0"/>
    <x v="1"/>
  </r>
  <r>
    <n v="805"/>
    <x v="1"/>
    <x v="2"/>
    <s v="Hedman, Mr. Oskar Arvid"/>
    <x v="1"/>
    <x v="0"/>
    <x v="10"/>
    <x v="1"/>
    <x v="0"/>
    <n v="347089"/>
    <x v="131"/>
    <m/>
    <s v=""/>
    <x v="0"/>
    <x v="15"/>
    <x v="0"/>
    <x v="1"/>
  </r>
  <r>
    <n v="64"/>
    <x v="0"/>
    <x v="2"/>
    <s v="Skoog, Master. Harald"/>
    <x v="18"/>
    <x v="0"/>
    <x v="41"/>
    <x v="6"/>
    <x v="1"/>
    <n v="347088"/>
    <x v="132"/>
    <m/>
    <s v=""/>
    <x v="0"/>
    <x v="15"/>
    <x v="0"/>
    <x v="1"/>
  </r>
  <r>
    <n v="635"/>
    <x v="0"/>
    <x v="2"/>
    <s v="Skoog, Miss. Mabel"/>
    <x v="3"/>
    <x v="1"/>
    <x v="8"/>
    <x v="6"/>
    <x v="1"/>
    <n v="347088"/>
    <x v="132"/>
    <m/>
    <s v=""/>
    <x v="0"/>
    <x v="15"/>
    <x v="0"/>
    <x v="1"/>
  </r>
  <r>
    <n v="643"/>
    <x v="0"/>
    <x v="2"/>
    <s v="Skoog, Miss. Margit Elizabeth"/>
    <x v="21"/>
    <x v="1"/>
    <x v="61"/>
    <x v="6"/>
    <x v="1"/>
    <n v="347088"/>
    <x v="132"/>
    <m/>
    <s v=""/>
    <x v="0"/>
    <x v="15"/>
    <x v="0"/>
    <x v="1"/>
  </r>
  <r>
    <n v="820"/>
    <x v="0"/>
    <x v="2"/>
    <s v="Skoog, Master. Karl Thorsten"/>
    <x v="2"/>
    <x v="0"/>
    <x v="65"/>
    <x v="6"/>
    <x v="1"/>
    <n v="347088"/>
    <x v="132"/>
    <m/>
    <s v=""/>
    <x v="0"/>
    <x v="15"/>
    <x v="0"/>
    <x v="1"/>
  </r>
  <r>
    <n v="168"/>
    <x v="0"/>
    <x v="2"/>
    <s v="Skoog, Mrs. William (Anna Bernhardina Karlsson)"/>
    <x v="35"/>
    <x v="1"/>
    <x v="44"/>
    <x v="0"/>
    <x v="6"/>
    <n v="347088"/>
    <x v="132"/>
    <m/>
    <s v=""/>
    <x v="0"/>
    <x v="15"/>
    <x v="0"/>
    <x v="1"/>
  </r>
  <r>
    <n v="361"/>
    <x v="0"/>
    <x v="2"/>
    <s v="Skoog, Mr. Wilhelm"/>
    <x v="3"/>
    <x v="0"/>
    <x v="37"/>
    <x v="0"/>
    <x v="6"/>
    <n v="347088"/>
    <x v="132"/>
    <m/>
    <s v=""/>
    <x v="0"/>
    <x v="15"/>
    <x v="0"/>
    <x v="1"/>
  </r>
  <r>
    <n v="808"/>
    <x v="0"/>
    <x v="2"/>
    <s v="Pettersson, Miss. Ellen Natalia"/>
    <x v="14"/>
    <x v="1"/>
    <x v="29"/>
    <x v="1"/>
    <x v="0"/>
    <n v="347087"/>
    <x v="121"/>
    <m/>
    <s v=""/>
    <x v="0"/>
    <x v="15"/>
    <x v="0"/>
    <x v="1"/>
  </r>
  <r>
    <n v="555"/>
    <x v="1"/>
    <x v="2"/>
    <s v="Ohman, Miss. Velin"/>
    <x v="3"/>
    <x v="1"/>
    <x v="13"/>
    <x v="1"/>
    <x v="0"/>
    <n v="347085"/>
    <x v="121"/>
    <m/>
    <s v=""/>
    <x v="0"/>
    <x v="15"/>
    <x v="0"/>
    <x v="1"/>
  </r>
  <r>
    <n v="268"/>
    <x v="1"/>
    <x v="2"/>
    <s v="Persson, Mr. Ernst Ulrik"/>
    <x v="22"/>
    <x v="0"/>
    <x v="17"/>
    <x v="0"/>
    <x v="0"/>
    <n v="347083"/>
    <x v="121"/>
    <m/>
    <s v=""/>
    <x v="0"/>
    <x v="15"/>
    <x v="0"/>
    <x v="1"/>
  </r>
  <r>
    <n v="14"/>
    <x v="0"/>
    <x v="2"/>
    <s v="Andersson, Mr. Anders Johan"/>
    <x v="4"/>
    <x v="0"/>
    <x v="24"/>
    <x v="0"/>
    <x v="5"/>
    <n v="347082"/>
    <x v="133"/>
    <m/>
    <s v=""/>
    <x v="0"/>
    <x v="15"/>
    <x v="0"/>
    <x v="1"/>
  </r>
  <r>
    <n v="120"/>
    <x v="0"/>
    <x v="2"/>
    <s v="Andersson, Miss. Ellis Anna Maria"/>
    <x v="37"/>
    <x v="1"/>
    <x v="61"/>
    <x v="5"/>
    <x v="1"/>
    <n v="347082"/>
    <x v="133"/>
    <m/>
    <s v=""/>
    <x v="0"/>
    <x v="15"/>
    <x v="0"/>
    <x v="1"/>
  </r>
  <r>
    <n v="542"/>
    <x v="0"/>
    <x v="2"/>
    <s v="Andersson, Miss. Ingeborg Constanzia"/>
    <x v="8"/>
    <x v="1"/>
    <x v="8"/>
    <x v="5"/>
    <x v="1"/>
    <n v="347082"/>
    <x v="133"/>
    <m/>
    <s v=""/>
    <x v="0"/>
    <x v="15"/>
    <x v="0"/>
    <x v="1"/>
  </r>
  <r>
    <n v="23"/>
    <x v="1"/>
    <x v="2"/>
    <s v="McGowan, Miss. Anna &quot;Annie&quot;"/>
    <x v="4"/>
    <x v="1"/>
    <x v="66"/>
    <x v="1"/>
    <x v="0"/>
    <n v="330923"/>
    <x v="134"/>
    <m/>
    <s v=""/>
    <x v="0"/>
    <x v="35"/>
    <x v="0"/>
    <x v="2"/>
  </r>
  <r>
    <n v="543"/>
    <x v="0"/>
    <x v="2"/>
    <s v="Andersson, Miss. Sigrid Elisabeth"/>
    <x v="37"/>
    <x v="1"/>
    <x v="49"/>
    <x v="5"/>
    <x v="1"/>
    <n v="347082"/>
    <x v="133"/>
    <m/>
    <s v=""/>
    <x v="0"/>
    <x v="15"/>
    <x v="0"/>
    <x v="1"/>
  </r>
  <r>
    <n v="814"/>
    <x v="0"/>
    <x v="2"/>
    <s v="Andersson, Miss. Ebba Iris Alfrida"/>
    <x v="27"/>
    <x v="1"/>
    <x v="62"/>
    <x v="5"/>
    <x v="1"/>
    <n v="347082"/>
    <x v="133"/>
    <m/>
    <s v=""/>
    <x v="0"/>
    <x v="15"/>
    <x v="0"/>
    <x v="1"/>
  </r>
  <r>
    <n v="851"/>
    <x v="0"/>
    <x v="2"/>
    <s v="Andersson, Master. Sigvard Harald Elias"/>
    <x v="6"/>
    <x v="0"/>
    <x v="41"/>
    <x v="5"/>
    <x v="1"/>
    <n v="347082"/>
    <x v="133"/>
    <m/>
    <s v=""/>
    <x v="0"/>
    <x v="15"/>
    <x v="0"/>
    <x v="1"/>
  </r>
  <r>
    <n v="611"/>
    <x v="0"/>
    <x v="2"/>
    <s v="Andersson, Mrs. Anders Johan (Alfrida Konstantia Brogren)"/>
    <x v="43"/>
    <x v="1"/>
    <x v="24"/>
    <x v="0"/>
    <x v="5"/>
    <n v="347082"/>
    <x v="133"/>
    <m/>
    <s v=""/>
    <x v="0"/>
    <x v="15"/>
    <x v="0"/>
    <x v="1"/>
  </r>
  <r>
    <n v="142"/>
    <x v="1"/>
    <x v="2"/>
    <s v="Nysten, Miss. Anna Sofia"/>
    <x v="22"/>
    <x v="1"/>
    <x v="13"/>
    <x v="1"/>
    <x v="0"/>
    <n v="347081"/>
    <x v="12"/>
    <m/>
    <s v=""/>
    <x v="0"/>
    <x v="15"/>
    <x v="0"/>
    <x v="1"/>
  </r>
  <r>
    <n v="488"/>
    <x v="0"/>
    <x v="1"/>
    <s v="Kent, Mr. Edward Austin"/>
    <x v="1"/>
    <x v="0"/>
    <x v="42"/>
    <x v="1"/>
    <x v="0"/>
    <n v="11771"/>
    <x v="44"/>
    <s v="B37"/>
    <s v="37"/>
    <x v="38"/>
    <x v="5"/>
    <x v="1"/>
    <x v="0"/>
  </r>
  <r>
    <n v="424"/>
    <x v="0"/>
    <x v="2"/>
    <s v="Danbom, Mrs. Ernst Gilbert (Anna Sigrid Maria Brogren)"/>
    <x v="44"/>
    <x v="1"/>
    <x v="22"/>
    <x v="0"/>
    <x v="2"/>
    <n v="347080"/>
    <x v="135"/>
    <m/>
    <s v=""/>
    <x v="0"/>
    <x v="15"/>
    <x v="0"/>
    <x v="1"/>
  </r>
  <r>
    <n v="617"/>
    <x v="0"/>
    <x v="2"/>
    <s v="Danbom, Mr. Ernst Gilbert"/>
    <x v="0"/>
    <x v="0"/>
    <x v="51"/>
    <x v="0"/>
    <x v="2"/>
    <n v="347080"/>
    <x v="135"/>
    <m/>
    <s v=""/>
    <x v="0"/>
    <x v="15"/>
    <x v="0"/>
    <x v="1"/>
  </r>
  <r>
    <n v="45"/>
    <x v="1"/>
    <x v="2"/>
    <s v="Devaney, Miss. Margaret Delia"/>
    <x v="21"/>
    <x v="1"/>
    <x v="16"/>
    <x v="1"/>
    <x v="0"/>
    <n v="330958"/>
    <x v="136"/>
    <m/>
    <s v=""/>
    <x v="0"/>
    <x v="35"/>
    <x v="0"/>
    <x v="2"/>
  </r>
  <r>
    <n v="776"/>
    <x v="0"/>
    <x v="2"/>
    <s v="Myhrman, Mr. Pehr Fabian Oliver Malkolm"/>
    <x v="6"/>
    <x v="0"/>
    <x v="29"/>
    <x v="1"/>
    <x v="0"/>
    <n v="347078"/>
    <x v="12"/>
    <m/>
    <s v=""/>
    <x v="0"/>
    <x v="15"/>
    <x v="0"/>
    <x v="1"/>
  </r>
  <r>
    <n v="26"/>
    <x v="1"/>
    <x v="2"/>
    <s v="Asplund, Mrs. Carl Oscar (Selma Augusta Emilia Johansson)"/>
    <x v="43"/>
    <x v="1"/>
    <x v="14"/>
    <x v="0"/>
    <x v="5"/>
    <n v="347077"/>
    <x v="137"/>
    <m/>
    <s v=""/>
    <x v="0"/>
    <x v="15"/>
    <x v="0"/>
    <x v="1"/>
  </r>
  <r>
    <n v="183"/>
    <x v="0"/>
    <x v="2"/>
    <s v="Asplund, Master. Clarence Gustaf Hugo"/>
    <x v="31"/>
    <x v="0"/>
    <x v="8"/>
    <x v="5"/>
    <x v="1"/>
    <n v="347077"/>
    <x v="137"/>
    <m/>
    <s v=""/>
    <x v="0"/>
    <x v="15"/>
    <x v="0"/>
    <x v="1"/>
  </r>
  <r>
    <n v="234"/>
    <x v="1"/>
    <x v="2"/>
    <s v="Asplund, Miss. Lillian Gertrud"/>
    <x v="20"/>
    <x v="1"/>
    <x v="50"/>
    <x v="5"/>
    <x v="1"/>
    <n v="347077"/>
    <x v="137"/>
    <m/>
    <s v=""/>
    <x v="0"/>
    <x v="15"/>
    <x v="0"/>
    <x v="1"/>
  </r>
  <r>
    <n v="262"/>
    <x v="1"/>
    <x v="2"/>
    <s v="Asplund, Master. Edvin Rojj Felix"/>
    <x v="37"/>
    <x v="0"/>
    <x v="12"/>
    <x v="5"/>
    <x v="1"/>
    <n v="347077"/>
    <x v="137"/>
    <m/>
    <s v=""/>
    <x v="0"/>
    <x v="15"/>
    <x v="0"/>
    <x v="1"/>
  </r>
  <r>
    <n v="443"/>
    <x v="0"/>
    <x v="2"/>
    <s v="Petterson, Mr. Johan Emil"/>
    <x v="0"/>
    <x v="0"/>
    <x v="17"/>
    <x v="0"/>
    <x v="0"/>
    <n v="347076"/>
    <x v="121"/>
    <m/>
    <s v=""/>
    <x v="0"/>
    <x v="15"/>
    <x v="0"/>
    <x v="1"/>
  </r>
  <r>
    <n v="765"/>
    <x v="0"/>
    <x v="2"/>
    <s v="Eklund, Mr. Hans Linus"/>
    <x v="5"/>
    <x v="0"/>
    <x v="6"/>
    <x v="1"/>
    <x v="0"/>
    <n v="347074"/>
    <x v="121"/>
    <m/>
    <s v=""/>
    <x v="0"/>
    <x v="15"/>
    <x v="0"/>
    <x v="1"/>
  </r>
  <r>
    <n v="277"/>
    <x v="0"/>
    <x v="2"/>
    <s v="Lindblom, Miss. Augusta Charlotta"/>
    <x v="37"/>
    <x v="1"/>
    <x v="44"/>
    <x v="1"/>
    <x v="0"/>
    <n v="347073"/>
    <x v="12"/>
    <m/>
    <s v=""/>
    <x v="0"/>
    <x v="15"/>
    <x v="0"/>
    <x v="1"/>
  </r>
  <r>
    <n v="311"/>
    <x v="1"/>
    <x v="1"/>
    <s v="Hays, Miss. Margaret Bechstein"/>
    <x v="20"/>
    <x v="1"/>
    <x v="21"/>
    <x v="1"/>
    <x v="0"/>
    <n v="11767"/>
    <x v="27"/>
    <s v="C54"/>
    <s v="54"/>
    <x v="53"/>
    <x v="5"/>
    <x v="5"/>
    <x v="0"/>
  </r>
  <r>
    <n v="247"/>
    <x v="0"/>
    <x v="2"/>
    <s v="Lindahl, Miss. Agda Thorilda Viktoria"/>
    <x v="31"/>
    <x v="1"/>
    <x v="17"/>
    <x v="1"/>
    <x v="0"/>
    <n v="347071"/>
    <x v="121"/>
    <m/>
    <s v=""/>
    <x v="0"/>
    <x v="15"/>
    <x v="0"/>
    <x v="1"/>
  </r>
  <r>
    <n v="880"/>
    <x v="1"/>
    <x v="1"/>
    <s v="Potter, Mrs. Thomas Jr (Lily Alexenia Wilson)"/>
    <x v="36"/>
    <x v="1"/>
    <x v="55"/>
    <x v="1"/>
    <x v="2"/>
    <n v="11767"/>
    <x v="27"/>
    <s v="C50"/>
    <s v="50"/>
    <x v="48"/>
    <x v="5"/>
    <x v="5"/>
    <x v="0"/>
  </r>
  <r>
    <n v="380"/>
    <x v="0"/>
    <x v="2"/>
    <s v="Gustafsson, Mr. Karl Gideon"/>
    <x v="4"/>
    <x v="0"/>
    <x v="16"/>
    <x v="1"/>
    <x v="0"/>
    <n v="347069"/>
    <x v="121"/>
    <m/>
    <s v=""/>
    <x v="0"/>
    <x v="15"/>
    <x v="0"/>
    <x v="1"/>
  </r>
  <r>
    <n v="163"/>
    <x v="0"/>
    <x v="2"/>
    <s v="Bengtsson, Mr. John Viktor"/>
    <x v="9"/>
    <x v="0"/>
    <x v="20"/>
    <x v="1"/>
    <x v="0"/>
    <n v="347068"/>
    <x v="121"/>
    <m/>
    <s v=""/>
    <x v="0"/>
    <x v="15"/>
    <x v="0"/>
    <x v="1"/>
  </r>
  <r>
    <n v="232"/>
    <x v="0"/>
    <x v="2"/>
    <s v="Larsson, Mr. Bengt Edvin"/>
    <x v="22"/>
    <x v="0"/>
    <x v="0"/>
    <x v="1"/>
    <x v="0"/>
    <n v="347067"/>
    <x v="121"/>
    <m/>
    <s v=""/>
    <x v="0"/>
    <x v="15"/>
    <x v="0"/>
    <x v="1"/>
  </r>
  <r>
    <n v="407"/>
    <x v="0"/>
    <x v="2"/>
    <s v="Widegren, Mr. Carl/Charles Peter"/>
    <x v="7"/>
    <x v="0"/>
    <x v="38"/>
    <x v="1"/>
    <x v="0"/>
    <n v="347064"/>
    <x v="12"/>
    <m/>
    <s v=""/>
    <x v="0"/>
    <x v="15"/>
    <x v="0"/>
    <x v="1"/>
  </r>
  <r>
    <n v="806"/>
    <x v="0"/>
    <x v="2"/>
    <s v="Johansson, Mr. Karl Johan"/>
    <x v="0"/>
    <x v="0"/>
    <x v="19"/>
    <x v="1"/>
    <x v="0"/>
    <n v="347063"/>
    <x v="121"/>
    <m/>
    <s v=""/>
    <x v="0"/>
    <x v="15"/>
    <x v="0"/>
    <x v="1"/>
  </r>
  <r>
    <n v="720"/>
    <x v="0"/>
    <x v="2"/>
    <s v="Johnson, Mr. Malkolm Joackim"/>
    <x v="2"/>
    <x v="0"/>
    <x v="33"/>
    <x v="1"/>
    <x v="0"/>
    <n v="347062"/>
    <x v="121"/>
    <m/>
    <s v=""/>
    <x v="0"/>
    <x v="15"/>
    <x v="0"/>
    <x v="1"/>
  </r>
  <r>
    <n v="130"/>
    <x v="0"/>
    <x v="2"/>
    <s v="Ekstrom, Mr. Johan"/>
    <x v="3"/>
    <x v="0"/>
    <x v="44"/>
    <x v="1"/>
    <x v="0"/>
    <n v="347061"/>
    <x v="131"/>
    <m/>
    <s v=""/>
    <x v="0"/>
    <x v="15"/>
    <x v="0"/>
    <x v="1"/>
  </r>
  <r>
    <n v="852"/>
    <x v="0"/>
    <x v="2"/>
    <s v="Svensson, Mr. Johan"/>
    <x v="13"/>
    <x v="0"/>
    <x v="67"/>
    <x v="1"/>
    <x v="0"/>
    <n v="347060"/>
    <x v="121"/>
    <m/>
    <s v=""/>
    <x v="0"/>
    <x v="15"/>
    <x v="0"/>
    <x v="1"/>
  </r>
  <r>
    <n v="371"/>
    <x v="1"/>
    <x v="1"/>
    <s v="Harder, Mr. George Achilles"/>
    <x v="4"/>
    <x v="0"/>
    <x v="17"/>
    <x v="0"/>
    <x v="0"/>
    <n v="11765"/>
    <x v="138"/>
    <s v="E50"/>
    <s v="50"/>
    <x v="48"/>
    <x v="5"/>
    <x v="2"/>
    <x v="0"/>
  </r>
  <r>
    <n v="206"/>
    <x v="0"/>
    <x v="2"/>
    <s v="Strom, Miss. Telma Matilda"/>
    <x v="9"/>
    <x v="1"/>
    <x v="61"/>
    <x v="1"/>
    <x v="2"/>
    <n v="347054"/>
    <x v="139"/>
    <s v="G6"/>
    <s v="6"/>
    <x v="0"/>
    <x v="15"/>
    <x v="7"/>
    <x v="1"/>
  </r>
  <r>
    <n v="252"/>
    <x v="0"/>
    <x v="2"/>
    <s v="Strom, Mrs. Wilhelm (Elna Matilda Persson)"/>
    <x v="24"/>
    <x v="1"/>
    <x v="0"/>
    <x v="0"/>
    <x v="2"/>
    <n v="347054"/>
    <x v="139"/>
    <s v="G6"/>
    <s v="6"/>
    <x v="0"/>
    <x v="15"/>
    <x v="7"/>
    <x v="1"/>
  </r>
  <r>
    <n v="356"/>
    <x v="0"/>
    <x v="2"/>
    <s v="Vanden Steen, Mr. Leo Peter"/>
    <x v="4"/>
    <x v="0"/>
    <x v="22"/>
    <x v="1"/>
    <x v="0"/>
    <n v="345783"/>
    <x v="140"/>
    <m/>
    <s v=""/>
    <x v="0"/>
    <x v="15"/>
    <x v="0"/>
    <x v="1"/>
  </r>
  <r>
    <n v="771"/>
    <x v="0"/>
    <x v="2"/>
    <s v="Lievens, Mr. Rene Aime"/>
    <x v="5"/>
    <x v="0"/>
    <x v="21"/>
    <x v="1"/>
    <x v="0"/>
    <n v="345781"/>
    <x v="140"/>
    <m/>
    <s v=""/>
    <x v="0"/>
    <x v="15"/>
    <x v="0"/>
    <x v="1"/>
  </r>
  <r>
    <n v="753"/>
    <x v="0"/>
    <x v="2"/>
    <s v="Vande Velde, Mr. Johannes Joseph"/>
    <x v="7"/>
    <x v="0"/>
    <x v="33"/>
    <x v="1"/>
    <x v="0"/>
    <n v="345780"/>
    <x v="140"/>
    <m/>
    <s v=""/>
    <x v="0"/>
    <x v="15"/>
    <x v="0"/>
    <x v="1"/>
  </r>
  <r>
    <n v="82"/>
    <x v="1"/>
    <x v="2"/>
    <s v="Sheerlinck, Mr. Jan Baptist"/>
    <x v="4"/>
    <x v="0"/>
    <x v="0"/>
    <x v="1"/>
    <x v="0"/>
    <n v="345779"/>
    <x v="140"/>
    <m/>
    <s v=""/>
    <x v="0"/>
    <x v="15"/>
    <x v="0"/>
    <x v="1"/>
  </r>
  <r>
    <n v="283"/>
    <x v="0"/>
    <x v="2"/>
    <s v="de Pelsmaeker, Mr. Alfons"/>
    <x v="0"/>
    <x v="0"/>
    <x v="6"/>
    <x v="1"/>
    <x v="0"/>
    <n v="345778"/>
    <x v="140"/>
    <m/>
    <s v=""/>
    <x v="0"/>
    <x v="15"/>
    <x v="0"/>
    <x v="1"/>
  </r>
  <r>
    <n v="869"/>
    <x v="0"/>
    <x v="2"/>
    <s v="van Melkebeke, Mr. Philemon"/>
    <x v="4"/>
    <x v="0"/>
    <x v="5"/>
    <x v="1"/>
    <x v="0"/>
    <n v="345777"/>
    <x v="140"/>
    <m/>
    <s v=""/>
    <x v="0"/>
    <x v="15"/>
    <x v="0"/>
    <x v="1"/>
  </r>
  <r>
    <n v="287"/>
    <x v="1"/>
    <x v="2"/>
    <s v="de Mulder, Mr. Theodore"/>
    <x v="1"/>
    <x v="0"/>
    <x v="3"/>
    <x v="1"/>
    <x v="0"/>
    <n v="345774"/>
    <x v="140"/>
    <m/>
    <s v=""/>
    <x v="0"/>
    <x v="15"/>
    <x v="0"/>
    <x v="1"/>
  </r>
  <r>
    <n v="420"/>
    <x v="0"/>
    <x v="2"/>
    <s v="Van Impe, Miss. Catharina"/>
    <x v="0"/>
    <x v="1"/>
    <x v="65"/>
    <x v="1"/>
    <x v="1"/>
    <n v="345773"/>
    <x v="101"/>
    <m/>
    <s v=""/>
    <x v="0"/>
    <x v="15"/>
    <x v="0"/>
    <x v="1"/>
  </r>
  <r>
    <n v="596"/>
    <x v="0"/>
    <x v="2"/>
    <s v="Van Impe, Mr. Jean Baptiste"/>
    <x v="4"/>
    <x v="0"/>
    <x v="1"/>
    <x v="0"/>
    <x v="2"/>
    <n v="345773"/>
    <x v="101"/>
    <m/>
    <s v=""/>
    <x v="0"/>
    <x v="15"/>
    <x v="0"/>
    <x v="1"/>
  </r>
  <r>
    <n v="800"/>
    <x v="0"/>
    <x v="2"/>
    <s v="Van Impe, Mrs. Jean Baptiste (Rosalie Paula Govaert)"/>
    <x v="19"/>
    <x v="1"/>
    <x v="3"/>
    <x v="0"/>
    <x v="2"/>
    <n v="345773"/>
    <x v="101"/>
    <m/>
    <s v=""/>
    <x v="0"/>
    <x v="15"/>
    <x v="0"/>
    <x v="1"/>
  </r>
  <r>
    <n v="201"/>
    <x v="0"/>
    <x v="2"/>
    <s v="Vande Walle, Mr. Nestor Cyriel"/>
    <x v="20"/>
    <x v="0"/>
    <x v="22"/>
    <x v="1"/>
    <x v="0"/>
    <n v="345770"/>
    <x v="140"/>
    <m/>
    <s v=""/>
    <x v="0"/>
    <x v="15"/>
    <x v="0"/>
    <x v="1"/>
  </r>
  <r>
    <n v="442"/>
    <x v="0"/>
    <x v="2"/>
    <s v="Hampe, Mr. Leon"/>
    <x v="25"/>
    <x v="0"/>
    <x v="25"/>
    <x v="1"/>
    <x v="0"/>
    <n v="345769"/>
    <x v="140"/>
    <m/>
    <s v=""/>
    <x v="0"/>
    <x v="15"/>
    <x v="0"/>
    <x v="1"/>
  </r>
  <r>
    <n v="81"/>
    <x v="0"/>
    <x v="2"/>
    <s v="Waelens, Mr. Achille"/>
    <x v="15"/>
    <x v="0"/>
    <x v="13"/>
    <x v="1"/>
    <x v="0"/>
    <n v="345767"/>
    <x v="141"/>
    <m/>
    <s v=""/>
    <x v="0"/>
    <x v="15"/>
    <x v="0"/>
    <x v="1"/>
  </r>
  <r>
    <n v="874"/>
    <x v="0"/>
    <x v="2"/>
    <s v="Vander Cruyssen, Mr. Victor"/>
    <x v="4"/>
    <x v="0"/>
    <x v="58"/>
    <x v="1"/>
    <x v="0"/>
    <n v="345765"/>
    <x v="141"/>
    <m/>
    <s v=""/>
    <x v="0"/>
    <x v="15"/>
    <x v="0"/>
    <x v="1"/>
  </r>
  <r>
    <n v="39"/>
    <x v="0"/>
    <x v="2"/>
    <s v="Vander Planke, Miss. Augusta Maria"/>
    <x v="27"/>
    <x v="1"/>
    <x v="29"/>
    <x v="2"/>
    <x v="0"/>
    <n v="345764"/>
    <x v="142"/>
    <m/>
    <s v=""/>
    <x v="0"/>
    <x v="15"/>
    <x v="0"/>
    <x v="1"/>
  </r>
  <r>
    <n v="334"/>
    <x v="0"/>
    <x v="2"/>
    <s v="Vander Planke, Mr. Leo Edmondus"/>
    <x v="14"/>
    <x v="0"/>
    <x v="6"/>
    <x v="2"/>
    <x v="0"/>
    <n v="345764"/>
    <x v="142"/>
    <m/>
    <s v=""/>
    <x v="0"/>
    <x v="15"/>
    <x v="0"/>
    <x v="1"/>
  </r>
  <r>
    <n v="557"/>
    <x v="1"/>
    <x v="1"/>
    <s v="Duff Gordon, Lady. (Lucille Christiana Sutherland) (&quot;Mrs Morgan&quot;)"/>
    <x v="45"/>
    <x v="1"/>
    <x v="7"/>
    <x v="0"/>
    <x v="0"/>
    <n v="11755"/>
    <x v="78"/>
    <s v="A16"/>
    <s v="16"/>
    <x v="54"/>
    <x v="5"/>
    <x v="6"/>
    <x v="0"/>
  </r>
  <r>
    <n v="19"/>
    <x v="0"/>
    <x v="2"/>
    <s v="Vander Planke, Mrs. Julius (Emelia Maria Vandemoortele)"/>
    <x v="42"/>
    <x v="1"/>
    <x v="19"/>
    <x v="0"/>
    <x v="0"/>
    <n v="345763"/>
    <x v="142"/>
    <m/>
    <s v=""/>
    <x v="0"/>
    <x v="15"/>
    <x v="0"/>
    <x v="1"/>
  </r>
  <r>
    <n v="560"/>
    <x v="1"/>
    <x v="2"/>
    <s v="de Messemaeker, Mrs. Guillaume Joseph (Emma)"/>
    <x v="17"/>
    <x v="1"/>
    <x v="1"/>
    <x v="0"/>
    <x v="0"/>
    <n v="345572"/>
    <x v="143"/>
    <m/>
    <s v=""/>
    <x v="0"/>
    <x v="15"/>
    <x v="0"/>
    <x v="1"/>
  </r>
  <r>
    <n v="585"/>
    <x v="0"/>
    <x v="2"/>
    <s v="Paulner, Mr. Uscher"/>
    <x v="13"/>
    <x v="0"/>
    <x v="5"/>
    <x v="1"/>
    <x v="0"/>
    <n v="3411"/>
    <x v="144"/>
    <m/>
    <s v=""/>
    <x v="0"/>
    <x v="15"/>
    <x v="0"/>
    <x v="0"/>
  </r>
  <r>
    <n v="327"/>
    <x v="0"/>
    <x v="2"/>
    <s v="Nysveen, Mr. Johan Hansen"/>
    <x v="0"/>
    <x v="0"/>
    <x v="68"/>
    <x v="1"/>
    <x v="0"/>
    <n v="345364"/>
    <x v="145"/>
    <m/>
    <s v=""/>
    <x v="0"/>
    <x v="15"/>
    <x v="0"/>
    <x v="1"/>
  </r>
  <r>
    <n v="117"/>
    <x v="0"/>
    <x v="2"/>
    <s v="Connors, Mr. Patrick"/>
    <x v="15"/>
    <x v="0"/>
    <x v="69"/>
    <x v="1"/>
    <x v="0"/>
    <n v="370369"/>
    <x v="12"/>
    <m/>
    <s v=""/>
    <x v="0"/>
    <x v="31"/>
    <x v="0"/>
    <x v="2"/>
  </r>
  <r>
    <n v="91"/>
    <x v="0"/>
    <x v="2"/>
    <s v="Christmann, Mr. Emil"/>
    <x v="15"/>
    <x v="0"/>
    <x v="0"/>
    <x v="1"/>
    <x v="0"/>
    <n v="343276"/>
    <x v="25"/>
    <m/>
    <s v=""/>
    <x v="0"/>
    <x v="15"/>
    <x v="0"/>
    <x v="1"/>
  </r>
  <r>
    <n v="525"/>
    <x v="0"/>
    <x v="2"/>
    <s v="Kassem, Mr. Fared"/>
    <x v="28"/>
    <x v="0"/>
    <x v="5"/>
    <x v="1"/>
    <x v="0"/>
    <n v="2700"/>
    <x v="146"/>
    <m/>
    <s v=""/>
    <x v="0"/>
    <x v="36"/>
    <x v="0"/>
    <x v="0"/>
  </r>
  <r>
    <n v="90"/>
    <x v="0"/>
    <x v="2"/>
    <s v="Celotti, Mr. Francesco"/>
    <x v="5"/>
    <x v="0"/>
    <x v="21"/>
    <x v="1"/>
    <x v="0"/>
    <n v="343275"/>
    <x v="25"/>
    <m/>
    <s v=""/>
    <x v="0"/>
    <x v="15"/>
    <x v="0"/>
    <x v="1"/>
  </r>
  <r>
    <n v="107"/>
    <x v="1"/>
    <x v="2"/>
    <s v="Salkjelsvik, Miss. Anna Kristine"/>
    <x v="7"/>
    <x v="1"/>
    <x v="9"/>
    <x v="1"/>
    <x v="0"/>
    <n v="343120"/>
    <x v="129"/>
    <m/>
    <s v=""/>
    <x v="0"/>
    <x v="15"/>
    <x v="0"/>
    <x v="1"/>
  </r>
  <r>
    <n v="208"/>
    <x v="1"/>
    <x v="2"/>
    <s v="Albimona, Mr. Nassef Cassem"/>
    <x v="4"/>
    <x v="0"/>
    <x v="20"/>
    <x v="1"/>
    <x v="0"/>
    <n v="2699"/>
    <x v="147"/>
    <m/>
    <s v=""/>
    <x v="0"/>
    <x v="37"/>
    <x v="0"/>
    <x v="0"/>
  </r>
  <r>
    <n v="416"/>
    <x v="0"/>
    <x v="2"/>
    <s v="Meek, Mrs. Thomas (Annie Louise Rowley)"/>
    <x v="6"/>
    <x v="1"/>
    <x v="5"/>
    <x v="1"/>
    <x v="0"/>
    <n v="343095"/>
    <x v="25"/>
    <m/>
    <s v=""/>
    <x v="0"/>
    <x v="15"/>
    <x v="0"/>
    <x v="1"/>
  </r>
  <r>
    <n v="677"/>
    <x v="0"/>
    <x v="2"/>
    <s v="Sawyer, Mr. Frederick Charles"/>
    <x v="21"/>
    <x v="0"/>
    <x v="70"/>
    <x v="1"/>
    <x v="0"/>
    <n v="342826"/>
    <x v="25"/>
    <m/>
    <s v=""/>
    <x v="0"/>
    <x v="15"/>
    <x v="0"/>
    <x v="1"/>
  </r>
  <r>
    <n v="402"/>
    <x v="0"/>
    <x v="2"/>
    <s v="Adams, Mr. John"/>
    <x v="25"/>
    <x v="0"/>
    <x v="20"/>
    <x v="1"/>
    <x v="0"/>
    <n v="341826"/>
    <x v="25"/>
    <m/>
    <s v=""/>
    <x v="0"/>
    <x v="15"/>
    <x v="0"/>
    <x v="1"/>
  </r>
  <r>
    <n v="113"/>
    <x v="0"/>
    <x v="2"/>
    <s v="Barton, Mr. David John"/>
    <x v="5"/>
    <x v="0"/>
    <x v="13"/>
    <x v="1"/>
    <x v="0"/>
    <n v="324669"/>
    <x v="25"/>
    <m/>
    <s v=""/>
    <x v="0"/>
    <x v="38"/>
    <x v="0"/>
    <x v="1"/>
  </r>
  <r>
    <n v="373"/>
    <x v="0"/>
    <x v="2"/>
    <s v="Beavan, Mr. William Thomas"/>
    <x v="9"/>
    <x v="0"/>
    <x v="16"/>
    <x v="1"/>
    <x v="0"/>
    <n v="323951"/>
    <x v="25"/>
    <m/>
    <s v=""/>
    <x v="0"/>
    <x v="38"/>
    <x v="0"/>
    <x v="1"/>
  </r>
  <r>
    <n v="144"/>
    <x v="0"/>
    <x v="2"/>
    <s v="Burke, Mr. Jeremiah"/>
    <x v="13"/>
    <x v="0"/>
    <x v="16"/>
    <x v="1"/>
    <x v="0"/>
    <n v="365222"/>
    <x v="148"/>
    <m/>
    <s v=""/>
    <x v="0"/>
    <x v="21"/>
    <x v="0"/>
    <x v="2"/>
  </r>
  <r>
    <n v="471"/>
    <x v="0"/>
    <x v="2"/>
    <s v="Keefe, Mr. Arthur"/>
    <x v="28"/>
    <x v="0"/>
    <x v="5"/>
    <x v="1"/>
    <x v="0"/>
    <n v="323592"/>
    <x v="30"/>
    <m/>
    <s v=""/>
    <x v="0"/>
    <x v="38"/>
    <x v="0"/>
    <x v="1"/>
  </r>
  <r>
    <n v="185"/>
    <x v="1"/>
    <x v="2"/>
    <s v="Kink-Heilmann, Miss. Luise Gretchen"/>
    <x v="40"/>
    <x v="1"/>
    <x v="41"/>
    <x v="1"/>
    <x v="1"/>
    <n v="315153"/>
    <x v="149"/>
    <m/>
    <s v=""/>
    <x v="0"/>
    <x v="28"/>
    <x v="0"/>
    <x v="1"/>
  </r>
  <r>
    <n v="70"/>
    <x v="0"/>
    <x v="2"/>
    <s v="Kink, Mr. Vincenz"/>
    <x v="28"/>
    <x v="0"/>
    <x v="20"/>
    <x v="2"/>
    <x v="0"/>
    <n v="315151"/>
    <x v="67"/>
    <m/>
    <s v=""/>
    <x v="0"/>
    <x v="28"/>
    <x v="0"/>
    <x v="1"/>
  </r>
  <r>
    <n v="822"/>
    <x v="1"/>
    <x v="2"/>
    <s v="Lulic, Mr. Nikola"/>
    <x v="28"/>
    <x v="0"/>
    <x v="10"/>
    <x v="1"/>
    <x v="0"/>
    <n v="315098"/>
    <x v="67"/>
    <m/>
    <s v=""/>
    <x v="0"/>
    <x v="28"/>
    <x v="0"/>
    <x v="1"/>
  </r>
  <r>
    <n v="157"/>
    <x v="1"/>
    <x v="2"/>
    <s v="Gilnagh, Miss. Katherine &quot;Katie&quot;"/>
    <x v="7"/>
    <x v="1"/>
    <x v="6"/>
    <x v="1"/>
    <x v="0"/>
    <n v="35851"/>
    <x v="150"/>
    <m/>
    <s v=""/>
    <x v="0"/>
    <x v="22"/>
    <x v="0"/>
    <x v="2"/>
  </r>
  <r>
    <n v="837"/>
    <x v="0"/>
    <x v="2"/>
    <s v="Pasic, Mr. Jakob"/>
    <x v="10"/>
    <x v="0"/>
    <x v="9"/>
    <x v="1"/>
    <x v="0"/>
    <n v="315097"/>
    <x v="67"/>
    <m/>
    <s v=""/>
    <x v="0"/>
    <x v="28"/>
    <x v="0"/>
    <x v="1"/>
  </r>
  <r>
    <n v="405"/>
    <x v="0"/>
    <x v="2"/>
    <s v="Oreskovic, Miss. Marija"/>
    <x v="1"/>
    <x v="1"/>
    <x v="25"/>
    <x v="1"/>
    <x v="0"/>
    <n v="315096"/>
    <x v="67"/>
    <m/>
    <s v=""/>
    <x v="0"/>
    <x v="28"/>
    <x v="0"/>
    <x v="1"/>
  </r>
  <r>
    <n v="726"/>
    <x v="0"/>
    <x v="2"/>
    <s v="Oreskovic, Mr. Luka"/>
    <x v="13"/>
    <x v="0"/>
    <x v="25"/>
    <x v="1"/>
    <x v="0"/>
    <n v="315094"/>
    <x v="67"/>
    <m/>
    <s v=""/>
    <x v="0"/>
    <x v="28"/>
    <x v="0"/>
    <x v="1"/>
  </r>
  <r>
    <n v="164"/>
    <x v="0"/>
    <x v="2"/>
    <s v="Calic, Mr. Jovo"/>
    <x v="25"/>
    <x v="0"/>
    <x v="18"/>
    <x v="1"/>
    <x v="0"/>
    <n v="315093"/>
    <x v="67"/>
    <m/>
    <s v=""/>
    <x v="0"/>
    <x v="28"/>
    <x v="0"/>
    <x v="1"/>
  </r>
  <r>
    <n v="302"/>
    <x v="1"/>
    <x v="2"/>
    <s v="McCoy, Mr. Bernard"/>
    <x v="3"/>
    <x v="0"/>
    <x v="5"/>
    <x v="2"/>
    <x v="0"/>
    <n v="367226"/>
    <x v="151"/>
    <m/>
    <s v=""/>
    <x v="0"/>
    <x v="21"/>
    <x v="0"/>
    <x v="2"/>
  </r>
  <r>
    <n v="845"/>
    <x v="0"/>
    <x v="2"/>
    <s v="Culumovic, Mr. Jeso"/>
    <x v="13"/>
    <x v="0"/>
    <x v="18"/>
    <x v="1"/>
    <x v="0"/>
    <n v="315090"/>
    <x v="67"/>
    <m/>
    <s v=""/>
    <x v="0"/>
    <x v="28"/>
    <x v="0"/>
    <x v="1"/>
  </r>
  <r>
    <n v="472"/>
    <x v="0"/>
    <x v="2"/>
    <s v="Cacic, Mr. Luka"/>
    <x v="25"/>
    <x v="0"/>
    <x v="14"/>
    <x v="1"/>
    <x v="0"/>
    <n v="315089"/>
    <x v="67"/>
    <m/>
    <s v=""/>
    <x v="0"/>
    <x v="28"/>
    <x v="0"/>
    <x v="1"/>
  </r>
  <r>
    <n v="350"/>
    <x v="0"/>
    <x v="2"/>
    <s v="Dimic, Mr. Jovan"/>
    <x v="10"/>
    <x v="0"/>
    <x v="30"/>
    <x v="1"/>
    <x v="0"/>
    <n v="315088"/>
    <x v="67"/>
    <m/>
    <s v=""/>
    <x v="0"/>
    <x v="28"/>
    <x v="0"/>
    <x v="1"/>
  </r>
  <r>
    <n v="331"/>
    <x v="1"/>
    <x v="2"/>
    <s v="McCoy, Miss. Agnes"/>
    <x v="3"/>
    <x v="1"/>
    <x v="5"/>
    <x v="2"/>
    <x v="0"/>
    <n v="367226"/>
    <x v="151"/>
    <m/>
    <s v=""/>
    <x v="0"/>
    <x v="21"/>
    <x v="0"/>
    <x v="2"/>
  </r>
  <r>
    <n v="501"/>
    <x v="0"/>
    <x v="2"/>
    <s v="Calic, Mr. Petar"/>
    <x v="10"/>
    <x v="0"/>
    <x v="18"/>
    <x v="1"/>
    <x v="0"/>
    <n v="315086"/>
    <x v="67"/>
    <m/>
    <s v=""/>
    <x v="0"/>
    <x v="28"/>
    <x v="0"/>
    <x v="1"/>
  </r>
  <r>
    <n v="535"/>
    <x v="0"/>
    <x v="2"/>
    <s v="Cacic, Miss. Marija"/>
    <x v="13"/>
    <x v="1"/>
    <x v="3"/>
    <x v="1"/>
    <x v="0"/>
    <n v="315084"/>
    <x v="67"/>
    <m/>
    <s v=""/>
    <x v="0"/>
    <x v="28"/>
    <x v="0"/>
    <x v="1"/>
  </r>
  <r>
    <n v="423"/>
    <x v="0"/>
    <x v="2"/>
    <s v="Zimmerman, Mr. Leo"/>
    <x v="3"/>
    <x v="0"/>
    <x v="0"/>
    <x v="1"/>
    <x v="0"/>
    <n v="315082"/>
    <x v="152"/>
    <m/>
    <s v=""/>
    <x v="0"/>
    <x v="28"/>
    <x v="0"/>
    <x v="1"/>
  </r>
  <r>
    <n v="159"/>
    <x v="0"/>
    <x v="2"/>
    <s v="Smiljanic, Mr. Mile"/>
    <x v="13"/>
    <x v="0"/>
    <x v="5"/>
    <x v="1"/>
    <x v="0"/>
    <n v="315037"/>
    <x v="67"/>
    <m/>
    <s v=""/>
    <x v="0"/>
    <x v="28"/>
    <x v="0"/>
    <x v="1"/>
  </r>
  <r>
    <n v="17"/>
    <x v="0"/>
    <x v="2"/>
    <s v="Rice, Master. Eugene"/>
    <x v="15"/>
    <x v="0"/>
    <x v="61"/>
    <x v="5"/>
    <x v="2"/>
    <n v="382652"/>
    <x v="153"/>
    <m/>
    <s v=""/>
    <x v="0"/>
    <x v="4"/>
    <x v="0"/>
    <x v="2"/>
  </r>
  <r>
    <n v="668"/>
    <x v="0"/>
    <x v="2"/>
    <s v="Rommetvedt, Mr. Knud Paust"/>
    <x v="9"/>
    <x v="0"/>
    <x v="5"/>
    <x v="1"/>
    <x v="0"/>
    <n v="312993"/>
    <x v="121"/>
    <m/>
    <s v=""/>
    <x v="0"/>
    <x v="28"/>
    <x v="0"/>
    <x v="1"/>
  </r>
  <r>
    <n v="189"/>
    <x v="0"/>
    <x v="2"/>
    <s v="Bourke, Mr. John"/>
    <x v="10"/>
    <x v="0"/>
    <x v="37"/>
    <x v="0"/>
    <x v="2"/>
    <n v="364849"/>
    <x v="154"/>
    <m/>
    <s v=""/>
    <x v="0"/>
    <x v="21"/>
    <x v="0"/>
    <x v="2"/>
  </r>
  <r>
    <n v="409"/>
    <x v="0"/>
    <x v="2"/>
    <s v="Birkeland, Mr. Hans Martin Monsen"/>
    <x v="37"/>
    <x v="0"/>
    <x v="9"/>
    <x v="1"/>
    <x v="0"/>
    <n v="312992"/>
    <x v="121"/>
    <m/>
    <s v=""/>
    <x v="0"/>
    <x v="28"/>
    <x v="0"/>
    <x v="1"/>
  </r>
  <r>
    <n v="108"/>
    <x v="1"/>
    <x v="2"/>
    <s v="Moss, Mr. Albert Johan"/>
    <x v="5"/>
    <x v="0"/>
    <x v="5"/>
    <x v="1"/>
    <x v="0"/>
    <n v="312991"/>
    <x v="121"/>
    <m/>
    <s v=""/>
    <x v="0"/>
    <x v="28"/>
    <x v="0"/>
    <x v="1"/>
  </r>
  <r>
    <n v="172"/>
    <x v="0"/>
    <x v="2"/>
    <s v="Rice, Master. Arthur"/>
    <x v="15"/>
    <x v="0"/>
    <x v="41"/>
    <x v="5"/>
    <x v="2"/>
    <n v="382652"/>
    <x v="153"/>
    <m/>
    <s v=""/>
    <x v="0"/>
    <x v="4"/>
    <x v="0"/>
    <x v="2"/>
  </r>
  <r>
    <n v="428"/>
    <x v="1"/>
    <x v="0"/>
    <s v="Phillips, Miss. Kate Florence (&quot;Mrs Kate Louise Phillips Marshall&quot;)"/>
    <x v="46"/>
    <x v="1"/>
    <x v="16"/>
    <x v="1"/>
    <x v="0"/>
    <n v="250655"/>
    <x v="36"/>
    <m/>
    <s v=""/>
    <x v="0"/>
    <x v="39"/>
    <x v="0"/>
    <x v="1"/>
  </r>
  <r>
    <n v="279"/>
    <x v="0"/>
    <x v="2"/>
    <s v="Rice, Master. Eric"/>
    <x v="3"/>
    <x v="0"/>
    <x v="48"/>
    <x v="5"/>
    <x v="2"/>
    <n v="382652"/>
    <x v="153"/>
    <m/>
    <s v=""/>
    <x v="0"/>
    <x v="4"/>
    <x v="0"/>
    <x v="2"/>
  </r>
  <r>
    <n v="706"/>
    <x v="0"/>
    <x v="0"/>
    <s v="Morley, Mr. Henry Samuel (&quot;Mr Henry Marshall&quot;)"/>
    <x v="33"/>
    <x v="0"/>
    <x v="24"/>
    <x v="1"/>
    <x v="0"/>
    <n v="250655"/>
    <x v="36"/>
    <m/>
    <s v=""/>
    <x v="0"/>
    <x v="39"/>
    <x v="0"/>
    <x v="1"/>
  </r>
  <r>
    <n v="788"/>
    <x v="0"/>
    <x v="2"/>
    <s v="Rice, Master. George Hugh"/>
    <x v="0"/>
    <x v="0"/>
    <x v="54"/>
    <x v="5"/>
    <x v="2"/>
    <n v="382652"/>
    <x v="153"/>
    <m/>
    <s v=""/>
    <x v="0"/>
    <x v="4"/>
    <x v="0"/>
    <x v="2"/>
  </r>
  <r>
    <n v="179"/>
    <x v="0"/>
    <x v="0"/>
    <s v="Hale, Mr. Reginald"/>
    <x v="3"/>
    <x v="0"/>
    <x v="3"/>
    <x v="1"/>
    <x v="0"/>
    <n v="250653"/>
    <x v="91"/>
    <m/>
    <s v=""/>
    <x v="0"/>
    <x v="39"/>
    <x v="0"/>
    <x v="1"/>
  </r>
  <r>
    <n v="732"/>
    <x v="0"/>
    <x v="2"/>
    <s v="Hassan, Mr. Houssein G N"/>
    <x v="22"/>
    <x v="0"/>
    <x v="49"/>
    <x v="1"/>
    <x v="0"/>
    <n v="2699"/>
    <x v="147"/>
    <m/>
    <s v=""/>
    <x v="0"/>
    <x v="37"/>
    <x v="0"/>
    <x v="0"/>
  </r>
  <r>
    <n v="418"/>
    <x v="1"/>
    <x v="0"/>
    <s v="Silven, Miss. Lyyli Karoliina"/>
    <x v="21"/>
    <x v="1"/>
    <x v="29"/>
    <x v="1"/>
    <x v="1"/>
    <n v="250652"/>
    <x v="91"/>
    <m/>
    <s v=""/>
    <x v="0"/>
    <x v="39"/>
    <x v="0"/>
    <x v="1"/>
  </r>
  <r>
    <n v="313"/>
    <x v="0"/>
    <x v="0"/>
    <s v="Lahtinen, Mrs. William (Anna Sylfven)"/>
    <x v="31"/>
    <x v="1"/>
    <x v="20"/>
    <x v="0"/>
    <x v="2"/>
    <n v="250651"/>
    <x v="36"/>
    <m/>
    <s v=""/>
    <x v="0"/>
    <x v="39"/>
    <x v="0"/>
    <x v="1"/>
  </r>
  <r>
    <n v="58"/>
    <x v="0"/>
    <x v="2"/>
    <s v="Novel, Mr. Mansouer"/>
    <x v="13"/>
    <x v="0"/>
    <x v="71"/>
    <x v="1"/>
    <x v="0"/>
    <n v="2697"/>
    <x v="146"/>
    <m/>
    <s v=""/>
    <x v="0"/>
    <x v="37"/>
    <x v="0"/>
    <x v="0"/>
  </r>
  <r>
    <n v="209"/>
    <x v="1"/>
    <x v="2"/>
    <s v="Carr, Miss. Helen &quot;Ellen&quot;"/>
    <x v="0"/>
    <x v="1"/>
    <x v="6"/>
    <x v="1"/>
    <x v="0"/>
    <n v="367231"/>
    <x v="12"/>
    <m/>
    <s v=""/>
    <x v="0"/>
    <x v="21"/>
    <x v="0"/>
    <x v="2"/>
  </r>
  <r>
    <n v="248"/>
    <x v="1"/>
    <x v="0"/>
    <s v="Hamalainen, Mrs. William (Anna)"/>
    <x v="14"/>
    <x v="1"/>
    <x v="21"/>
    <x v="1"/>
    <x v="1"/>
    <n v="250649"/>
    <x v="98"/>
    <m/>
    <s v=""/>
    <x v="0"/>
    <x v="39"/>
    <x v="0"/>
    <x v="1"/>
  </r>
  <r>
    <n v="756"/>
    <x v="1"/>
    <x v="0"/>
    <s v="Hamalainen, Master. Viljo"/>
    <x v="0"/>
    <x v="0"/>
    <x v="72"/>
    <x v="0"/>
    <x v="2"/>
    <n v="250649"/>
    <x v="98"/>
    <m/>
    <s v=""/>
    <x v="0"/>
    <x v="39"/>
    <x v="0"/>
    <x v="1"/>
  </r>
  <r>
    <n v="748"/>
    <x v="1"/>
    <x v="0"/>
    <s v="Sinkkonen, Miss. Anna"/>
    <x v="18"/>
    <x v="1"/>
    <x v="3"/>
    <x v="1"/>
    <x v="0"/>
    <n v="250648"/>
    <x v="91"/>
    <m/>
    <s v=""/>
    <x v="0"/>
    <x v="39"/>
    <x v="0"/>
    <x v="1"/>
  </r>
  <r>
    <n v="715"/>
    <x v="0"/>
    <x v="0"/>
    <s v="Greenberg, Mr. Samuel"/>
    <x v="18"/>
    <x v="0"/>
    <x v="53"/>
    <x v="1"/>
    <x v="0"/>
    <n v="250647"/>
    <x v="91"/>
    <m/>
    <s v=""/>
    <x v="0"/>
    <x v="39"/>
    <x v="0"/>
    <x v="1"/>
  </r>
  <r>
    <n v="801"/>
    <x v="0"/>
    <x v="0"/>
    <s v="Ponesell, Mr. Martin"/>
    <x v="15"/>
    <x v="0"/>
    <x v="51"/>
    <x v="1"/>
    <x v="0"/>
    <n v="250647"/>
    <x v="91"/>
    <m/>
    <s v=""/>
    <x v="0"/>
    <x v="39"/>
    <x v="0"/>
    <x v="1"/>
  </r>
  <r>
    <n v="214"/>
    <x v="0"/>
    <x v="0"/>
    <s v="Givard, Mr. Hans Kristensen"/>
    <x v="4"/>
    <x v="0"/>
    <x v="3"/>
    <x v="1"/>
    <x v="0"/>
    <n v="250646"/>
    <x v="91"/>
    <m/>
    <s v=""/>
    <x v="0"/>
    <x v="39"/>
    <x v="0"/>
    <x v="1"/>
  </r>
  <r>
    <n v="769"/>
    <x v="0"/>
    <x v="2"/>
    <s v="Moran, Mr. Daniel J"/>
    <x v="13"/>
    <x v="0"/>
    <x v="5"/>
    <x v="0"/>
    <x v="0"/>
    <n v="371110"/>
    <x v="101"/>
    <m/>
    <s v=""/>
    <x v="0"/>
    <x v="31"/>
    <x v="0"/>
    <x v="2"/>
  </r>
  <r>
    <n v="273"/>
    <x v="1"/>
    <x v="0"/>
    <s v="Mellinger, Mrs. (Elizabeth Anne Maidment)"/>
    <x v="30"/>
    <x v="1"/>
    <x v="31"/>
    <x v="1"/>
    <x v="2"/>
    <n v="250644"/>
    <x v="155"/>
    <m/>
    <s v=""/>
    <x v="0"/>
    <x v="39"/>
    <x v="0"/>
    <x v="1"/>
  </r>
  <r>
    <n v="447"/>
    <x v="1"/>
    <x v="0"/>
    <s v="Mellinger, Miss. Madeleine Violet"/>
    <x v="37"/>
    <x v="1"/>
    <x v="73"/>
    <x v="1"/>
    <x v="2"/>
    <n v="250644"/>
    <x v="155"/>
    <m/>
    <s v=""/>
    <x v="0"/>
    <x v="39"/>
    <x v="0"/>
    <x v="1"/>
  </r>
  <r>
    <n v="110"/>
    <x v="1"/>
    <x v="2"/>
    <s v="Moran, Miss. Bertha"/>
    <x v="13"/>
    <x v="1"/>
    <x v="5"/>
    <x v="0"/>
    <x v="0"/>
    <n v="371110"/>
    <x v="101"/>
    <m/>
    <s v=""/>
    <x v="0"/>
    <x v="31"/>
    <x v="0"/>
    <x v="2"/>
  </r>
  <r>
    <n v="724"/>
    <x v="0"/>
    <x v="0"/>
    <s v="Hodges, Mr. Henry Price"/>
    <x v="1"/>
    <x v="0"/>
    <x v="15"/>
    <x v="1"/>
    <x v="0"/>
    <n v="250643"/>
    <x v="91"/>
    <m/>
    <s v=""/>
    <x v="0"/>
    <x v="39"/>
    <x v="0"/>
    <x v="1"/>
  </r>
  <r>
    <n v="200"/>
    <x v="0"/>
    <x v="0"/>
    <s v="Yrois, Miss. Henriette (&quot;Mrs Harbeck&quot;)"/>
    <x v="16"/>
    <x v="1"/>
    <x v="21"/>
    <x v="1"/>
    <x v="0"/>
    <n v="248747"/>
    <x v="91"/>
    <m/>
    <s v=""/>
    <x v="0"/>
    <x v="40"/>
    <x v="0"/>
    <x v="1"/>
  </r>
  <r>
    <n v="518"/>
    <x v="0"/>
    <x v="2"/>
    <s v="Ryan, Mr. Patrick"/>
    <x v="28"/>
    <x v="0"/>
    <x v="5"/>
    <x v="1"/>
    <x v="0"/>
    <n v="371110"/>
    <x v="101"/>
    <m/>
    <s v=""/>
    <x v="0"/>
    <x v="31"/>
    <x v="0"/>
    <x v="2"/>
  </r>
  <r>
    <n v="343"/>
    <x v="0"/>
    <x v="0"/>
    <s v="Collander, Mr. Erik Gustaf"/>
    <x v="9"/>
    <x v="0"/>
    <x v="22"/>
    <x v="1"/>
    <x v="0"/>
    <n v="248740"/>
    <x v="91"/>
    <m/>
    <s v=""/>
    <x v="0"/>
    <x v="40"/>
    <x v="0"/>
    <x v="1"/>
  </r>
  <r>
    <n v="79"/>
    <x v="1"/>
    <x v="0"/>
    <s v="Caldwell, Master. Alden Gates"/>
    <x v="21"/>
    <x v="0"/>
    <x v="74"/>
    <x v="1"/>
    <x v="1"/>
    <n v="248738"/>
    <x v="156"/>
    <m/>
    <s v=""/>
    <x v="0"/>
    <x v="40"/>
    <x v="0"/>
    <x v="1"/>
  </r>
  <r>
    <n v="324"/>
    <x v="1"/>
    <x v="0"/>
    <s v="Caldwell, Mrs. Albert Francis (Sylvia Mae Harbaugh)"/>
    <x v="32"/>
    <x v="1"/>
    <x v="13"/>
    <x v="0"/>
    <x v="2"/>
    <n v="248738"/>
    <x v="156"/>
    <m/>
    <s v=""/>
    <x v="0"/>
    <x v="40"/>
    <x v="0"/>
    <x v="1"/>
  </r>
  <r>
    <n v="353"/>
    <x v="0"/>
    <x v="2"/>
    <s v="Elias, Mr. Tannous"/>
    <x v="3"/>
    <x v="0"/>
    <x v="66"/>
    <x v="0"/>
    <x v="2"/>
    <n v="2695"/>
    <x v="146"/>
    <m/>
    <s v=""/>
    <x v="0"/>
    <x v="37"/>
    <x v="0"/>
    <x v="0"/>
  </r>
  <r>
    <n v="346"/>
    <x v="1"/>
    <x v="0"/>
    <s v="Brown, Miss. Amelia &quot;Mildred&quot;"/>
    <x v="21"/>
    <x v="1"/>
    <x v="21"/>
    <x v="1"/>
    <x v="0"/>
    <n v="248733"/>
    <x v="91"/>
    <s v="F33"/>
    <s v="33"/>
    <x v="20"/>
    <x v="40"/>
    <x v="4"/>
    <x v="1"/>
  </r>
  <r>
    <n v="696"/>
    <x v="0"/>
    <x v="0"/>
    <s v="Chapman, Mr. Charles Henry"/>
    <x v="9"/>
    <x v="0"/>
    <x v="53"/>
    <x v="1"/>
    <x v="0"/>
    <n v="248731"/>
    <x v="157"/>
    <m/>
    <s v=""/>
    <x v="0"/>
    <x v="40"/>
    <x v="0"/>
    <x v="1"/>
  </r>
  <r>
    <n v="597"/>
    <x v="1"/>
    <x v="0"/>
    <s v="Leitch, Miss. Jessie Wills"/>
    <x v="9"/>
    <x v="1"/>
    <x v="5"/>
    <x v="1"/>
    <x v="0"/>
    <n v="248727"/>
    <x v="158"/>
    <m/>
    <s v=""/>
    <x v="0"/>
    <x v="40"/>
    <x v="0"/>
    <x v="1"/>
  </r>
  <r>
    <n v="721"/>
    <x v="1"/>
    <x v="0"/>
    <s v="Harper, Miss. Annie Jessie &quot;Nina&quot;"/>
    <x v="37"/>
    <x v="1"/>
    <x v="62"/>
    <x v="1"/>
    <x v="2"/>
    <n v="248727"/>
    <x v="158"/>
    <m/>
    <s v=""/>
    <x v="0"/>
    <x v="40"/>
    <x v="0"/>
    <x v="1"/>
  </r>
  <r>
    <n v="245"/>
    <x v="0"/>
    <x v="2"/>
    <s v="Attalah, Mr. Sleiman"/>
    <x v="15"/>
    <x v="0"/>
    <x v="3"/>
    <x v="1"/>
    <x v="0"/>
    <n v="2694"/>
    <x v="159"/>
    <m/>
    <s v=""/>
    <x v="0"/>
    <x v="37"/>
    <x v="0"/>
    <x v="0"/>
  </r>
  <r>
    <n v="297"/>
    <x v="0"/>
    <x v="2"/>
    <s v="Hanna, Mr. Mansour"/>
    <x v="3"/>
    <x v="0"/>
    <x v="75"/>
    <x v="1"/>
    <x v="0"/>
    <n v="2693"/>
    <x v="146"/>
    <m/>
    <s v=""/>
    <x v="0"/>
    <x v="37"/>
    <x v="0"/>
    <x v="0"/>
  </r>
  <r>
    <n v="849"/>
    <x v="0"/>
    <x v="0"/>
    <s v="Harper, Rev. John"/>
    <x v="28"/>
    <x v="0"/>
    <x v="22"/>
    <x v="1"/>
    <x v="2"/>
    <n v="248727"/>
    <x v="158"/>
    <m/>
    <s v=""/>
    <x v="0"/>
    <x v="40"/>
    <x v="0"/>
    <x v="1"/>
  </r>
  <r>
    <n v="809"/>
    <x v="0"/>
    <x v="0"/>
    <s v="Meyer, Mr. August"/>
    <x v="28"/>
    <x v="0"/>
    <x v="24"/>
    <x v="1"/>
    <x v="0"/>
    <n v="248723"/>
    <x v="91"/>
    <m/>
    <s v=""/>
    <x v="0"/>
    <x v="40"/>
    <x v="0"/>
    <x v="1"/>
  </r>
  <r>
    <n v="363"/>
    <x v="0"/>
    <x v="2"/>
    <s v="Barbara, Mrs. (Catherine David)"/>
    <x v="14"/>
    <x v="1"/>
    <x v="44"/>
    <x v="1"/>
    <x v="2"/>
    <n v="2691"/>
    <x v="160"/>
    <m/>
    <s v=""/>
    <x v="0"/>
    <x v="37"/>
    <x v="0"/>
    <x v="0"/>
  </r>
  <r>
    <n v="16"/>
    <x v="1"/>
    <x v="0"/>
    <s v="Hewlett, Mrs. (Mary D Kingcome) "/>
    <x v="7"/>
    <x v="1"/>
    <x v="76"/>
    <x v="1"/>
    <x v="0"/>
    <n v="248706"/>
    <x v="161"/>
    <m/>
    <s v=""/>
    <x v="0"/>
    <x v="40"/>
    <x v="0"/>
    <x v="1"/>
  </r>
  <r>
    <n v="22"/>
    <x v="1"/>
    <x v="0"/>
    <s v="Beesley, Mr. Lawrence"/>
    <x v="18"/>
    <x v="0"/>
    <x v="51"/>
    <x v="1"/>
    <x v="0"/>
    <n v="248698"/>
    <x v="91"/>
    <s v="D56"/>
    <s v="56"/>
    <x v="55"/>
    <x v="40"/>
    <x v="3"/>
    <x v="1"/>
  </r>
  <r>
    <n v="18"/>
    <x v="1"/>
    <x v="0"/>
    <s v="Williams, Mr. Charles Eugene"/>
    <x v="2"/>
    <x v="0"/>
    <x v="5"/>
    <x v="1"/>
    <x v="0"/>
    <n v="244373"/>
    <x v="91"/>
    <m/>
    <s v=""/>
    <x v="0"/>
    <x v="40"/>
    <x v="0"/>
    <x v="1"/>
  </r>
  <r>
    <n v="100"/>
    <x v="0"/>
    <x v="0"/>
    <s v="Kantor, Mr. Sinai"/>
    <x v="28"/>
    <x v="0"/>
    <x v="51"/>
    <x v="0"/>
    <x v="0"/>
    <n v="244367"/>
    <x v="36"/>
    <m/>
    <s v=""/>
    <x v="0"/>
    <x v="40"/>
    <x v="0"/>
    <x v="1"/>
  </r>
  <r>
    <n v="317"/>
    <x v="1"/>
    <x v="0"/>
    <s v="Kantor, Mrs. Sinai (Miriam Sternin)"/>
    <x v="40"/>
    <x v="1"/>
    <x v="21"/>
    <x v="0"/>
    <x v="0"/>
    <n v="244367"/>
    <x v="36"/>
    <m/>
    <s v=""/>
    <x v="0"/>
    <x v="40"/>
    <x v="0"/>
    <x v="1"/>
  </r>
  <r>
    <n v="344"/>
    <x v="0"/>
    <x v="0"/>
    <s v="Sedgwick, Mr. Charles Frederick Waddington"/>
    <x v="24"/>
    <x v="0"/>
    <x v="17"/>
    <x v="1"/>
    <x v="0"/>
    <n v="244361"/>
    <x v="91"/>
    <m/>
    <s v=""/>
    <x v="0"/>
    <x v="40"/>
    <x v="0"/>
    <x v="1"/>
  </r>
  <r>
    <n v="552"/>
    <x v="0"/>
    <x v="0"/>
    <s v="Sharp, Mr. Percival James R"/>
    <x v="4"/>
    <x v="0"/>
    <x v="10"/>
    <x v="1"/>
    <x v="0"/>
    <n v="244358"/>
    <x v="36"/>
    <m/>
    <s v=""/>
    <x v="0"/>
    <x v="40"/>
    <x v="0"/>
    <x v="1"/>
  </r>
  <r>
    <n v="150"/>
    <x v="0"/>
    <x v="0"/>
    <s v="Byles, Rev. Thomas Roussel Davids"/>
    <x v="37"/>
    <x v="0"/>
    <x v="30"/>
    <x v="1"/>
    <x v="0"/>
    <n v="244310"/>
    <x v="91"/>
    <m/>
    <s v=""/>
    <x v="0"/>
    <x v="40"/>
    <x v="0"/>
    <x v="1"/>
  </r>
  <r>
    <n v="399"/>
    <x v="0"/>
    <x v="0"/>
    <s v="Pain, Dr. Alfred"/>
    <x v="10"/>
    <x v="0"/>
    <x v="11"/>
    <x v="1"/>
    <x v="0"/>
    <n v="244278"/>
    <x v="2"/>
    <m/>
    <s v=""/>
    <x v="0"/>
    <x v="40"/>
    <x v="0"/>
    <x v="1"/>
  </r>
  <r>
    <n v="281"/>
    <x v="0"/>
    <x v="2"/>
    <s v="Duane, Mr. Frank"/>
    <x v="10"/>
    <x v="0"/>
    <x v="47"/>
    <x v="1"/>
    <x v="0"/>
    <n v="336439"/>
    <x v="12"/>
    <m/>
    <s v=""/>
    <x v="0"/>
    <x v="35"/>
    <x v="0"/>
    <x v="2"/>
  </r>
  <r>
    <n v="674"/>
    <x v="1"/>
    <x v="0"/>
    <s v="Wilhelms, Mr. Charles"/>
    <x v="18"/>
    <x v="0"/>
    <x v="19"/>
    <x v="1"/>
    <x v="0"/>
    <n v="244270"/>
    <x v="91"/>
    <m/>
    <s v=""/>
    <x v="0"/>
    <x v="40"/>
    <x v="0"/>
    <x v="1"/>
  </r>
  <r>
    <n v="250"/>
    <x v="0"/>
    <x v="0"/>
    <s v="Carter, Rev. Ernest Courtenay"/>
    <x v="21"/>
    <x v="0"/>
    <x v="36"/>
    <x v="0"/>
    <x v="0"/>
    <n v="244252"/>
    <x v="36"/>
    <m/>
    <s v=""/>
    <x v="0"/>
    <x v="40"/>
    <x v="0"/>
    <x v="1"/>
  </r>
  <r>
    <n v="855"/>
    <x v="0"/>
    <x v="0"/>
    <s v="Carter, Mrs. Ernest Courtenay (Lilian Hughes)"/>
    <x v="36"/>
    <x v="1"/>
    <x v="28"/>
    <x v="0"/>
    <x v="0"/>
    <n v="244252"/>
    <x v="36"/>
    <m/>
    <s v=""/>
    <x v="0"/>
    <x v="40"/>
    <x v="0"/>
    <x v="1"/>
  </r>
  <r>
    <n v="577"/>
    <x v="1"/>
    <x v="0"/>
    <s v="Garside, Miss. Ethel"/>
    <x v="15"/>
    <x v="1"/>
    <x v="51"/>
    <x v="1"/>
    <x v="0"/>
    <n v="243880"/>
    <x v="91"/>
    <m/>
    <s v=""/>
    <x v="0"/>
    <x v="40"/>
    <x v="0"/>
    <x v="1"/>
  </r>
  <r>
    <n v="703"/>
    <x v="0"/>
    <x v="2"/>
    <s v="Barbara, Miss. Saiide"/>
    <x v="18"/>
    <x v="1"/>
    <x v="29"/>
    <x v="1"/>
    <x v="2"/>
    <n v="2691"/>
    <x v="160"/>
    <m/>
    <s v=""/>
    <x v="0"/>
    <x v="37"/>
    <x v="0"/>
    <x v="0"/>
  </r>
  <r>
    <n v="218"/>
    <x v="0"/>
    <x v="0"/>
    <s v="Jacobsohn, Mr. Sidney Samuel"/>
    <x v="2"/>
    <x v="0"/>
    <x v="30"/>
    <x v="0"/>
    <x v="0"/>
    <n v="243847"/>
    <x v="162"/>
    <m/>
    <s v=""/>
    <x v="0"/>
    <x v="40"/>
    <x v="0"/>
    <x v="1"/>
  </r>
  <r>
    <n v="601"/>
    <x v="1"/>
    <x v="0"/>
    <s v="Jacobsohn, Mrs. Sidney Samuel (Amy Frances Christy)"/>
    <x v="32"/>
    <x v="1"/>
    <x v="21"/>
    <x v="2"/>
    <x v="2"/>
    <n v="243847"/>
    <x v="162"/>
    <m/>
    <s v=""/>
    <x v="0"/>
    <x v="40"/>
    <x v="0"/>
    <x v="1"/>
  </r>
  <r>
    <n v="290"/>
    <x v="1"/>
    <x v="2"/>
    <s v="Connolly, Miss. Kate"/>
    <x v="15"/>
    <x v="1"/>
    <x v="13"/>
    <x v="1"/>
    <x v="0"/>
    <n v="370373"/>
    <x v="12"/>
    <m/>
    <s v=""/>
    <x v="0"/>
    <x v="31"/>
    <x v="0"/>
    <x v="2"/>
  </r>
  <r>
    <n v="400"/>
    <x v="1"/>
    <x v="0"/>
    <s v="Trout, Mrs. William H (Jessie L)"/>
    <x v="7"/>
    <x v="1"/>
    <x v="22"/>
    <x v="1"/>
    <x v="0"/>
    <n v="240929"/>
    <x v="163"/>
    <m/>
    <s v=""/>
    <x v="0"/>
    <x v="40"/>
    <x v="0"/>
    <x v="1"/>
  </r>
  <r>
    <n v="21"/>
    <x v="0"/>
    <x v="0"/>
    <s v="Fynney, Mr. Joseph J"/>
    <x v="15"/>
    <x v="0"/>
    <x v="27"/>
    <x v="1"/>
    <x v="0"/>
    <n v="239865"/>
    <x v="36"/>
    <m/>
    <s v=""/>
    <x v="0"/>
    <x v="18"/>
    <x v="0"/>
    <x v="1"/>
  </r>
  <r>
    <n v="792"/>
    <x v="0"/>
    <x v="0"/>
    <s v="Gaskell, Mr. Alfred"/>
    <x v="13"/>
    <x v="0"/>
    <x v="6"/>
    <x v="1"/>
    <x v="0"/>
    <n v="239865"/>
    <x v="36"/>
    <m/>
    <s v=""/>
    <x v="0"/>
    <x v="18"/>
    <x v="0"/>
    <x v="1"/>
  </r>
  <r>
    <n v="533"/>
    <x v="0"/>
    <x v="2"/>
    <s v="Elias, Mr. Joseph Jr"/>
    <x v="15"/>
    <x v="0"/>
    <x v="18"/>
    <x v="0"/>
    <x v="2"/>
    <n v="2690"/>
    <x v="146"/>
    <m/>
    <s v=""/>
    <x v="0"/>
    <x v="37"/>
    <x v="0"/>
    <x v="0"/>
  </r>
  <r>
    <n v="675"/>
    <x v="0"/>
    <x v="0"/>
    <s v="Watson, Mr. Ennis Hastings"/>
    <x v="9"/>
    <x v="0"/>
    <x v="5"/>
    <x v="1"/>
    <x v="0"/>
    <n v="239856"/>
    <x v="64"/>
    <m/>
    <s v=""/>
    <x v="0"/>
    <x v="18"/>
    <x v="0"/>
    <x v="1"/>
  </r>
  <r>
    <n v="47"/>
    <x v="0"/>
    <x v="2"/>
    <s v="Lennon, Mr. Denis"/>
    <x v="28"/>
    <x v="0"/>
    <x v="5"/>
    <x v="0"/>
    <x v="0"/>
    <n v="370371"/>
    <x v="154"/>
    <m/>
    <s v=""/>
    <x v="0"/>
    <x v="31"/>
    <x v="0"/>
    <x v="2"/>
  </r>
  <r>
    <n v="365"/>
    <x v="0"/>
    <x v="2"/>
    <s v="O'Brien, Mr. Thomas"/>
    <x v="13"/>
    <x v="0"/>
    <x v="5"/>
    <x v="0"/>
    <x v="0"/>
    <n v="370365"/>
    <x v="154"/>
    <m/>
    <s v=""/>
    <x v="0"/>
    <x v="31"/>
    <x v="0"/>
    <x v="2"/>
  </r>
  <r>
    <n v="733"/>
    <x v="0"/>
    <x v="0"/>
    <s v="Knight, Mr. Robert J"/>
    <x v="15"/>
    <x v="0"/>
    <x v="5"/>
    <x v="1"/>
    <x v="0"/>
    <n v="239855"/>
    <x v="64"/>
    <m/>
    <s v=""/>
    <x v="0"/>
    <x v="18"/>
    <x v="0"/>
    <x v="1"/>
  </r>
  <r>
    <n v="187"/>
    <x v="1"/>
    <x v="2"/>
    <s v="O'Brien, Mrs. Thomas (Johanna &quot;Hannah&quot; Godfrey)"/>
    <x v="35"/>
    <x v="1"/>
    <x v="5"/>
    <x v="0"/>
    <x v="0"/>
    <n v="370365"/>
    <x v="154"/>
    <m/>
    <s v=""/>
    <x v="0"/>
    <x v="31"/>
    <x v="0"/>
    <x v="2"/>
  </r>
  <r>
    <n v="242"/>
    <x v="1"/>
    <x v="2"/>
    <s v="Murphy, Miss. Katherine &quot;Kate&quot;"/>
    <x v="20"/>
    <x v="1"/>
    <x v="5"/>
    <x v="0"/>
    <x v="0"/>
    <n v="367230"/>
    <x v="154"/>
    <m/>
    <s v=""/>
    <x v="0"/>
    <x v="21"/>
    <x v="0"/>
    <x v="2"/>
  </r>
  <r>
    <n v="613"/>
    <x v="1"/>
    <x v="2"/>
    <s v="Murphy, Miss. Margaret Jane"/>
    <x v="4"/>
    <x v="1"/>
    <x v="5"/>
    <x v="0"/>
    <x v="0"/>
    <n v="367230"/>
    <x v="154"/>
    <m/>
    <s v=""/>
    <x v="0"/>
    <x v="21"/>
    <x v="0"/>
    <x v="2"/>
  </r>
  <r>
    <n v="482"/>
    <x v="0"/>
    <x v="0"/>
    <s v="Frost, Mr. Anthony Wood &quot;Archie&quot;"/>
    <x v="7"/>
    <x v="0"/>
    <x v="5"/>
    <x v="1"/>
    <x v="0"/>
    <n v="239854"/>
    <x v="64"/>
    <m/>
    <s v=""/>
    <x v="0"/>
    <x v="18"/>
    <x v="0"/>
    <x v="1"/>
  </r>
  <r>
    <n v="278"/>
    <x v="0"/>
    <x v="0"/>
    <s v="Parkes, Mr. Francis &quot;Frank&quot;"/>
    <x v="4"/>
    <x v="0"/>
    <x v="5"/>
    <x v="1"/>
    <x v="0"/>
    <n v="239853"/>
    <x v="64"/>
    <m/>
    <s v=""/>
    <x v="0"/>
    <x v="18"/>
    <x v="0"/>
    <x v="1"/>
  </r>
  <r>
    <n v="414"/>
    <x v="0"/>
    <x v="0"/>
    <s v="Cunningham, Mr. Alfred Fleming"/>
    <x v="20"/>
    <x v="0"/>
    <x v="5"/>
    <x v="1"/>
    <x v="0"/>
    <n v="239853"/>
    <x v="64"/>
    <m/>
    <s v=""/>
    <x v="0"/>
    <x v="18"/>
    <x v="0"/>
    <x v="1"/>
  </r>
  <r>
    <n v="467"/>
    <x v="0"/>
    <x v="0"/>
    <s v="Campbell, Mr. William"/>
    <x v="18"/>
    <x v="0"/>
    <x v="5"/>
    <x v="1"/>
    <x v="0"/>
    <n v="239853"/>
    <x v="64"/>
    <m/>
    <s v=""/>
    <x v="0"/>
    <x v="18"/>
    <x v="0"/>
    <x v="1"/>
  </r>
  <r>
    <n v="719"/>
    <x v="0"/>
    <x v="2"/>
    <s v="McEvoy, Mr. Michael"/>
    <x v="13"/>
    <x v="0"/>
    <x v="5"/>
    <x v="1"/>
    <x v="0"/>
    <n v="36568"/>
    <x v="154"/>
    <m/>
    <s v=""/>
    <x v="0"/>
    <x v="21"/>
    <x v="0"/>
    <x v="2"/>
  </r>
  <r>
    <n v="289"/>
    <x v="1"/>
    <x v="0"/>
    <s v="Hosono, Mr. Masabumi"/>
    <x v="15"/>
    <x v="0"/>
    <x v="30"/>
    <x v="1"/>
    <x v="0"/>
    <n v="237798"/>
    <x v="91"/>
    <m/>
    <s v=""/>
    <x v="0"/>
    <x v="18"/>
    <x v="0"/>
    <x v="1"/>
  </r>
  <r>
    <n v="581"/>
    <x v="1"/>
    <x v="0"/>
    <s v="Christy, Miss. Julie Rachel"/>
    <x v="4"/>
    <x v="1"/>
    <x v="17"/>
    <x v="0"/>
    <x v="2"/>
    <n v="237789"/>
    <x v="80"/>
    <m/>
    <s v=""/>
    <x v="0"/>
    <x v="18"/>
    <x v="0"/>
    <x v="1"/>
  </r>
  <r>
    <n v="579"/>
    <x v="0"/>
    <x v="2"/>
    <s v="Caram, Mrs. Joseph (Maria Elias)"/>
    <x v="7"/>
    <x v="1"/>
    <x v="5"/>
    <x v="0"/>
    <x v="0"/>
    <n v="2689"/>
    <x v="164"/>
    <m/>
    <s v=""/>
    <x v="0"/>
    <x v="37"/>
    <x v="0"/>
    <x v="0"/>
  </r>
  <r>
    <n v="358"/>
    <x v="0"/>
    <x v="0"/>
    <s v="Funk, Miss. Annie Clemmer"/>
    <x v="0"/>
    <x v="1"/>
    <x v="14"/>
    <x v="1"/>
    <x v="0"/>
    <n v="237671"/>
    <x v="91"/>
    <m/>
    <s v=""/>
    <x v="0"/>
    <x v="18"/>
    <x v="0"/>
    <x v="1"/>
  </r>
  <r>
    <n v="781"/>
    <x v="1"/>
    <x v="2"/>
    <s v="Ayoub, Miss. Banoura"/>
    <x v="15"/>
    <x v="1"/>
    <x v="73"/>
    <x v="1"/>
    <x v="0"/>
    <n v="2687"/>
    <x v="146"/>
    <m/>
    <s v=""/>
    <x v="0"/>
    <x v="37"/>
    <x v="0"/>
    <x v="0"/>
  </r>
  <r>
    <n v="569"/>
    <x v="0"/>
    <x v="2"/>
    <s v="Doharr, Mr. Tannous"/>
    <x v="13"/>
    <x v="0"/>
    <x v="5"/>
    <x v="1"/>
    <x v="0"/>
    <n v="2686"/>
    <x v="146"/>
    <m/>
    <s v=""/>
    <x v="0"/>
    <x v="37"/>
    <x v="0"/>
    <x v="0"/>
  </r>
  <r>
    <n v="636"/>
    <x v="1"/>
    <x v="0"/>
    <s v="Davis, Miss. Mary"/>
    <x v="28"/>
    <x v="1"/>
    <x v="22"/>
    <x v="1"/>
    <x v="0"/>
    <n v="237668"/>
    <x v="91"/>
    <m/>
    <s v=""/>
    <x v="0"/>
    <x v="18"/>
    <x v="0"/>
    <x v="1"/>
  </r>
  <r>
    <n v="587"/>
    <x v="0"/>
    <x v="0"/>
    <s v="Jarvis, Mr. John Denzil"/>
    <x v="1"/>
    <x v="0"/>
    <x v="58"/>
    <x v="1"/>
    <x v="0"/>
    <n v="237565"/>
    <x v="165"/>
    <m/>
    <s v=""/>
    <x v="0"/>
    <x v="18"/>
    <x v="0"/>
    <x v="1"/>
  </r>
  <r>
    <n v="233"/>
    <x v="0"/>
    <x v="0"/>
    <s v="Sjostedt, Mr. Ernst Adolf"/>
    <x v="0"/>
    <x v="0"/>
    <x v="63"/>
    <x v="1"/>
    <x v="0"/>
    <n v="237442"/>
    <x v="157"/>
    <m/>
    <s v=""/>
    <x v="0"/>
    <x v="18"/>
    <x v="0"/>
    <x v="1"/>
  </r>
  <r>
    <n v="729"/>
    <x v="0"/>
    <x v="0"/>
    <s v="Bryhl, Mr. Kurt Arnold Gottfrid"/>
    <x v="14"/>
    <x v="0"/>
    <x v="17"/>
    <x v="0"/>
    <x v="0"/>
    <n v="236853"/>
    <x v="36"/>
    <m/>
    <s v=""/>
    <x v="0"/>
    <x v="18"/>
    <x v="0"/>
    <x v="1"/>
  </r>
  <r>
    <n v="866"/>
    <x v="1"/>
    <x v="0"/>
    <s v="Bystrom, Mrs. (Karolina)"/>
    <x v="22"/>
    <x v="1"/>
    <x v="30"/>
    <x v="1"/>
    <x v="0"/>
    <n v="236852"/>
    <x v="91"/>
    <m/>
    <s v=""/>
    <x v="0"/>
    <x v="18"/>
    <x v="0"/>
    <x v="1"/>
  </r>
  <r>
    <n v="799"/>
    <x v="0"/>
    <x v="2"/>
    <s v="Ibrahim Shawah, Mr. Yousseff"/>
    <x v="2"/>
    <x v="0"/>
    <x v="3"/>
    <x v="1"/>
    <x v="0"/>
    <n v="2685"/>
    <x v="146"/>
    <m/>
    <s v=""/>
    <x v="0"/>
    <x v="37"/>
    <x v="0"/>
    <x v="0"/>
  </r>
  <r>
    <n v="229"/>
    <x v="0"/>
    <x v="0"/>
    <s v="Fahlstrom, Mr. Arne Jonas"/>
    <x v="0"/>
    <x v="0"/>
    <x v="29"/>
    <x v="1"/>
    <x v="0"/>
    <n v="236171"/>
    <x v="91"/>
    <m/>
    <s v=""/>
    <x v="0"/>
    <x v="18"/>
    <x v="0"/>
    <x v="1"/>
  </r>
  <r>
    <n v="667"/>
    <x v="0"/>
    <x v="0"/>
    <s v="Butler, Mr. Reginald Fenton"/>
    <x v="4"/>
    <x v="0"/>
    <x v="17"/>
    <x v="1"/>
    <x v="0"/>
    <n v="234686"/>
    <x v="91"/>
    <m/>
    <s v=""/>
    <x v="0"/>
    <x v="18"/>
    <x v="0"/>
    <x v="1"/>
  </r>
  <r>
    <n v="191"/>
    <x v="1"/>
    <x v="0"/>
    <s v="Pinsky, Mrs. (Rosa)"/>
    <x v="13"/>
    <x v="1"/>
    <x v="23"/>
    <x v="1"/>
    <x v="0"/>
    <n v="234604"/>
    <x v="91"/>
    <m/>
    <s v=""/>
    <x v="0"/>
    <x v="18"/>
    <x v="0"/>
    <x v="1"/>
  </r>
  <r>
    <n v="464"/>
    <x v="0"/>
    <x v="0"/>
    <s v="Milling, Mr. Jacob Christian"/>
    <x v="2"/>
    <x v="0"/>
    <x v="7"/>
    <x v="1"/>
    <x v="0"/>
    <n v="234360"/>
    <x v="91"/>
    <m/>
    <s v=""/>
    <x v="0"/>
    <x v="18"/>
    <x v="0"/>
    <x v="1"/>
  </r>
  <r>
    <n v="844"/>
    <x v="0"/>
    <x v="2"/>
    <s v="Lemberopolous, Mr. Peter L"/>
    <x v="9"/>
    <x v="0"/>
    <x v="77"/>
    <x v="1"/>
    <x v="0"/>
    <n v="2683"/>
    <x v="166"/>
    <m/>
    <s v=""/>
    <x v="0"/>
    <x v="37"/>
    <x v="0"/>
    <x v="0"/>
  </r>
  <r>
    <n v="865"/>
    <x v="0"/>
    <x v="0"/>
    <s v="Gill, Mr. John William"/>
    <x v="5"/>
    <x v="0"/>
    <x v="21"/>
    <x v="1"/>
    <x v="0"/>
    <n v="233866"/>
    <x v="91"/>
    <m/>
    <s v=""/>
    <x v="0"/>
    <x v="18"/>
    <x v="0"/>
    <x v="1"/>
  </r>
  <r>
    <n v="74"/>
    <x v="0"/>
    <x v="2"/>
    <s v="Chronopoulos, Mr. Apostolos"/>
    <x v="4"/>
    <x v="0"/>
    <x v="20"/>
    <x v="0"/>
    <x v="0"/>
    <n v="2680"/>
    <x v="160"/>
    <m/>
    <s v=""/>
    <x v="0"/>
    <x v="37"/>
    <x v="0"/>
    <x v="0"/>
  </r>
  <r>
    <n v="735"/>
    <x v="0"/>
    <x v="0"/>
    <s v="Troupiansky, Mr. Moses Aaron"/>
    <x v="2"/>
    <x v="0"/>
    <x v="11"/>
    <x v="1"/>
    <x v="0"/>
    <n v="233639"/>
    <x v="91"/>
    <m/>
    <s v=""/>
    <x v="0"/>
    <x v="18"/>
    <x v="0"/>
    <x v="1"/>
  </r>
  <r>
    <n v="141"/>
    <x v="0"/>
    <x v="2"/>
    <s v="Boulos, Mrs. Joseph (Sultana)"/>
    <x v="21"/>
    <x v="1"/>
    <x v="5"/>
    <x v="1"/>
    <x v="1"/>
    <n v="2678"/>
    <x v="167"/>
    <m/>
    <s v=""/>
    <x v="0"/>
    <x v="37"/>
    <x v="0"/>
    <x v="0"/>
  </r>
  <r>
    <n v="145"/>
    <x v="0"/>
    <x v="0"/>
    <s v="Andrew, Mr. Edgardo Samuel"/>
    <x v="9"/>
    <x v="0"/>
    <x v="29"/>
    <x v="1"/>
    <x v="0"/>
    <n v="231945"/>
    <x v="168"/>
    <m/>
    <s v=""/>
    <x v="0"/>
    <x v="18"/>
    <x v="0"/>
    <x v="1"/>
  </r>
  <r>
    <n v="853"/>
    <x v="0"/>
    <x v="2"/>
    <s v="Boulos, Miss. Nourelain"/>
    <x v="1"/>
    <x v="1"/>
    <x v="8"/>
    <x v="0"/>
    <x v="2"/>
    <n v="2678"/>
    <x v="167"/>
    <m/>
    <s v=""/>
    <x v="0"/>
    <x v="37"/>
    <x v="0"/>
    <x v="0"/>
  </r>
  <r>
    <n v="99"/>
    <x v="1"/>
    <x v="0"/>
    <s v="Doling, Mrs. John T (Ada Julia Bone)"/>
    <x v="8"/>
    <x v="1"/>
    <x v="51"/>
    <x v="1"/>
    <x v="2"/>
    <n v="231919"/>
    <x v="169"/>
    <m/>
    <s v=""/>
    <x v="0"/>
    <x v="18"/>
    <x v="0"/>
    <x v="1"/>
  </r>
  <r>
    <n v="652"/>
    <x v="1"/>
    <x v="0"/>
    <s v="Doling, Miss. Elsie"/>
    <x v="13"/>
    <x v="1"/>
    <x v="29"/>
    <x v="1"/>
    <x v="2"/>
    <n v="231919"/>
    <x v="169"/>
    <m/>
    <s v=""/>
    <x v="0"/>
    <x v="18"/>
    <x v="0"/>
    <x v="1"/>
  </r>
  <r>
    <n v="444"/>
    <x v="1"/>
    <x v="0"/>
    <s v="Reynaldo, Ms. Encarnacion"/>
    <x v="0"/>
    <x v="1"/>
    <x v="22"/>
    <x v="1"/>
    <x v="0"/>
    <n v="230434"/>
    <x v="91"/>
    <m/>
    <s v=""/>
    <x v="0"/>
    <x v="18"/>
    <x v="0"/>
    <x v="1"/>
  </r>
  <r>
    <n v="260"/>
    <x v="1"/>
    <x v="0"/>
    <s v="Parrish, Mrs. (Lutie Davis)"/>
    <x v="4"/>
    <x v="1"/>
    <x v="15"/>
    <x v="1"/>
    <x v="2"/>
    <n v="230433"/>
    <x v="36"/>
    <m/>
    <s v=""/>
    <x v="0"/>
    <x v="18"/>
    <x v="0"/>
    <x v="1"/>
  </r>
  <r>
    <n v="37"/>
    <x v="1"/>
    <x v="2"/>
    <s v="Mamee, Mr. Hanna"/>
    <x v="10"/>
    <x v="0"/>
    <x v="5"/>
    <x v="1"/>
    <x v="0"/>
    <n v="2677"/>
    <x v="146"/>
    <m/>
    <s v=""/>
    <x v="0"/>
    <x v="37"/>
    <x v="0"/>
    <x v="0"/>
  </r>
  <r>
    <n v="881"/>
    <x v="1"/>
    <x v="0"/>
    <s v="Shelley, Mrs. William (Imanita Parrish Hall)"/>
    <x v="17"/>
    <x v="1"/>
    <x v="17"/>
    <x v="1"/>
    <x v="2"/>
    <n v="230433"/>
    <x v="36"/>
    <m/>
    <s v=""/>
    <x v="0"/>
    <x v="18"/>
    <x v="0"/>
    <x v="1"/>
  </r>
  <r>
    <n v="774"/>
    <x v="0"/>
    <x v="2"/>
    <s v="Elias, Mr. Dibo"/>
    <x v="25"/>
    <x v="0"/>
    <x v="5"/>
    <x v="1"/>
    <x v="0"/>
    <n v="2674"/>
    <x v="159"/>
    <m/>
    <s v=""/>
    <x v="0"/>
    <x v="37"/>
    <x v="0"/>
    <x v="0"/>
  </r>
  <r>
    <n v="184"/>
    <x v="1"/>
    <x v="0"/>
    <s v="Becker, Master. Richard F"/>
    <x v="0"/>
    <x v="0"/>
    <x v="26"/>
    <x v="2"/>
    <x v="2"/>
    <n v="230136"/>
    <x v="170"/>
    <s v="F4"/>
    <s v="4"/>
    <x v="0"/>
    <x v="18"/>
    <x v="4"/>
    <x v="1"/>
  </r>
  <r>
    <n v="619"/>
    <x v="1"/>
    <x v="0"/>
    <s v="Becker, Miss. Marion Louise"/>
    <x v="4"/>
    <x v="1"/>
    <x v="41"/>
    <x v="2"/>
    <x v="2"/>
    <n v="230136"/>
    <x v="170"/>
    <s v="F4"/>
    <s v="4"/>
    <x v="0"/>
    <x v="18"/>
    <x v="4"/>
    <x v="1"/>
  </r>
  <r>
    <n v="149"/>
    <x v="0"/>
    <x v="0"/>
    <s v="Navratil, Mr. Michel (&quot;Louis M Hoffman&quot;)"/>
    <x v="11"/>
    <x v="0"/>
    <x v="78"/>
    <x v="1"/>
    <x v="1"/>
    <n v="230080"/>
    <x v="36"/>
    <s v="F2"/>
    <s v="2"/>
    <x v="0"/>
    <x v="18"/>
    <x v="4"/>
    <x v="1"/>
  </r>
  <r>
    <n v="194"/>
    <x v="1"/>
    <x v="0"/>
    <s v="Navratil, Master. Michel M"/>
    <x v="9"/>
    <x v="0"/>
    <x v="12"/>
    <x v="0"/>
    <x v="2"/>
    <n v="230080"/>
    <x v="36"/>
    <s v="F2"/>
    <s v="2"/>
    <x v="0"/>
    <x v="18"/>
    <x v="4"/>
    <x v="1"/>
  </r>
  <r>
    <n v="341"/>
    <x v="1"/>
    <x v="0"/>
    <s v="Navratil, Master. Edmond Roger"/>
    <x v="20"/>
    <x v="0"/>
    <x v="61"/>
    <x v="0"/>
    <x v="2"/>
    <n v="230080"/>
    <x v="36"/>
    <s v="F2"/>
    <s v="2"/>
    <x v="0"/>
    <x v="18"/>
    <x v="4"/>
    <x v="1"/>
  </r>
  <r>
    <n v="345"/>
    <x v="0"/>
    <x v="0"/>
    <s v="Fox, Mr. Stanley Hubert"/>
    <x v="1"/>
    <x v="0"/>
    <x v="1"/>
    <x v="1"/>
    <x v="0"/>
    <n v="229236"/>
    <x v="91"/>
    <m/>
    <s v=""/>
    <x v="0"/>
    <x v="32"/>
    <x v="0"/>
    <x v="1"/>
  </r>
  <r>
    <n v="134"/>
    <x v="1"/>
    <x v="0"/>
    <s v="Weisz, Mrs. Leopold (Mathilde Francoise Pede)"/>
    <x v="36"/>
    <x v="1"/>
    <x v="0"/>
    <x v="0"/>
    <x v="0"/>
    <n v="228414"/>
    <x v="36"/>
    <m/>
    <s v=""/>
    <x v="0"/>
    <x v="32"/>
    <x v="0"/>
    <x v="1"/>
  </r>
  <r>
    <n v="519"/>
    <x v="1"/>
    <x v="0"/>
    <s v="Angle, Mrs. William A (Florence &quot;Mary&quot; Agnes Hughes)"/>
    <x v="19"/>
    <x v="1"/>
    <x v="1"/>
    <x v="0"/>
    <x v="0"/>
    <n v="226875"/>
    <x v="36"/>
    <m/>
    <s v=""/>
    <x v="0"/>
    <x v="32"/>
    <x v="0"/>
    <x v="1"/>
  </r>
  <r>
    <n v="707"/>
    <x v="1"/>
    <x v="0"/>
    <s v="Kelly, Mrs. Florence &quot;Fannie&quot;"/>
    <x v="21"/>
    <x v="1"/>
    <x v="44"/>
    <x v="1"/>
    <x v="0"/>
    <n v="223596"/>
    <x v="157"/>
    <m/>
    <s v=""/>
    <x v="0"/>
    <x v="32"/>
    <x v="0"/>
    <x v="1"/>
  </r>
  <r>
    <n v="616"/>
    <x v="1"/>
    <x v="0"/>
    <s v="Herman, Miss. Alice"/>
    <x v="13"/>
    <x v="1"/>
    <x v="21"/>
    <x v="0"/>
    <x v="1"/>
    <n v="220845"/>
    <x v="171"/>
    <m/>
    <s v=""/>
    <x v="0"/>
    <x v="32"/>
    <x v="0"/>
    <x v="1"/>
  </r>
  <r>
    <n v="755"/>
    <x v="1"/>
    <x v="0"/>
    <s v="Herman, Mrs. Samuel (Jane Laver)"/>
    <x v="7"/>
    <x v="1"/>
    <x v="7"/>
    <x v="0"/>
    <x v="1"/>
    <n v="220845"/>
    <x v="171"/>
    <m/>
    <s v=""/>
    <x v="0"/>
    <x v="32"/>
    <x v="0"/>
    <x v="1"/>
  </r>
  <r>
    <n v="222"/>
    <x v="0"/>
    <x v="0"/>
    <s v="Bracken, Mr. James H"/>
    <x v="15"/>
    <x v="0"/>
    <x v="10"/>
    <x v="1"/>
    <x v="0"/>
    <n v="220367"/>
    <x v="91"/>
    <m/>
    <s v=""/>
    <x v="0"/>
    <x v="32"/>
    <x v="0"/>
    <x v="1"/>
  </r>
  <r>
    <n v="563"/>
    <x v="0"/>
    <x v="0"/>
    <s v="Norman, Mr. Robert Douglas"/>
    <x v="9"/>
    <x v="0"/>
    <x v="22"/>
    <x v="1"/>
    <x v="0"/>
    <n v="218629"/>
    <x v="157"/>
    <m/>
    <s v=""/>
    <x v="0"/>
    <x v="34"/>
    <x v="0"/>
    <x v="1"/>
  </r>
  <r>
    <n v="887"/>
    <x v="0"/>
    <x v="0"/>
    <s v="Montvila, Rev. Juozas"/>
    <x v="18"/>
    <x v="0"/>
    <x v="10"/>
    <x v="1"/>
    <x v="0"/>
    <n v="211536"/>
    <x v="91"/>
    <m/>
    <s v=""/>
    <x v="0"/>
    <x v="34"/>
    <x v="0"/>
    <x v="1"/>
  </r>
  <r>
    <n v="694"/>
    <x v="0"/>
    <x v="2"/>
    <s v="Saad, Mr. Khalil"/>
    <x v="10"/>
    <x v="0"/>
    <x v="17"/>
    <x v="1"/>
    <x v="0"/>
    <n v="2672"/>
    <x v="159"/>
    <m/>
    <s v=""/>
    <x v="0"/>
    <x v="37"/>
    <x v="0"/>
    <x v="0"/>
  </r>
  <r>
    <n v="556"/>
    <x v="0"/>
    <x v="1"/>
    <s v="Wright, Mr. George"/>
    <x v="3"/>
    <x v="0"/>
    <x v="35"/>
    <x v="1"/>
    <x v="0"/>
    <n v="113807"/>
    <x v="79"/>
    <m/>
    <s v=""/>
    <x v="0"/>
    <x v="5"/>
    <x v="0"/>
    <x v="1"/>
  </r>
  <r>
    <n v="6"/>
    <x v="0"/>
    <x v="2"/>
    <s v="Moran, Mr. James"/>
    <x v="10"/>
    <x v="0"/>
    <x v="5"/>
    <x v="1"/>
    <x v="0"/>
    <n v="330877"/>
    <x v="172"/>
    <m/>
    <s v=""/>
    <x v="0"/>
    <x v="35"/>
    <x v="0"/>
    <x v="2"/>
  </r>
  <r>
    <n v="681"/>
    <x v="0"/>
    <x v="2"/>
    <s v="Peters, Miss. Katie"/>
    <x v="13"/>
    <x v="1"/>
    <x v="5"/>
    <x v="1"/>
    <x v="0"/>
    <n v="330935"/>
    <x v="173"/>
    <m/>
    <s v=""/>
    <x v="0"/>
    <x v="35"/>
    <x v="0"/>
    <x v="2"/>
  </r>
  <r>
    <n v="725"/>
    <x v="1"/>
    <x v="1"/>
    <s v="Chambers, Mr. Norman Campbell"/>
    <x v="21"/>
    <x v="0"/>
    <x v="10"/>
    <x v="0"/>
    <x v="0"/>
    <n v="113806"/>
    <x v="174"/>
    <s v="E8"/>
    <s v="8"/>
    <x v="0"/>
    <x v="5"/>
    <x v="2"/>
    <x v="1"/>
  </r>
  <r>
    <n v="810"/>
    <x v="1"/>
    <x v="1"/>
    <s v="Chambers, Mrs. Norman Campbell (Bertha Griggs)"/>
    <x v="33"/>
    <x v="1"/>
    <x v="33"/>
    <x v="0"/>
    <x v="0"/>
    <n v="113806"/>
    <x v="174"/>
    <s v="E8"/>
    <s v="8"/>
    <x v="0"/>
    <x v="5"/>
    <x v="2"/>
    <x v="1"/>
  </r>
  <r>
    <n v="608"/>
    <x v="1"/>
    <x v="1"/>
    <s v="Daniel, Mr. Robert Williams"/>
    <x v="4"/>
    <x v="0"/>
    <x v="10"/>
    <x v="1"/>
    <x v="0"/>
    <n v="113804"/>
    <x v="112"/>
    <m/>
    <s v=""/>
    <x v="0"/>
    <x v="5"/>
    <x v="0"/>
    <x v="1"/>
  </r>
  <r>
    <n v="4"/>
    <x v="1"/>
    <x v="1"/>
    <s v="Futrelle, Mrs. Jacques Heath (Lily May Peel)"/>
    <x v="17"/>
    <x v="1"/>
    <x v="27"/>
    <x v="0"/>
    <x v="0"/>
    <n v="113803"/>
    <x v="174"/>
    <s v="C123"/>
    <s v="123"/>
    <x v="56"/>
    <x v="5"/>
    <x v="5"/>
    <x v="1"/>
  </r>
  <r>
    <n v="422"/>
    <x v="0"/>
    <x v="2"/>
    <s v="Charters, Mr. David"/>
    <x v="13"/>
    <x v="0"/>
    <x v="9"/>
    <x v="1"/>
    <x v="0"/>
    <s v="A/5. 13032"/>
    <x v="150"/>
    <m/>
    <s v=""/>
    <x v="0"/>
    <x v="26"/>
    <x v="0"/>
    <x v="2"/>
  </r>
  <r>
    <n v="138"/>
    <x v="0"/>
    <x v="1"/>
    <s v="Futrelle, Mr. Jacques Heath"/>
    <x v="4"/>
    <x v="0"/>
    <x v="34"/>
    <x v="0"/>
    <x v="0"/>
    <n v="113803"/>
    <x v="174"/>
    <s v="C123"/>
    <s v="123"/>
    <x v="56"/>
    <x v="5"/>
    <x v="5"/>
    <x v="1"/>
  </r>
  <r>
    <n v="695"/>
    <x v="0"/>
    <x v="1"/>
    <s v="Weir, Col. John"/>
    <x v="25"/>
    <x v="0"/>
    <x v="52"/>
    <x v="1"/>
    <x v="0"/>
    <n v="113800"/>
    <x v="79"/>
    <m/>
    <s v=""/>
    <x v="0"/>
    <x v="5"/>
    <x v="0"/>
    <x v="1"/>
  </r>
  <r>
    <n v="271"/>
    <x v="0"/>
    <x v="1"/>
    <s v="Cairns, Mr. Alexander"/>
    <x v="18"/>
    <x v="0"/>
    <x v="5"/>
    <x v="1"/>
    <x v="0"/>
    <n v="113798"/>
    <x v="71"/>
    <m/>
    <s v=""/>
    <x v="0"/>
    <x v="5"/>
    <x v="0"/>
    <x v="1"/>
  </r>
  <r>
    <n v="603"/>
    <x v="0"/>
    <x v="1"/>
    <s v="Harrington, Mr. Charles H"/>
    <x v="0"/>
    <x v="0"/>
    <x v="5"/>
    <x v="1"/>
    <x v="0"/>
    <n v="113796"/>
    <x v="175"/>
    <m/>
    <s v=""/>
    <x v="0"/>
    <x v="5"/>
    <x v="0"/>
    <x v="1"/>
  </r>
  <r>
    <n v="448"/>
    <x v="1"/>
    <x v="1"/>
    <s v="Seward, Mr. Frederic Kimber"/>
    <x v="4"/>
    <x v="0"/>
    <x v="51"/>
    <x v="1"/>
    <x v="0"/>
    <n v="113794"/>
    <x v="79"/>
    <m/>
    <s v=""/>
    <x v="0"/>
    <x v="5"/>
    <x v="0"/>
    <x v="1"/>
  </r>
  <r>
    <n v="468"/>
    <x v="0"/>
    <x v="1"/>
    <s v="Smart, Mr. John Montgomery"/>
    <x v="9"/>
    <x v="0"/>
    <x v="55"/>
    <x v="1"/>
    <x v="0"/>
    <n v="113792"/>
    <x v="79"/>
    <m/>
    <s v=""/>
    <x v="0"/>
    <x v="5"/>
    <x v="0"/>
    <x v="1"/>
  </r>
  <r>
    <n v="36"/>
    <x v="0"/>
    <x v="1"/>
    <s v="Holverson, Mr. Alexander Oskar"/>
    <x v="20"/>
    <x v="0"/>
    <x v="30"/>
    <x v="0"/>
    <x v="0"/>
    <n v="113789"/>
    <x v="74"/>
    <m/>
    <s v=""/>
    <x v="0"/>
    <x v="5"/>
    <x v="0"/>
    <x v="1"/>
  </r>
  <r>
    <n v="384"/>
    <x v="1"/>
    <x v="1"/>
    <s v="Holverson, Mrs. Alexander Oskar (Mary Aline Towner)"/>
    <x v="32"/>
    <x v="1"/>
    <x v="27"/>
    <x v="0"/>
    <x v="0"/>
    <n v="113789"/>
    <x v="74"/>
    <m/>
    <s v=""/>
    <x v="0"/>
    <x v="5"/>
    <x v="0"/>
    <x v="1"/>
  </r>
  <r>
    <n v="24"/>
    <x v="1"/>
    <x v="1"/>
    <s v="Sloper, Mr. William Thompson"/>
    <x v="2"/>
    <x v="0"/>
    <x v="22"/>
    <x v="1"/>
    <x v="0"/>
    <n v="113788"/>
    <x v="113"/>
    <s v="A6"/>
    <s v="6"/>
    <x v="0"/>
    <x v="5"/>
    <x v="6"/>
    <x v="1"/>
  </r>
  <r>
    <n v="493"/>
    <x v="0"/>
    <x v="1"/>
    <s v="Molson, Mr. Harry Markland"/>
    <x v="9"/>
    <x v="0"/>
    <x v="76"/>
    <x v="1"/>
    <x v="0"/>
    <n v="113787"/>
    <x v="112"/>
    <s v="C30"/>
    <s v="30"/>
    <x v="33"/>
    <x v="5"/>
    <x v="5"/>
    <x v="1"/>
  </r>
  <r>
    <n v="450"/>
    <x v="1"/>
    <x v="1"/>
    <s v="Peuchen, Major. Arthur Godfrey"/>
    <x v="20"/>
    <x v="0"/>
    <x v="53"/>
    <x v="1"/>
    <x v="0"/>
    <n v="113786"/>
    <x v="112"/>
    <s v="C104"/>
    <s v="104"/>
    <x v="57"/>
    <x v="5"/>
    <x v="5"/>
    <x v="1"/>
  </r>
  <r>
    <n v="340"/>
    <x v="0"/>
    <x v="1"/>
    <s v="Blackwell, Mr. Stephen Weart"/>
    <x v="2"/>
    <x v="0"/>
    <x v="44"/>
    <x v="1"/>
    <x v="0"/>
    <n v="113784"/>
    <x v="113"/>
    <s v="T"/>
    <s v="T"/>
    <x v="0"/>
    <x v="5"/>
    <x v="8"/>
    <x v="1"/>
  </r>
  <r>
    <n v="12"/>
    <x v="1"/>
    <x v="1"/>
    <s v="Bonnell, Miss. Elizabeth"/>
    <x v="22"/>
    <x v="1"/>
    <x v="42"/>
    <x v="1"/>
    <x v="0"/>
    <n v="113783"/>
    <x v="79"/>
    <s v="C103"/>
    <s v="103"/>
    <x v="58"/>
    <x v="5"/>
    <x v="5"/>
    <x v="1"/>
  </r>
  <r>
    <n v="298"/>
    <x v="0"/>
    <x v="1"/>
    <s v="Allison, Miss. Helen Loraine"/>
    <x v="2"/>
    <x v="1"/>
    <x v="61"/>
    <x v="0"/>
    <x v="1"/>
    <n v="113781"/>
    <x v="176"/>
    <s v="C22 C26"/>
    <s v="22 "/>
    <x v="1"/>
    <x v="5"/>
    <x v="5"/>
    <x v="1"/>
  </r>
  <r>
    <n v="306"/>
    <x v="1"/>
    <x v="1"/>
    <s v="Allison, Master. Hudson Trevor"/>
    <x v="20"/>
    <x v="0"/>
    <x v="79"/>
    <x v="0"/>
    <x v="1"/>
    <n v="113781"/>
    <x v="176"/>
    <s v="C22 C26"/>
    <s v="22 "/>
    <x v="1"/>
    <x v="5"/>
    <x v="5"/>
    <x v="1"/>
  </r>
  <r>
    <n v="833"/>
    <x v="0"/>
    <x v="2"/>
    <s v="Saad, Mr. Amin"/>
    <x v="29"/>
    <x v="0"/>
    <x v="5"/>
    <x v="1"/>
    <x v="0"/>
    <n v="2671"/>
    <x v="146"/>
    <m/>
    <s v=""/>
    <x v="0"/>
    <x v="37"/>
    <x v="0"/>
    <x v="0"/>
  </r>
  <r>
    <n v="499"/>
    <x v="0"/>
    <x v="1"/>
    <s v="Allison, Mrs. Hudson J C (Bessie Waldo Daniels)"/>
    <x v="35"/>
    <x v="1"/>
    <x v="17"/>
    <x v="0"/>
    <x v="1"/>
    <n v="113781"/>
    <x v="176"/>
    <s v="C22 C26"/>
    <s v="22 "/>
    <x v="1"/>
    <x v="5"/>
    <x v="5"/>
    <x v="1"/>
  </r>
  <r>
    <n v="709"/>
    <x v="1"/>
    <x v="1"/>
    <s v="Cleaver, Miss. Alice"/>
    <x v="15"/>
    <x v="1"/>
    <x v="13"/>
    <x v="1"/>
    <x v="0"/>
    <n v="113781"/>
    <x v="176"/>
    <m/>
    <s v=""/>
    <x v="0"/>
    <x v="5"/>
    <x v="0"/>
    <x v="1"/>
  </r>
  <r>
    <n v="152"/>
    <x v="1"/>
    <x v="1"/>
    <s v="Pears, Mrs. Thomas (Edith Wearne)"/>
    <x v="37"/>
    <x v="1"/>
    <x v="13"/>
    <x v="0"/>
    <x v="0"/>
    <n v="113776"/>
    <x v="177"/>
    <s v="C2"/>
    <s v="2"/>
    <x v="0"/>
    <x v="5"/>
    <x v="5"/>
    <x v="1"/>
  </r>
  <r>
    <n v="337"/>
    <x v="0"/>
    <x v="1"/>
    <s v="Pears, Mr. Thomas Clinton"/>
    <x v="0"/>
    <x v="0"/>
    <x v="0"/>
    <x v="0"/>
    <x v="0"/>
    <n v="113776"/>
    <x v="177"/>
    <s v="C2"/>
    <s v="2"/>
    <x v="0"/>
    <x v="5"/>
    <x v="5"/>
    <x v="1"/>
  </r>
  <r>
    <n v="749"/>
    <x v="0"/>
    <x v="1"/>
    <s v="Marvin, Mr. Daniel Warner"/>
    <x v="0"/>
    <x v="0"/>
    <x v="16"/>
    <x v="0"/>
    <x v="0"/>
    <n v="113773"/>
    <x v="174"/>
    <s v="D30"/>
    <s v="30"/>
    <x v="33"/>
    <x v="5"/>
    <x v="3"/>
    <x v="1"/>
  </r>
  <r>
    <n v="186"/>
    <x v="0"/>
    <x v="1"/>
    <s v="Rood, Mr. Hugh Roscoe"/>
    <x v="18"/>
    <x v="0"/>
    <x v="5"/>
    <x v="1"/>
    <x v="0"/>
    <n v="113767"/>
    <x v="178"/>
    <s v="A32"/>
    <s v="32"/>
    <x v="6"/>
    <x v="5"/>
    <x v="6"/>
    <x v="1"/>
  </r>
  <r>
    <n v="391"/>
    <x v="1"/>
    <x v="1"/>
    <s v="Carter, Mr. William Ernest"/>
    <x v="9"/>
    <x v="0"/>
    <x v="1"/>
    <x v="0"/>
    <x v="1"/>
    <n v="113760"/>
    <x v="179"/>
    <s v="B96 B98"/>
    <s v="96 "/>
    <x v="59"/>
    <x v="5"/>
    <x v="1"/>
    <x v="1"/>
  </r>
  <r>
    <n v="436"/>
    <x v="1"/>
    <x v="1"/>
    <s v="Carter, Miss. Lucile Polk"/>
    <x v="0"/>
    <x v="1"/>
    <x v="45"/>
    <x v="0"/>
    <x v="1"/>
    <n v="113760"/>
    <x v="179"/>
    <s v="B96 B98"/>
    <s v="96 "/>
    <x v="59"/>
    <x v="5"/>
    <x v="1"/>
    <x v="1"/>
  </r>
  <r>
    <n v="764"/>
    <x v="1"/>
    <x v="1"/>
    <s v="Carter, Mrs. William Ernest (Lucile Polk)"/>
    <x v="30"/>
    <x v="1"/>
    <x v="1"/>
    <x v="0"/>
    <x v="1"/>
    <n v="113760"/>
    <x v="179"/>
    <s v="B96 B98"/>
    <s v="96 "/>
    <x v="59"/>
    <x v="5"/>
    <x v="1"/>
    <x v="1"/>
  </r>
  <r>
    <n v="803"/>
    <x v="1"/>
    <x v="1"/>
    <s v="Carter, Master. William Thornton II"/>
    <x v="40"/>
    <x v="0"/>
    <x v="49"/>
    <x v="0"/>
    <x v="1"/>
    <n v="113760"/>
    <x v="179"/>
    <s v="B96 B98"/>
    <s v="96 "/>
    <x v="59"/>
    <x v="5"/>
    <x v="1"/>
    <x v="1"/>
  </r>
  <r>
    <n v="253"/>
    <x v="0"/>
    <x v="1"/>
    <s v="Stead, Mr. William Thomas"/>
    <x v="0"/>
    <x v="0"/>
    <x v="35"/>
    <x v="1"/>
    <x v="0"/>
    <n v="113514"/>
    <x v="79"/>
    <s v="C87"/>
    <s v="87"/>
    <x v="60"/>
    <x v="5"/>
    <x v="5"/>
    <x v="1"/>
  </r>
  <r>
    <n v="352"/>
    <x v="0"/>
    <x v="1"/>
    <s v="Williams-Lambert, Mr. Fletcher Fellows"/>
    <x v="16"/>
    <x v="0"/>
    <x v="5"/>
    <x v="1"/>
    <x v="0"/>
    <n v="113510"/>
    <x v="180"/>
    <s v="C128"/>
    <s v="128"/>
    <x v="61"/>
    <x v="5"/>
    <x v="5"/>
    <x v="1"/>
  </r>
  <r>
    <n v="167"/>
    <x v="1"/>
    <x v="1"/>
    <s v="Chibnall, Mrs. (Edith Martha Bowerman)"/>
    <x v="16"/>
    <x v="1"/>
    <x v="5"/>
    <x v="1"/>
    <x v="2"/>
    <n v="113505"/>
    <x v="181"/>
    <s v="E33"/>
    <s v="33"/>
    <x v="20"/>
    <x v="5"/>
    <x v="2"/>
    <x v="1"/>
  </r>
  <r>
    <n v="357"/>
    <x v="1"/>
    <x v="1"/>
    <s v="Bowerman, Miss. Elsie Edith"/>
    <x v="4"/>
    <x v="1"/>
    <x v="13"/>
    <x v="1"/>
    <x v="2"/>
    <n v="113505"/>
    <x v="181"/>
    <s v="E33"/>
    <s v="33"/>
    <x v="20"/>
    <x v="5"/>
    <x v="2"/>
    <x v="1"/>
  </r>
  <r>
    <n v="783"/>
    <x v="0"/>
    <x v="1"/>
    <s v="Long, Mr. Milton Clyde"/>
    <x v="5"/>
    <x v="0"/>
    <x v="0"/>
    <x v="1"/>
    <x v="0"/>
    <n v="113501"/>
    <x v="80"/>
    <s v="D6"/>
    <s v="6"/>
    <x v="0"/>
    <x v="5"/>
    <x v="3"/>
    <x v="1"/>
  </r>
  <r>
    <n v="84"/>
    <x v="0"/>
    <x v="1"/>
    <s v="Carrau, Mr. Francisco M"/>
    <x v="1"/>
    <x v="0"/>
    <x v="22"/>
    <x v="1"/>
    <x v="0"/>
    <n v="113059"/>
    <x v="182"/>
    <m/>
    <s v=""/>
    <x v="0"/>
    <x v="5"/>
    <x v="0"/>
    <x v="1"/>
  </r>
  <r>
    <n v="285"/>
    <x v="0"/>
    <x v="1"/>
    <s v="Smith, Mr. Richard William"/>
    <x v="9"/>
    <x v="0"/>
    <x v="5"/>
    <x v="1"/>
    <x v="0"/>
    <n v="113056"/>
    <x v="36"/>
    <s v="A19"/>
    <s v="19"/>
    <x v="62"/>
    <x v="5"/>
    <x v="6"/>
    <x v="1"/>
  </r>
  <r>
    <n v="858"/>
    <x v="1"/>
    <x v="1"/>
    <s v="Daly, Mr. Peter Denis "/>
    <x v="5"/>
    <x v="0"/>
    <x v="38"/>
    <x v="1"/>
    <x v="0"/>
    <n v="113055"/>
    <x v="79"/>
    <s v="E17"/>
    <s v="17"/>
    <x v="63"/>
    <x v="5"/>
    <x v="2"/>
    <x v="1"/>
  </r>
  <r>
    <n v="537"/>
    <x v="0"/>
    <x v="1"/>
    <s v="Butt, Major. Archibald Willingham"/>
    <x v="37"/>
    <x v="0"/>
    <x v="44"/>
    <x v="1"/>
    <x v="0"/>
    <n v="113050"/>
    <x v="79"/>
    <s v="B38"/>
    <s v="38"/>
    <x v="3"/>
    <x v="5"/>
    <x v="1"/>
    <x v="1"/>
  </r>
  <r>
    <n v="61"/>
    <x v="0"/>
    <x v="2"/>
    <s v="Sirayanian, Mr. Orsen"/>
    <x v="18"/>
    <x v="0"/>
    <x v="13"/>
    <x v="1"/>
    <x v="0"/>
    <n v="2669"/>
    <x v="146"/>
    <m/>
    <s v=""/>
    <x v="0"/>
    <x v="37"/>
    <x v="0"/>
    <x v="0"/>
  </r>
  <r>
    <n v="332"/>
    <x v="0"/>
    <x v="1"/>
    <s v="Partner, Mr. Austen"/>
    <x v="13"/>
    <x v="0"/>
    <x v="80"/>
    <x v="1"/>
    <x v="0"/>
    <n v="113043"/>
    <x v="183"/>
    <s v="C124"/>
    <s v="124"/>
    <x v="64"/>
    <x v="5"/>
    <x v="5"/>
    <x v="1"/>
  </r>
  <r>
    <n v="712"/>
    <x v="0"/>
    <x v="1"/>
    <s v="Klaber, Mr. Herman"/>
    <x v="3"/>
    <x v="0"/>
    <x v="5"/>
    <x v="1"/>
    <x v="0"/>
    <n v="113028"/>
    <x v="79"/>
    <s v="C124"/>
    <s v="124"/>
    <x v="64"/>
    <x v="5"/>
    <x v="5"/>
    <x v="1"/>
  </r>
  <r>
    <n v="264"/>
    <x v="0"/>
    <x v="1"/>
    <s v="Harrison, Mr. William"/>
    <x v="18"/>
    <x v="0"/>
    <x v="37"/>
    <x v="1"/>
    <x v="0"/>
    <n v="112059"/>
    <x v="64"/>
    <s v="B94"/>
    <s v="94"/>
    <x v="65"/>
    <x v="5"/>
    <x v="1"/>
    <x v="1"/>
  </r>
  <r>
    <n v="816"/>
    <x v="0"/>
    <x v="1"/>
    <s v="Fry, Mr. Richard"/>
    <x v="10"/>
    <x v="0"/>
    <x v="5"/>
    <x v="1"/>
    <x v="0"/>
    <n v="112058"/>
    <x v="64"/>
    <s v="B102"/>
    <s v="102"/>
    <x v="66"/>
    <x v="5"/>
    <x v="1"/>
    <x v="1"/>
  </r>
  <r>
    <n v="888"/>
    <x v="1"/>
    <x v="1"/>
    <s v="Graham, Miss. Margaret Edith"/>
    <x v="2"/>
    <x v="1"/>
    <x v="16"/>
    <x v="1"/>
    <x v="0"/>
    <n v="112053"/>
    <x v="80"/>
    <s v="B42"/>
    <s v="42"/>
    <x v="67"/>
    <x v="5"/>
    <x v="1"/>
    <x v="1"/>
  </r>
  <r>
    <n v="634"/>
    <x v="0"/>
    <x v="1"/>
    <s v="Parr, Mr. William Henry Marsh"/>
    <x v="21"/>
    <x v="0"/>
    <x v="5"/>
    <x v="1"/>
    <x v="0"/>
    <n v="112052"/>
    <x v="64"/>
    <m/>
    <s v=""/>
    <x v="0"/>
    <x v="5"/>
    <x v="0"/>
    <x v="1"/>
  </r>
  <r>
    <n v="807"/>
    <x v="0"/>
    <x v="1"/>
    <s v="Andrews, Mr. Thomas Jr"/>
    <x v="5"/>
    <x v="0"/>
    <x v="24"/>
    <x v="1"/>
    <x v="0"/>
    <n v="112050"/>
    <x v="64"/>
    <s v="A36"/>
    <s v="36"/>
    <x v="27"/>
    <x v="5"/>
    <x v="6"/>
    <x v="1"/>
  </r>
  <r>
    <n v="188"/>
    <x v="1"/>
    <x v="1"/>
    <s v="Romaine, Mr. Charles Hallace (&quot;Mr C Rolmane&quot;)"/>
    <x v="36"/>
    <x v="0"/>
    <x v="44"/>
    <x v="1"/>
    <x v="0"/>
    <n v="111428"/>
    <x v="79"/>
    <m/>
    <s v=""/>
    <x v="0"/>
    <x v="5"/>
    <x v="0"/>
    <x v="1"/>
  </r>
  <r>
    <n v="508"/>
    <x v="1"/>
    <x v="1"/>
    <s v="Bradley, Mr. George (&quot;George Arthur Brayton&quot;)"/>
    <x v="36"/>
    <x v="0"/>
    <x v="5"/>
    <x v="1"/>
    <x v="0"/>
    <n v="111427"/>
    <x v="79"/>
    <m/>
    <s v=""/>
    <x v="0"/>
    <x v="5"/>
    <x v="0"/>
    <x v="1"/>
  </r>
  <r>
    <n v="502"/>
    <x v="0"/>
    <x v="2"/>
    <s v="Canavan, Miss. Mary"/>
    <x v="13"/>
    <x v="1"/>
    <x v="9"/>
    <x v="1"/>
    <x v="0"/>
    <n v="364846"/>
    <x v="12"/>
    <m/>
    <s v=""/>
    <x v="0"/>
    <x v="21"/>
    <x v="0"/>
    <x v="2"/>
  </r>
  <r>
    <n v="463"/>
    <x v="0"/>
    <x v="1"/>
    <s v="Gee, Mr. Arthur H"/>
    <x v="28"/>
    <x v="0"/>
    <x v="58"/>
    <x v="1"/>
    <x v="0"/>
    <n v="111320"/>
    <x v="184"/>
    <s v="E63"/>
    <s v="63"/>
    <x v="68"/>
    <x v="5"/>
    <x v="2"/>
    <x v="1"/>
  </r>
  <r>
    <n v="171"/>
    <x v="0"/>
    <x v="1"/>
    <s v="Van der hoef, Mr. Wyckoff"/>
    <x v="0"/>
    <x v="0"/>
    <x v="68"/>
    <x v="1"/>
    <x v="0"/>
    <n v="111240"/>
    <x v="185"/>
    <s v="B19"/>
    <s v="19"/>
    <x v="62"/>
    <x v="5"/>
    <x v="1"/>
    <x v="1"/>
  </r>
  <r>
    <n v="431"/>
    <x v="1"/>
    <x v="1"/>
    <s v="Bjornstrom-Steffansson, Mr. Mauritz Hakan"/>
    <x v="30"/>
    <x v="0"/>
    <x v="22"/>
    <x v="1"/>
    <x v="0"/>
    <n v="110564"/>
    <x v="79"/>
    <s v="C52"/>
    <s v="52"/>
    <x v="69"/>
    <x v="5"/>
    <x v="5"/>
    <x v="1"/>
  </r>
  <r>
    <n v="476"/>
    <x v="0"/>
    <x v="1"/>
    <s v="Clifford, Mr. George Quincy"/>
    <x v="4"/>
    <x v="0"/>
    <x v="5"/>
    <x v="1"/>
    <x v="0"/>
    <n v="110465"/>
    <x v="74"/>
    <s v="A14"/>
    <s v="14"/>
    <x v="70"/>
    <x v="5"/>
    <x v="6"/>
    <x v="1"/>
  </r>
  <r>
    <n v="111"/>
    <x v="0"/>
    <x v="1"/>
    <s v="Porter, Mr. Walter Chamberlain"/>
    <x v="20"/>
    <x v="0"/>
    <x v="58"/>
    <x v="1"/>
    <x v="0"/>
    <n v="110465"/>
    <x v="74"/>
    <s v="C110"/>
    <s v="110"/>
    <x v="71"/>
    <x v="5"/>
    <x v="5"/>
    <x v="1"/>
  </r>
  <r>
    <n v="511"/>
    <x v="1"/>
    <x v="2"/>
    <s v="Daly, Mr. Eugene Patrick"/>
    <x v="22"/>
    <x v="0"/>
    <x v="0"/>
    <x v="1"/>
    <x v="0"/>
    <n v="382651"/>
    <x v="12"/>
    <m/>
    <s v=""/>
    <x v="0"/>
    <x v="4"/>
    <x v="0"/>
    <x v="2"/>
  </r>
  <r>
    <n v="263"/>
    <x v="0"/>
    <x v="1"/>
    <s v="Taussig, Mr. Emil"/>
    <x v="28"/>
    <x v="0"/>
    <x v="53"/>
    <x v="0"/>
    <x v="2"/>
    <n v="110413"/>
    <x v="186"/>
    <s v="E67"/>
    <s v="67"/>
    <x v="72"/>
    <x v="5"/>
    <x v="2"/>
    <x v="1"/>
  </r>
  <r>
    <n v="559"/>
    <x v="1"/>
    <x v="1"/>
    <s v="Taussig, Mrs. Emil (Tillie Mandelbaum)"/>
    <x v="16"/>
    <x v="1"/>
    <x v="24"/>
    <x v="0"/>
    <x v="2"/>
    <n v="110413"/>
    <x v="186"/>
    <s v="E67"/>
    <s v="67"/>
    <x v="72"/>
    <x v="5"/>
    <x v="2"/>
    <x v="1"/>
  </r>
  <r>
    <n v="129"/>
    <x v="1"/>
    <x v="2"/>
    <s v="Peter, Miss. Anna"/>
    <x v="28"/>
    <x v="1"/>
    <x v="5"/>
    <x v="0"/>
    <x v="2"/>
    <n v="2668"/>
    <x v="187"/>
    <s v="F E69"/>
    <s v=" E6"/>
    <x v="51"/>
    <x v="37"/>
    <x v="4"/>
    <x v="0"/>
  </r>
  <r>
    <n v="586"/>
    <x v="1"/>
    <x v="1"/>
    <s v="Taussig, Miss. Ruth"/>
    <x v="13"/>
    <x v="1"/>
    <x v="29"/>
    <x v="1"/>
    <x v="1"/>
    <n v="110413"/>
    <x v="186"/>
    <s v="E68"/>
    <s v="68"/>
    <x v="42"/>
    <x v="5"/>
    <x v="2"/>
    <x v="1"/>
  </r>
  <r>
    <n v="258"/>
    <x v="1"/>
    <x v="1"/>
    <s v="Cherry, Miss. Gladys"/>
    <x v="15"/>
    <x v="1"/>
    <x v="3"/>
    <x v="1"/>
    <x v="0"/>
    <n v="110152"/>
    <x v="188"/>
    <s v="B77"/>
    <s v="77"/>
    <x v="19"/>
    <x v="5"/>
    <x v="1"/>
    <x v="1"/>
  </r>
  <r>
    <n v="505"/>
    <x v="1"/>
    <x v="1"/>
    <s v="Maioni, Miss. Roberta"/>
    <x v="18"/>
    <x v="1"/>
    <x v="6"/>
    <x v="1"/>
    <x v="0"/>
    <n v="110152"/>
    <x v="188"/>
    <s v="B79"/>
    <s v="79"/>
    <x v="73"/>
    <x v="5"/>
    <x v="1"/>
    <x v="1"/>
  </r>
  <r>
    <n v="760"/>
    <x v="1"/>
    <x v="1"/>
    <s v="Rothes, the Countess. of (Lucy Noel Martha Dyer-Edwards)"/>
    <x v="41"/>
    <x v="1"/>
    <x v="33"/>
    <x v="1"/>
    <x v="0"/>
    <n v="110152"/>
    <x v="188"/>
    <s v="B77"/>
    <s v="77"/>
    <x v="19"/>
    <x v="5"/>
    <x v="1"/>
    <x v="1"/>
  </r>
  <r>
    <n v="526"/>
    <x v="0"/>
    <x v="2"/>
    <s v="Farrell, Mr. James"/>
    <x v="3"/>
    <x v="0"/>
    <x v="57"/>
    <x v="1"/>
    <x v="0"/>
    <n v="367232"/>
    <x v="12"/>
    <m/>
    <s v=""/>
    <x v="0"/>
    <x v="21"/>
    <x v="0"/>
    <x v="2"/>
  </r>
  <r>
    <n v="445"/>
    <x v="1"/>
    <x v="2"/>
    <s v="Johannesen-Bratthammer, Mr. Bernt"/>
    <x v="37"/>
    <x v="0"/>
    <x v="5"/>
    <x v="1"/>
    <x v="0"/>
    <n v="65306"/>
    <x v="189"/>
    <m/>
    <s v=""/>
    <x v="0"/>
    <x v="41"/>
    <x v="0"/>
    <x v="1"/>
  </r>
  <r>
    <n v="491"/>
    <x v="0"/>
    <x v="2"/>
    <s v="Hagland, Mr. Konrad Mathias Reiersen"/>
    <x v="8"/>
    <x v="0"/>
    <x v="5"/>
    <x v="0"/>
    <x v="0"/>
    <n v="65304"/>
    <x v="190"/>
    <m/>
    <s v=""/>
    <x v="0"/>
    <x v="41"/>
    <x v="0"/>
    <x v="1"/>
  </r>
  <r>
    <n v="452"/>
    <x v="0"/>
    <x v="2"/>
    <s v="Hagland, Mr. Ingvald Olai Olsen"/>
    <x v="14"/>
    <x v="0"/>
    <x v="5"/>
    <x v="0"/>
    <x v="0"/>
    <n v="65303"/>
    <x v="190"/>
    <m/>
    <s v=""/>
    <x v="0"/>
    <x v="41"/>
    <x v="0"/>
    <x v="1"/>
  </r>
  <r>
    <n v="534"/>
    <x v="1"/>
    <x v="2"/>
    <s v="Peter, Mrs. Catherine (Catherine Rizk)"/>
    <x v="16"/>
    <x v="1"/>
    <x v="5"/>
    <x v="1"/>
    <x v="1"/>
    <n v="2668"/>
    <x v="187"/>
    <m/>
    <s v=""/>
    <x v="0"/>
    <x v="37"/>
    <x v="0"/>
    <x v="0"/>
  </r>
  <r>
    <n v="625"/>
    <x v="0"/>
    <x v="2"/>
    <s v="Bowen, Mr. David John &quot;Dai&quot;"/>
    <x v="4"/>
    <x v="0"/>
    <x v="9"/>
    <x v="1"/>
    <x v="0"/>
    <n v="54636"/>
    <x v="99"/>
    <m/>
    <s v=""/>
    <x v="0"/>
    <x v="42"/>
    <x v="0"/>
    <x v="1"/>
  </r>
  <r>
    <n v="736"/>
    <x v="0"/>
    <x v="2"/>
    <s v="Williams, Mr. Leslie"/>
    <x v="15"/>
    <x v="0"/>
    <x v="71"/>
    <x v="1"/>
    <x v="0"/>
    <n v="54636"/>
    <x v="99"/>
    <m/>
    <s v=""/>
    <x v="0"/>
    <x v="42"/>
    <x v="0"/>
    <x v="1"/>
  </r>
  <r>
    <n v="63"/>
    <x v="0"/>
    <x v="1"/>
    <s v="Harris, Mr. Henry Birkhardt"/>
    <x v="4"/>
    <x v="0"/>
    <x v="44"/>
    <x v="0"/>
    <x v="0"/>
    <n v="36973"/>
    <x v="191"/>
    <s v="C83"/>
    <s v="83"/>
    <x v="74"/>
    <x v="21"/>
    <x v="5"/>
    <x v="1"/>
  </r>
  <r>
    <n v="231"/>
    <x v="1"/>
    <x v="1"/>
    <s v="Harris, Mrs. Henry Birkhardt (Irene Wallach)"/>
    <x v="17"/>
    <x v="1"/>
    <x v="27"/>
    <x v="0"/>
    <x v="0"/>
    <n v="36973"/>
    <x v="191"/>
    <s v="C83"/>
    <s v="83"/>
    <x v="74"/>
    <x v="21"/>
    <x v="5"/>
    <x v="1"/>
  </r>
  <r>
    <n v="516"/>
    <x v="0"/>
    <x v="1"/>
    <s v="Walker, Mr. William Anderson"/>
    <x v="2"/>
    <x v="0"/>
    <x v="58"/>
    <x v="1"/>
    <x v="0"/>
    <n v="36967"/>
    <x v="192"/>
    <s v="D46"/>
    <s v="46"/>
    <x v="75"/>
    <x v="21"/>
    <x v="3"/>
    <x v="1"/>
  </r>
  <r>
    <n v="29"/>
    <x v="1"/>
    <x v="2"/>
    <s v="O'Dwyer, Miss. Ellen &quot;Nellie&quot;"/>
    <x v="21"/>
    <x v="1"/>
    <x v="5"/>
    <x v="1"/>
    <x v="0"/>
    <n v="330959"/>
    <x v="136"/>
    <m/>
    <s v=""/>
    <x v="0"/>
    <x v="35"/>
    <x v="0"/>
    <x v="2"/>
  </r>
  <r>
    <n v="626"/>
    <x v="0"/>
    <x v="1"/>
    <s v="Sutton, Mr. Frederick"/>
    <x v="18"/>
    <x v="0"/>
    <x v="68"/>
    <x v="1"/>
    <x v="0"/>
    <n v="36963"/>
    <x v="193"/>
    <s v="D50"/>
    <s v="50"/>
    <x v="48"/>
    <x v="21"/>
    <x v="3"/>
    <x v="1"/>
  </r>
  <r>
    <n v="359"/>
    <x v="1"/>
    <x v="2"/>
    <s v="McGovern, Miss. Mary"/>
    <x v="15"/>
    <x v="1"/>
    <x v="5"/>
    <x v="1"/>
    <x v="0"/>
    <n v="330931"/>
    <x v="136"/>
    <m/>
    <s v=""/>
    <x v="0"/>
    <x v="35"/>
    <x v="0"/>
    <x v="2"/>
  </r>
  <r>
    <n v="876"/>
    <x v="1"/>
    <x v="2"/>
    <s v="Najib, Miss. Adele Kiamie &quot;Jane&quot;"/>
    <x v="7"/>
    <x v="1"/>
    <x v="66"/>
    <x v="1"/>
    <x v="0"/>
    <n v="2667"/>
    <x v="159"/>
    <m/>
    <s v=""/>
    <x v="0"/>
    <x v="37"/>
    <x v="0"/>
    <x v="0"/>
  </r>
  <r>
    <n v="319"/>
    <x v="1"/>
    <x v="1"/>
    <s v="Wick, Miss. Mary Natalie"/>
    <x v="22"/>
    <x v="1"/>
    <x v="19"/>
    <x v="1"/>
    <x v="1"/>
    <n v="36928"/>
    <x v="194"/>
    <s v="C7"/>
    <s v="7"/>
    <x v="0"/>
    <x v="21"/>
    <x v="5"/>
    <x v="1"/>
  </r>
  <r>
    <n v="360"/>
    <x v="1"/>
    <x v="2"/>
    <s v="Mockler, Miss. Helen Mary &quot;Ellie&quot;"/>
    <x v="37"/>
    <x v="1"/>
    <x v="5"/>
    <x v="1"/>
    <x v="0"/>
    <n v="330980"/>
    <x v="136"/>
    <m/>
    <s v=""/>
    <x v="0"/>
    <x v="35"/>
    <x v="0"/>
    <x v="2"/>
  </r>
  <r>
    <n v="857"/>
    <x v="1"/>
    <x v="1"/>
    <s v="Wick, Mrs. George Dennick (Mary Hitchcock)"/>
    <x v="24"/>
    <x v="1"/>
    <x v="44"/>
    <x v="0"/>
    <x v="2"/>
    <n v="36928"/>
    <x v="194"/>
    <m/>
    <s v=""/>
    <x v="0"/>
    <x v="21"/>
    <x v="0"/>
    <x v="1"/>
  </r>
  <r>
    <n v="553"/>
    <x v="0"/>
    <x v="2"/>
    <s v="O'Brien, Mr. Timothy"/>
    <x v="15"/>
    <x v="0"/>
    <x v="5"/>
    <x v="1"/>
    <x v="0"/>
    <n v="330979"/>
    <x v="195"/>
    <m/>
    <s v=""/>
    <x v="0"/>
    <x v="35"/>
    <x v="0"/>
    <x v="2"/>
  </r>
  <r>
    <n v="103"/>
    <x v="0"/>
    <x v="1"/>
    <s v="White, Mr. Richard Frasar"/>
    <x v="0"/>
    <x v="0"/>
    <x v="9"/>
    <x v="1"/>
    <x v="2"/>
    <n v="35281"/>
    <x v="196"/>
    <s v="D26"/>
    <s v="26"/>
    <x v="49"/>
    <x v="22"/>
    <x v="3"/>
    <x v="1"/>
  </r>
  <r>
    <n v="654"/>
    <x v="1"/>
    <x v="2"/>
    <s v="O'Leary, Miss. Hanora &quot;Norah&quot;"/>
    <x v="21"/>
    <x v="1"/>
    <x v="5"/>
    <x v="1"/>
    <x v="0"/>
    <n v="330919"/>
    <x v="195"/>
    <m/>
    <s v=""/>
    <x v="0"/>
    <x v="35"/>
    <x v="0"/>
    <x v="2"/>
  </r>
  <r>
    <n v="83"/>
    <x v="1"/>
    <x v="2"/>
    <s v="McDermott, Miss. Brigdet Delia"/>
    <x v="20"/>
    <x v="1"/>
    <x v="5"/>
    <x v="1"/>
    <x v="0"/>
    <n v="330932"/>
    <x v="197"/>
    <m/>
    <s v=""/>
    <x v="0"/>
    <x v="35"/>
    <x v="0"/>
    <x v="2"/>
  </r>
  <r>
    <n v="125"/>
    <x v="0"/>
    <x v="1"/>
    <s v="White, Mr. Percival Wayland"/>
    <x v="4"/>
    <x v="0"/>
    <x v="36"/>
    <x v="1"/>
    <x v="2"/>
    <n v="35281"/>
    <x v="196"/>
    <s v="D26"/>
    <s v="26"/>
    <x v="49"/>
    <x v="22"/>
    <x v="3"/>
    <x v="1"/>
  </r>
  <r>
    <n v="718"/>
    <x v="1"/>
    <x v="0"/>
    <s v="Troutt, Miss. Edwina Celia &quot;Winnie&quot;"/>
    <x v="40"/>
    <x v="1"/>
    <x v="10"/>
    <x v="1"/>
    <x v="0"/>
    <n v="34218"/>
    <x v="2"/>
    <s v="E101"/>
    <s v="101"/>
    <x v="13"/>
    <x v="15"/>
    <x v="2"/>
    <x v="1"/>
  </r>
  <r>
    <n v="446"/>
    <x v="1"/>
    <x v="1"/>
    <s v="Dodge, Master. Washington"/>
    <x v="0"/>
    <x v="0"/>
    <x v="41"/>
    <x v="1"/>
    <x v="1"/>
    <n v="33638"/>
    <x v="198"/>
    <s v="A34"/>
    <s v="34"/>
    <x v="43"/>
    <x v="35"/>
    <x v="6"/>
    <x v="1"/>
  </r>
  <r>
    <n v="347"/>
    <x v="1"/>
    <x v="0"/>
    <s v="Smith, Miss. Marion Elsie"/>
    <x v="0"/>
    <x v="1"/>
    <x v="37"/>
    <x v="1"/>
    <x v="0"/>
    <n v="31418"/>
    <x v="91"/>
    <m/>
    <s v=""/>
    <x v="0"/>
    <x v="28"/>
    <x v="0"/>
    <x v="1"/>
  </r>
  <r>
    <n v="620"/>
    <x v="0"/>
    <x v="0"/>
    <s v="Gavey, Mr. Lawrence"/>
    <x v="13"/>
    <x v="0"/>
    <x v="20"/>
    <x v="1"/>
    <x v="0"/>
    <n v="31028"/>
    <x v="2"/>
    <m/>
    <s v=""/>
    <x v="0"/>
    <x v="28"/>
    <x v="0"/>
    <x v="1"/>
  </r>
  <r>
    <n v="477"/>
    <x v="0"/>
    <x v="0"/>
    <s v="Renouf, Mr. Peter Henry"/>
    <x v="1"/>
    <x v="0"/>
    <x v="51"/>
    <x v="0"/>
    <x v="0"/>
    <n v="31027"/>
    <x v="73"/>
    <m/>
    <s v=""/>
    <x v="0"/>
    <x v="28"/>
    <x v="0"/>
    <x v="1"/>
  </r>
  <r>
    <n v="727"/>
    <x v="1"/>
    <x v="0"/>
    <s v="Renouf, Mrs. Peter Henry (Lillian Jefferys)"/>
    <x v="39"/>
    <x v="1"/>
    <x v="3"/>
    <x v="6"/>
    <x v="0"/>
    <n v="31027"/>
    <x v="73"/>
    <m/>
    <s v=""/>
    <x v="0"/>
    <x v="28"/>
    <x v="0"/>
    <x v="1"/>
  </r>
  <r>
    <n v="659"/>
    <x v="0"/>
    <x v="0"/>
    <s v="Eitemiller, Mr. George Floyd"/>
    <x v="2"/>
    <x v="0"/>
    <x v="11"/>
    <x v="1"/>
    <x v="0"/>
    <n v="29751"/>
    <x v="91"/>
    <m/>
    <s v=""/>
    <x v="0"/>
    <x v="43"/>
    <x v="0"/>
    <x v="1"/>
  </r>
  <r>
    <n v="215"/>
    <x v="0"/>
    <x v="2"/>
    <s v="Kiernan, Mr. Philip"/>
    <x v="13"/>
    <x v="0"/>
    <x v="5"/>
    <x v="0"/>
    <x v="0"/>
    <n v="367229"/>
    <x v="12"/>
    <m/>
    <s v=""/>
    <x v="0"/>
    <x v="21"/>
    <x v="0"/>
    <x v="2"/>
  </r>
  <r>
    <n v="671"/>
    <x v="1"/>
    <x v="0"/>
    <s v="Brown, Mrs. Thomas William Solomon (Elizabeth Catherine Ford)"/>
    <x v="47"/>
    <x v="1"/>
    <x v="37"/>
    <x v="0"/>
    <x v="2"/>
    <n v="29750"/>
    <x v="170"/>
    <m/>
    <s v=""/>
    <x v="0"/>
    <x v="43"/>
    <x v="0"/>
    <x v="1"/>
  </r>
  <r>
    <n v="127"/>
    <x v="0"/>
    <x v="2"/>
    <s v="McMahon, Mr. Martin"/>
    <x v="13"/>
    <x v="0"/>
    <x v="5"/>
    <x v="1"/>
    <x v="0"/>
    <n v="370372"/>
    <x v="12"/>
    <m/>
    <s v=""/>
    <x v="0"/>
    <x v="31"/>
    <x v="0"/>
    <x v="2"/>
  </r>
  <r>
    <n v="685"/>
    <x v="0"/>
    <x v="0"/>
    <s v="Brown, Mr. Thomas William Solomon"/>
    <x v="37"/>
    <x v="0"/>
    <x v="52"/>
    <x v="0"/>
    <x v="2"/>
    <n v="29750"/>
    <x v="170"/>
    <m/>
    <s v=""/>
    <x v="0"/>
    <x v="43"/>
    <x v="0"/>
    <x v="1"/>
  </r>
  <r>
    <n v="197"/>
    <x v="0"/>
    <x v="2"/>
    <s v="Mernagh, Mr. Robert"/>
    <x v="13"/>
    <x v="0"/>
    <x v="5"/>
    <x v="1"/>
    <x v="0"/>
    <n v="368703"/>
    <x v="12"/>
    <m/>
    <s v=""/>
    <x v="0"/>
    <x v="21"/>
    <x v="0"/>
    <x v="2"/>
  </r>
  <r>
    <n v="758"/>
    <x v="0"/>
    <x v="0"/>
    <s v="Bailey, Mr. Percy Andrew"/>
    <x v="22"/>
    <x v="0"/>
    <x v="29"/>
    <x v="1"/>
    <x v="0"/>
    <n v="29108"/>
    <x v="168"/>
    <m/>
    <s v=""/>
    <x v="0"/>
    <x v="43"/>
    <x v="0"/>
    <x v="1"/>
  </r>
  <r>
    <n v="408"/>
    <x v="1"/>
    <x v="0"/>
    <s v="Richards, Master. William Rowe"/>
    <x v="20"/>
    <x v="0"/>
    <x v="12"/>
    <x v="0"/>
    <x v="2"/>
    <n v="29106"/>
    <x v="199"/>
    <m/>
    <s v=""/>
    <x v="0"/>
    <x v="43"/>
    <x v="0"/>
    <x v="1"/>
  </r>
  <r>
    <n v="261"/>
    <x v="0"/>
    <x v="2"/>
    <s v="Smith, Mr. Thomas"/>
    <x v="28"/>
    <x v="0"/>
    <x v="5"/>
    <x v="1"/>
    <x v="0"/>
    <n v="384461"/>
    <x v="12"/>
    <m/>
    <s v=""/>
    <x v="0"/>
    <x v="4"/>
    <x v="0"/>
    <x v="2"/>
  </r>
  <r>
    <n v="438"/>
    <x v="1"/>
    <x v="0"/>
    <s v="Richards, Mrs. Sidney (Emily Hocking)"/>
    <x v="31"/>
    <x v="1"/>
    <x v="21"/>
    <x v="2"/>
    <x v="3"/>
    <n v="29106"/>
    <x v="199"/>
    <m/>
    <s v=""/>
    <x v="0"/>
    <x v="43"/>
    <x v="0"/>
    <x v="1"/>
  </r>
  <r>
    <n v="265"/>
    <x v="0"/>
    <x v="2"/>
    <s v="Henry, Miss. Delia"/>
    <x v="3"/>
    <x v="1"/>
    <x v="5"/>
    <x v="1"/>
    <x v="0"/>
    <n v="382649"/>
    <x v="12"/>
    <m/>
    <s v=""/>
    <x v="0"/>
    <x v="4"/>
    <x v="0"/>
    <x v="2"/>
  </r>
  <r>
    <n v="832"/>
    <x v="1"/>
    <x v="0"/>
    <s v="Richards, Master. George Sibley"/>
    <x v="14"/>
    <x v="0"/>
    <x v="74"/>
    <x v="0"/>
    <x v="2"/>
    <n v="29106"/>
    <x v="199"/>
    <m/>
    <s v=""/>
    <x v="0"/>
    <x v="43"/>
    <x v="0"/>
    <x v="1"/>
  </r>
  <r>
    <n v="429"/>
    <x v="0"/>
    <x v="2"/>
    <s v="Flynn, Mr. James"/>
    <x v="10"/>
    <x v="0"/>
    <x v="5"/>
    <x v="1"/>
    <x v="0"/>
    <n v="364851"/>
    <x v="12"/>
    <m/>
    <s v=""/>
    <x v="0"/>
    <x v="21"/>
    <x v="0"/>
    <x v="2"/>
  </r>
  <r>
    <n v="460"/>
    <x v="0"/>
    <x v="2"/>
    <s v="O'Connor, Mr. Maurice"/>
    <x v="18"/>
    <x v="0"/>
    <x v="5"/>
    <x v="1"/>
    <x v="0"/>
    <n v="371060"/>
    <x v="12"/>
    <m/>
    <s v=""/>
    <x v="0"/>
    <x v="31"/>
    <x v="0"/>
    <x v="2"/>
  </r>
  <r>
    <n v="561"/>
    <x v="0"/>
    <x v="2"/>
    <s v="Morrow, Mr. Thomas Rowan"/>
    <x v="22"/>
    <x v="0"/>
    <x v="5"/>
    <x v="1"/>
    <x v="0"/>
    <n v="372622"/>
    <x v="12"/>
    <m/>
    <s v=""/>
    <x v="0"/>
    <x v="31"/>
    <x v="0"/>
    <x v="2"/>
  </r>
  <r>
    <n v="775"/>
    <x v="1"/>
    <x v="0"/>
    <s v="Hocking, Mrs. Elizabeth (Eliza Needs)"/>
    <x v="31"/>
    <x v="1"/>
    <x v="36"/>
    <x v="0"/>
    <x v="3"/>
    <n v="29105"/>
    <x v="169"/>
    <m/>
    <s v=""/>
    <x v="0"/>
    <x v="43"/>
    <x v="0"/>
    <x v="1"/>
  </r>
  <r>
    <n v="530"/>
    <x v="0"/>
    <x v="0"/>
    <s v="Hocking, Mr. Richard George"/>
    <x v="4"/>
    <x v="0"/>
    <x v="11"/>
    <x v="2"/>
    <x v="2"/>
    <n v="29104"/>
    <x v="168"/>
    <m/>
    <s v=""/>
    <x v="0"/>
    <x v="43"/>
    <x v="0"/>
    <x v="1"/>
  </r>
  <r>
    <n v="751"/>
    <x v="1"/>
    <x v="0"/>
    <s v="Wells, Miss. Joan"/>
    <x v="28"/>
    <x v="1"/>
    <x v="41"/>
    <x v="0"/>
    <x v="2"/>
    <n v="29103"/>
    <x v="169"/>
    <m/>
    <s v=""/>
    <x v="0"/>
    <x v="43"/>
    <x v="0"/>
    <x v="1"/>
  </r>
  <r>
    <n v="318"/>
    <x v="0"/>
    <x v="0"/>
    <s v="Moraweck, Dr. Ernest"/>
    <x v="15"/>
    <x v="0"/>
    <x v="36"/>
    <x v="1"/>
    <x v="0"/>
    <n v="29011"/>
    <x v="200"/>
    <m/>
    <s v=""/>
    <x v="0"/>
    <x v="43"/>
    <x v="0"/>
    <x v="1"/>
  </r>
  <r>
    <n v="594"/>
    <x v="0"/>
    <x v="2"/>
    <s v="Bourke, Miss. Mary"/>
    <x v="3"/>
    <x v="1"/>
    <x v="5"/>
    <x v="1"/>
    <x v="1"/>
    <n v="364848"/>
    <x v="12"/>
    <m/>
    <s v=""/>
    <x v="0"/>
    <x v="21"/>
    <x v="0"/>
    <x v="2"/>
  </r>
  <r>
    <n v="614"/>
    <x v="0"/>
    <x v="2"/>
    <s v="Horgan, Mr. John"/>
    <x v="10"/>
    <x v="0"/>
    <x v="5"/>
    <x v="1"/>
    <x v="0"/>
    <n v="370377"/>
    <x v="12"/>
    <m/>
    <s v=""/>
    <x v="0"/>
    <x v="31"/>
    <x v="0"/>
    <x v="2"/>
  </r>
  <r>
    <n v="239"/>
    <x v="0"/>
    <x v="0"/>
    <s v="Pengelly, Mr. Frederick William"/>
    <x v="14"/>
    <x v="0"/>
    <x v="16"/>
    <x v="1"/>
    <x v="0"/>
    <n v="28665"/>
    <x v="2"/>
    <m/>
    <s v=""/>
    <x v="0"/>
    <x v="44"/>
    <x v="0"/>
    <x v="1"/>
  </r>
  <r>
    <n v="406"/>
    <x v="0"/>
    <x v="0"/>
    <s v="Gale, Mr. Shadrach"/>
    <x v="3"/>
    <x v="0"/>
    <x v="51"/>
    <x v="0"/>
    <x v="0"/>
    <n v="28664"/>
    <x v="73"/>
    <m/>
    <s v=""/>
    <x v="0"/>
    <x v="44"/>
    <x v="0"/>
    <x v="1"/>
  </r>
  <r>
    <n v="328"/>
    <x v="1"/>
    <x v="0"/>
    <s v="Ball, Mrs. (Ada E Hall)"/>
    <x v="1"/>
    <x v="1"/>
    <x v="1"/>
    <x v="1"/>
    <x v="0"/>
    <n v="28551"/>
    <x v="91"/>
    <s v="D"/>
    <s v="D"/>
    <x v="0"/>
    <x v="44"/>
    <x v="3"/>
    <x v="1"/>
  </r>
  <r>
    <n v="449"/>
    <x v="1"/>
    <x v="2"/>
    <s v="Baclini, Miss. Marie Catherine"/>
    <x v="20"/>
    <x v="1"/>
    <x v="50"/>
    <x v="2"/>
    <x v="2"/>
    <n v="2666"/>
    <x v="201"/>
    <m/>
    <s v=""/>
    <x v="0"/>
    <x v="37"/>
    <x v="0"/>
    <x v="0"/>
  </r>
  <r>
    <n v="470"/>
    <x v="1"/>
    <x v="2"/>
    <s v="Baclini, Miss. Helene Barbara"/>
    <x v="21"/>
    <x v="1"/>
    <x v="81"/>
    <x v="2"/>
    <x v="2"/>
    <n v="2666"/>
    <x v="201"/>
    <m/>
    <s v=""/>
    <x v="0"/>
    <x v="37"/>
    <x v="0"/>
    <x v="0"/>
  </r>
  <r>
    <n v="734"/>
    <x v="0"/>
    <x v="0"/>
    <s v="Berriman, Mr. William John"/>
    <x v="9"/>
    <x v="0"/>
    <x v="11"/>
    <x v="1"/>
    <x v="0"/>
    <n v="28425"/>
    <x v="91"/>
    <m/>
    <s v=""/>
    <x v="0"/>
    <x v="44"/>
    <x v="0"/>
    <x v="1"/>
  </r>
  <r>
    <n v="192"/>
    <x v="0"/>
    <x v="0"/>
    <s v="Carbines, Mr. William"/>
    <x v="18"/>
    <x v="0"/>
    <x v="16"/>
    <x v="1"/>
    <x v="0"/>
    <n v="28424"/>
    <x v="91"/>
    <m/>
    <s v=""/>
    <x v="0"/>
    <x v="44"/>
    <x v="0"/>
    <x v="1"/>
  </r>
  <r>
    <n v="398"/>
    <x v="0"/>
    <x v="0"/>
    <s v="McKane, Mr. Peter David"/>
    <x v="1"/>
    <x v="0"/>
    <x v="4"/>
    <x v="1"/>
    <x v="0"/>
    <n v="28403"/>
    <x v="36"/>
    <m/>
    <s v=""/>
    <x v="0"/>
    <x v="44"/>
    <x v="0"/>
    <x v="1"/>
  </r>
  <r>
    <n v="791"/>
    <x v="0"/>
    <x v="2"/>
    <s v="Keane, Mr. Andrew &quot;Andy&quot;"/>
    <x v="22"/>
    <x v="0"/>
    <x v="5"/>
    <x v="1"/>
    <x v="0"/>
    <n v="12460"/>
    <x v="12"/>
    <m/>
    <s v=""/>
    <x v="0"/>
    <x v="45"/>
    <x v="0"/>
    <x v="2"/>
  </r>
  <r>
    <n v="583"/>
    <x v="0"/>
    <x v="0"/>
    <s v="Downton, Mr. William James"/>
    <x v="9"/>
    <x v="0"/>
    <x v="36"/>
    <x v="1"/>
    <x v="0"/>
    <n v="28403"/>
    <x v="36"/>
    <m/>
    <s v=""/>
    <x v="0"/>
    <x v="44"/>
    <x v="0"/>
    <x v="1"/>
  </r>
  <r>
    <n v="33"/>
    <x v="1"/>
    <x v="2"/>
    <s v="Glynn, Miss. Mary Agatha"/>
    <x v="22"/>
    <x v="1"/>
    <x v="5"/>
    <x v="1"/>
    <x v="0"/>
    <n v="335677"/>
    <x v="12"/>
    <m/>
    <s v=""/>
    <x v="0"/>
    <x v="35"/>
    <x v="0"/>
    <x v="2"/>
  </r>
  <r>
    <n v="419"/>
    <x v="0"/>
    <x v="0"/>
    <s v="Matthews, Mr. William John"/>
    <x v="9"/>
    <x v="0"/>
    <x v="3"/>
    <x v="1"/>
    <x v="0"/>
    <n v="28228"/>
    <x v="91"/>
    <m/>
    <s v=""/>
    <x v="0"/>
    <x v="44"/>
    <x v="0"/>
    <x v="1"/>
  </r>
  <r>
    <n v="417"/>
    <x v="1"/>
    <x v="0"/>
    <s v="Drew, Mrs. James Vivian (Lulu Thorne Christian)"/>
    <x v="35"/>
    <x v="1"/>
    <x v="51"/>
    <x v="0"/>
    <x v="2"/>
    <n v="28220"/>
    <x v="202"/>
    <m/>
    <s v=""/>
    <x v="0"/>
    <x v="44"/>
    <x v="0"/>
    <x v="1"/>
  </r>
  <r>
    <n v="796"/>
    <x v="0"/>
    <x v="0"/>
    <s v="Otter, Mr. Richard"/>
    <x v="3"/>
    <x v="0"/>
    <x v="24"/>
    <x v="1"/>
    <x v="0"/>
    <n v="28213"/>
    <x v="91"/>
    <m/>
    <s v=""/>
    <x v="0"/>
    <x v="44"/>
    <x v="0"/>
    <x v="1"/>
  </r>
  <r>
    <n v="48"/>
    <x v="1"/>
    <x v="2"/>
    <s v="O'Driscoll, Miss. Bridget"/>
    <x v="0"/>
    <x v="1"/>
    <x v="5"/>
    <x v="1"/>
    <x v="0"/>
    <n v="14311"/>
    <x v="12"/>
    <m/>
    <s v=""/>
    <x v="0"/>
    <x v="46"/>
    <x v="0"/>
    <x v="2"/>
  </r>
  <r>
    <n v="813"/>
    <x v="0"/>
    <x v="0"/>
    <s v="Slemen, Mr. Richard James"/>
    <x v="0"/>
    <x v="0"/>
    <x v="27"/>
    <x v="1"/>
    <x v="0"/>
    <n v="28206"/>
    <x v="2"/>
    <m/>
    <s v=""/>
    <x v="0"/>
    <x v="44"/>
    <x v="0"/>
    <x v="1"/>
  </r>
  <r>
    <n v="862"/>
    <x v="0"/>
    <x v="0"/>
    <s v="Giles, Mr. Frederick Edward"/>
    <x v="4"/>
    <x v="0"/>
    <x v="9"/>
    <x v="0"/>
    <x v="0"/>
    <n v="28134"/>
    <x v="168"/>
    <m/>
    <s v=""/>
    <x v="0"/>
    <x v="44"/>
    <x v="0"/>
    <x v="1"/>
  </r>
  <r>
    <n v="199"/>
    <x v="1"/>
    <x v="2"/>
    <s v="Madigan, Miss. Margaret &quot;Maggie&quot;"/>
    <x v="7"/>
    <x v="1"/>
    <x v="5"/>
    <x v="1"/>
    <x v="0"/>
    <n v="370370"/>
    <x v="12"/>
    <m/>
    <s v=""/>
    <x v="0"/>
    <x v="31"/>
    <x v="0"/>
    <x v="2"/>
  </r>
  <r>
    <n v="388"/>
    <x v="1"/>
    <x v="0"/>
    <s v="Buss, Miss. Kate"/>
    <x v="10"/>
    <x v="1"/>
    <x v="1"/>
    <x v="1"/>
    <x v="0"/>
    <n v="27849"/>
    <x v="91"/>
    <m/>
    <s v=""/>
    <x v="0"/>
    <x v="36"/>
    <x v="0"/>
    <x v="1"/>
  </r>
  <r>
    <n v="124"/>
    <x v="1"/>
    <x v="0"/>
    <s v="Webber, Miss. Susan"/>
    <x v="13"/>
    <x v="1"/>
    <x v="46"/>
    <x v="1"/>
    <x v="0"/>
    <n v="27267"/>
    <x v="91"/>
    <s v="E101"/>
    <s v="101"/>
    <x v="13"/>
    <x v="36"/>
    <x v="2"/>
    <x v="1"/>
  </r>
  <r>
    <n v="275"/>
    <x v="1"/>
    <x v="2"/>
    <s v="Healy, Miss. Hanora &quot;Nora&quot;"/>
    <x v="9"/>
    <x v="1"/>
    <x v="5"/>
    <x v="1"/>
    <x v="0"/>
    <n v="370375"/>
    <x v="12"/>
    <m/>
    <s v=""/>
    <x v="0"/>
    <x v="31"/>
    <x v="0"/>
    <x v="2"/>
  </r>
  <r>
    <n v="631"/>
    <x v="1"/>
    <x v="1"/>
    <s v="Barkworth, Mr. Algernon Henry Wilson"/>
    <x v="8"/>
    <x v="0"/>
    <x v="82"/>
    <x v="1"/>
    <x v="0"/>
    <n v="27042"/>
    <x v="80"/>
    <s v="A23"/>
    <s v="23"/>
    <x v="76"/>
    <x v="36"/>
    <x v="6"/>
    <x v="1"/>
  </r>
  <r>
    <n v="301"/>
    <x v="1"/>
    <x v="2"/>
    <s v="Kelly, Miss. Anna Katherine &quot;Annie Kate&quot;"/>
    <x v="11"/>
    <x v="1"/>
    <x v="5"/>
    <x v="1"/>
    <x v="0"/>
    <n v="9234"/>
    <x v="12"/>
    <m/>
    <s v=""/>
    <x v="0"/>
    <x v="47"/>
    <x v="0"/>
    <x v="2"/>
  </r>
  <r>
    <n v="237"/>
    <x v="0"/>
    <x v="0"/>
    <s v="Hold, Mr. Stephen"/>
    <x v="28"/>
    <x v="0"/>
    <x v="28"/>
    <x v="0"/>
    <x v="0"/>
    <n v="26707"/>
    <x v="36"/>
    <m/>
    <s v=""/>
    <x v="0"/>
    <x v="37"/>
    <x v="0"/>
    <x v="1"/>
  </r>
  <r>
    <n v="369"/>
    <x v="1"/>
    <x v="2"/>
    <s v="Jermyn, Miss. Annie"/>
    <x v="13"/>
    <x v="1"/>
    <x v="5"/>
    <x v="1"/>
    <x v="0"/>
    <n v="14313"/>
    <x v="12"/>
    <m/>
    <s v=""/>
    <x v="0"/>
    <x v="46"/>
    <x v="0"/>
    <x v="2"/>
  </r>
  <r>
    <n v="655"/>
    <x v="0"/>
    <x v="2"/>
    <s v="Hegarty, Miss. Hanora &quot;Nora&quot;"/>
    <x v="2"/>
    <x v="1"/>
    <x v="29"/>
    <x v="1"/>
    <x v="0"/>
    <n v="365226"/>
    <x v="148"/>
    <m/>
    <s v=""/>
    <x v="0"/>
    <x v="21"/>
    <x v="0"/>
    <x v="2"/>
  </r>
  <r>
    <n v="574"/>
    <x v="1"/>
    <x v="2"/>
    <s v="Kelly, Miss. Mary"/>
    <x v="28"/>
    <x v="1"/>
    <x v="5"/>
    <x v="1"/>
    <x v="0"/>
    <n v="14312"/>
    <x v="12"/>
    <m/>
    <s v=""/>
    <x v="0"/>
    <x v="46"/>
    <x v="0"/>
    <x v="2"/>
  </r>
  <r>
    <n v="658"/>
    <x v="0"/>
    <x v="2"/>
    <s v="Bourke, Mrs. John (Catherine)"/>
    <x v="21"/>
    <x v="1"/>
    <x v="23"/>
    <x v="0"/>
    <x v="2"/>
    <n v="364849"/>
    <x v="154"/>
    <m/>
    <s v=""/>
    <x v="0"/>
    <x v="21"/>
    <x v="0"/>
    <x v="2"/>
  </r>
  <r>
    <n v="645"/>
    <x v="1"/>
    <x v="2"/>
    <s v="Baclini, Miss. Eugenie"/>
    <x v="5"/>
    <x v="1"/>
    <x v="81"/>
    <x v="2"/>
    <x v="2"/>
    <n v="2666"/>
    <x v="201"/>
    <m/>
    <s v=""/>
    <x v="0"/>
    <x v="37"/>
    <x v="0"/>
    <x v="0"/>
  </r>
  <r>
    <n v="507"/>
    <x v="1"/>
    <x v="0"/>
    <s v="Quick, Mrs. Frederick Charles (Jane Richards)"/>
    <x v="36"/>
    <x v="1"/>
    <x v="33"/>
    <x v="1"/>
    <x v="1"/>
    <n v="26360"/>
    <x v="36"/>
    <m/>
    <s v=""/>
    <x v="0"/>
    <x v="37"/>
    <x v="0"/>
    <x v="1"/>
  </r>
  <r>
    <n v="531"/>
    <x v="1"/>
    <x v="0"/>
    <s v="Quick, Miss. Phyllis May"/>
    <x v="22"/>
    <x v="1"/>
    <x v="61"/>
    <x v="0"/>
    <x v="2"/>
    <n v="26360"/>
    <x v="36"/>
    <m/>
    <s v=""/>
    <x v="0"/>
    <x v="37"/>
    <x v="0"/>
    <x v="1"/>
  </r>
  <r>
    <n v="829"/>
    <x v="1"/>
    <x v="2"/>
    <s v="McCormack, Mr. Thomas Joseph"/>
    <x v="2"/>
    <x v="0"/>
    <x v="5"/>
    <x v="1"/>
    <x v="0"/>
    <n v="367228"/>
    <x v="12"/>
    <m/>
    <s v=""/>
    <x v="0"/>
    <x v="21"/>
    <x v="0"/>
    <x v="2"/>
  </r>
  <r>
    <n v="690"/>
    <x v="1"/>
    <x v="1"/>
    <s v="Madill, Miss. Georgette Alexandra"/>
    <x v="37"/>
    <x v="1"/>
    <x v="66"/>
    <x v="1"/>
    <x v="2"/>
    <n v="24160"/>
    <x v="203"/>
    <s v="B5"/>
    <s v="5"/>
    <x v="0"/>
    <x v="40"/>
    <x v="1"/>
    <x v="1"/>
  </r>
  <r>
    <n v="779"/>
    <x v="0"/>
    <x v="2"/>
    <s v="Kilgannon, Mr. Thomas J"/>
    <x v="1"/>
    <x v="0"/>
    <x v="5"/>
    <x v="1"/>
    <x v="0"/>
    <n v="36865"/>
    <x v="204"/>
    <m/>
    <s v=""/>
    <x v="0"/>
    <x v="21"/>
    <x v="0"/>
    <x v="2"/>
  </r>
  <r>
    <n v="728"/>
    <x v="1"/>
    <x v="2"/>
    <s v="Mannion, Miss. Margareth"/>
    <x v="22"/>
    <x v="1"/>
    <x v="5"/>
    <x v="1"/>
    <x v="0"/>
    <n v="36866"/>
    <x v="204"/>
    <m/>
    <s v=""/>
    <x v="0"/>
    <x v="21"/>
    <x v="0"/>
    <x v="2"/>
  </r>
  <r>
    <n v="731"/>
    <x v="1"/>
    <x v="1"/>
    <s v="Allen, Miss. Elisabeth Walton"/>
    <x v="21"/>
    <x v="1"/>
    <x v="0"/>
    <x v="1"/>
    <x v="0"/>
    <n v="24160"/>
    <x v="203"/>
    <s v="B5"/>
    <s v="5"/>
    <x v="0"/>
    <x v="40"/>
    <x v="1"/>
    <x v="1"/>
  </r>
  <r>
    <n v="780"/>
    <x v="1"/>
    <x v="1"/>
    <s v="Robert, Mrs. Edward Scott (Elisabeth Walton McMillan)"/>
    <x v="12"/>
    <x v="1"/>
    <x v="43"/>
    <x v="1"/>
    <x v="2"/>
    <n v="24160"/>
    <x v="203"/>
    <s v="B3"/>
    <s v="3"/>
    <x v="0"/>
    <x v="40"/>
    <x v="1"/>
    <x v="1"/>
  </r>
  <r>
    <n v="223"/>
    <x v="0"/>
    <x v="2"/>
    <s v="Green, Mr. George Henry"/>
    <x v="1"/>
    <x v="0"/>
    <x v="38"/>
    <x v="1"/>
    <x v="0"/>
    <n v="21440"/>
    <x v="25"/>
    <m/>
    <s v=""/>
    <x v="0"/>
    <x v="34"/>
    <x v="0"/>
    <x v="1"/>
  </r>
  <r>
    <n v="670"/>
    <x v="1"/>
    <x v="1"/>
    <s v="Taylor, Mrs. Elmer Zebley (Juliet Cummins Wright)"/>
    <x v="26"/>
    <x v="1"/>
    <x v="5"/>
    <x v="0"/>
    <x v="0"/>
    <n v="19996"/>
    <x v="74"/>
    <s v="C126"/>
    <s v="126"/>
    <x v="77"/>
    <x v="11"/>
    <x v="5"/>
    <x v="1"/>
  </r>
  <r>
    <n v="630"/>
    <x v="0"/>
    <x v="2"/>
    <s v="O'Connell, Mr. Patrick D"/>
    <x v="22"/>
    <x v="0"/>
    <x v="5"/>
    <x v="1"/>
    <x v="0"/>
    <n v="334912"/>
    <x v="150"/>
    <m/>
    <s v=""/>
    <x v="0"/>
    <x v="35"/>
    <x v="0"/>
    <x v="2"/>
  </r>
  <r>
    <n v="713"/>
    <x v="1"/>
    <x v="1"/>
    <s v="Taylor, Mr. Elmer Zebley"/>
    <x v="22"/>
    <x v="0"/>
    <x v="7"/>
    <x v="0"/>
    <x v="0"/>
    <n v="19996"/>
    <x v="74"/>
    <s v="C126"/>
    <s v="126"/>
    <x v="77"/>
    <x v="11"/>
    <x v="5"/>
    <x v="1"/>
  </r>
  <r>
    <n v="859"/>
    <x v="1"/>
    <x v="2"/>
    <s v="Baclini, Mrs. Solomon (Latifa Qurban)"/>
    <x v="31"/>
    <x v="1"/>
    <x v="21"/>
    <x v="1"/>
    <x v="3"/>
    <n v="2666"/>
    <x v="201"/>
    <m/>
    <s v=""/>
    <x v="0"/>
    <x v="37"/>
    <x v="0"/>
    <x v="0"/>
  </r>
  <r>
    <n v="112"/>
    <x v="0"/>
    <x v="2"/>
    <s v="Zabour, Miss. Hileni"/>
    <x v="15"/>
    <x v="1"/>
    <x v="83"/>
    <x v="0"/>
    <x v="0"/>
    <n v="2665"/>
    <x v="160"/>
    <m/>
    <s v=""/>
    <x v="0"/>
    <x v="37"/>
    <x v="0"/>
    <x v="0"/>
  </r>
  <r>
    <n v="299"/>
    <x v="1"/>
    <x v="1"/>
    <s v="Saalfeld, Mr. Adolphe"/>
    <x v="18"/>
    <x v="0"/>
    <x v="5"/>
    <x v="1"/>
    <x v="0"/>
    <n v="19988"/>
    <x v="112"/>
    <s v="C106"/>
    <s v="106"/>
    <x v="78"/>
    <x v="11"/>
    <x v="5"/>
    <x v="1"/>
  </r>
  <r>
    <n v="823"/>
    <x v="0"/>
    <x v="1"/>
    <s v="Reuchlin, Jonkheer. John George"/>
    <x v="14"/>
    <x v="0"/>
    <x v="14"/>
    <x v="1"/>
    <x v="0"/>
    <n v="19972"/>
    <x v="64"/>
    <m/>
    <s v=""/>
    <x v="0"/>
    <x v="11"/>
    <x v="0"/>
    <x v="1"/>
  </r>
  <r>
    <n v="241"/>
    <x v="0"/>
    <x v="2"/>
    <s v="Zabour, Miss. Thamine"/>
    <x v="18"/>
    <x v="1"/>
    <x v="5"/>
    <x v="0"/>
    <x v="0"/>
    <n v="2665"/>
    <x v="160"/>
    <m/>
    <s v=""/>
    <x v="0"/>
    <x v="37"/>
    <x v="0"/>
    <x v="0"/>
  </r>
  <r>
    <n v="698"/>
    <x v="1"/>
    <x v="2"/>
    <s v="Mullens, Miss. Katherine &quot;Katie&quot;"/>
    <x v="7"/>
    <x v="1"/>
    <x v="5"/>
    <x v="1"/>
    <x v="0"/>
    <n v="35852"/>
    <x v="150"/>
    <m/>
    <s v=""/>
    <x v="0"/>
    <x v="22"/>
    <x v="0"/>
    <x v="2"/>
  </r>
  <r>
    <n v="599"/>
    <x v="0"/>
    <x v="2"/>
    <s v="Boulos, Mr. Hanna"/>
    <x v="28"/>
    <x v="0"/>
    <x v="5"/>
    <x v="1"/>
    <x v="0"/>
    <n v="2664"/>
    <x v="159"/>
    <m/>
    <s v=""/>
    <x v="0"/>
    <x v="37"/>
    <x v="0"/>
    <x v="0"/>
  </r>
  <r>
    <n v="461"/>
    <x v="1"/>
    <x v="1"/>
    <s v="Anderson, Mr. Harry"/>
    <x v="13"/>
    <x v="0"/>
    <x v="7"/>
    <x v="1"/>
    <x v="0"/>
    <n v="19952"/>
    <x v="79"/>
    <s v="E12"/>
    <s v="12"/>
    <x v="79"/>
    <x v="11"/>
    <x v="2"/>
    <x v="1"/>
  </r>
  <r>
    <n v="389"/>
    <x v="0"/>
    <x v="2"/>
    <s v="Sadlier, Mr. Matthew"/>
    <x v="15"/>
    <x v="0"/>
    <x v="5"/>
    <x v="1"/>
    <x v="0"/>
    <n v="367655"/>
    <x v="205"/>
    <m/>
    <s v=""/>
    <x v="0"/>
    <x v="21"/>
    <x v="0"/>
    <x v="2"/>
  </r>
  <r>
    <n v="439"/>
    <x v="0"/>
    <x v="1"/>
    <s v="Fortune, Mr. Mark"/>
    <x v="28"/>
    <x v="0"/>
    <x v="84"/>
    <x v="0"/>
    <x v="6"/>
    <n v="19950"/>
    <x v="206"/>
    <s v="C23 C25 C27"/>
    <s v="23 "/>
    <x v="76"/>
    <x v="11"/>
    <x v="5"/>
    <x v="1"/>
  </r>
  <r>
    <n v="763"/>
    <x v="1"/>
    <x v="2"/>
    <s v="Barah, Mr. Hanna Assi"/>
    <x v="18"/>
    <x v="0"/>
    <x v="25"/>
    <x v="1"/>
    <x v="0"/>
    <n v="2663"/>
    <x v="146"/>
    <m/>
    <s v=""/>
    <x v="0"/>
    <x v="37"/>
    <x v="0"/>
    <x v="0"/>
  </r>
  <r>
    <n v="704"/>
    <x v="0"/>
    <x v="2"/>
    <s v="Gallagher, Mr. Martin"/>
    <x v="18"/>
    <x v="0"/>
    <x v="17"/>
    <x v="1"/>
    <x v="0"/>
    <n v="36864"/>
    <x v="207"/>
    <m/>
    <s v=""/>
    <x v="0"/>
    <x v="21"/>
    <x v="0"/>
    <x v="2"/>
  </r>
  <r>
    <n v="28"/>
    <x v="0"/>
    <x v="1"/>
    <s v="Fortune, Mr. Charles Alexander"/>
    <x v="20"/>
    <x v="0"/>
    <x v="16"/>
    <x v="6"/>
    <x v="1"/>
    <n v="19950"/>
    <x v="206"/>
    <s v="C23 C25 C27"/>
    <s v="23 "/>
    <x v="76"/>
    <x v="11"/>
    <x v="5"/>
    <x v="1"/>
  </r>
  <r>
    <n v="469"/>
    <x v="0"/>
    <x v="2"/>
    <s v="Scanlan, Mr. James"/>
    <x v="3"/>
    <x v="0"/>
    <x v="5"/>
    <x v="1"/>
    <x v="0"/>
    <n v="36209"/>
    <x v="208"/>
    <m/>
    <s v=""/>
    <x v="0"/>
    <x v="21"/>
    <x v="0"/>
    <x v="2"/>
  </r>
  <r>
    <n v="503"/>
    <x v="0"/>
    <x v="2"/>
    <s v="O'Sullivan, Miss. Bridget Mary"/>
    <x v="20"/>
    <x v="1"/>
    <x v="5"/>
    <x v="1"/>
    <x v="0"/>
    <n v="330909"/>
    <x v="209"/>
    <m/>
    <s v=""/>
    <x v="0"/>
    <x v="35"/>
    <x v="0"/>
    <x v="2"/>
  </r>
  <r>
    <n v="89"/>
    <x v="1"/>
    <x v="1"/>
    <s v="Fortune, Miss. Mabel Helen"/>
    <x v="9"/>
    <x v="1"/>
    <x v="11"/>
    <x v="6"/>
    <x v="1"/>
    <n v="19950"/>
    <x v="206"/>
    <s v="C23 C25 C27"/>
    <s v="23 "/>
    <x v="76"/>
    <x v="11"/>
    <x v="5"/>
    <x v="1"/>
  </r>
  <r>
    <n v="342"/>
    <x v="1"/>
    <x v="1"/>
    <s v="Fortune, Miss. Alice Elizabeth"/>
    <x v="20"/>
    <x v="1"/>
    <x v="21"/>
    <x v="6"/>
    <x v="1"/>
    <n v="19950"/>
    <x v="206"/>
    <s v="C23 C25 C27"/>
    <s v="23 "/>
    <x v="76"/>
    <x v="11"/>
    <x v="5"/>
    <x v="1"/>
  </r>
  <r>
    <n v="56"/>
    <x v="1"/>
    <x v="1"/>
    <s v="Woolner, Mr. Hugh"/>
    <x v="28"/>
    <x v="0"/>
    <x v="5"/>
    <x v="1"/>
    <x v="0"/>
    <n v="19947"/>
    <x v="113"/>
    <s v="C52"/>
    <s v="52"/>
    <x v="69"/>
    <x v="11"/>
    <x v="5"/>
    <x v="1"/>
  </r>
  <r>
    <n v="225"/>
    <x v="1"/>
    <x v="1"/>
    <s v="Hoyt, Mr. Frederick Maxfield"/>
    <x v="2"/>
    <x v="0"/>
    <x v="14"/>
    <x v="0"/>
    <x v="0"/>
    <n v="19943"/>
    <x v="47"/>
    <s v="C93"/>
    <s v="93"/>
    <x v="80"/>
    <x v="11"/>
    <x v="5"/>
    <x v="1"/>
  </r>
  <r>
    <n v="487"/>
    <x v="1"/>
    <x v="1"/>
    <s v="Hoyt, Mrs. Frederick Maxfield (Jane Anne Forby)"/>
    <x v="35"/>
    <x v="1"/>
    <x v="27"/>
    <x v="0"/>
    <x v="0"/>
    <n v="19943"/>
    <x v="47"/>
    <s v="C93"/>
    <s v="93"/>
    <x v="80"/>
    <x v="11"/>
    <x v="5"/>
    <x v="1"/>
  </r>
  <r>
    <n v="291"/>
    <x v="1"/>
    <x v="1"/>
    <s v="Barber, Miss. Ellen &quot;Nellie&quot;"/>
    <x v="2"/>
    <x v="1"/>
    <x v="20"/>
    <x v="1"/>
    <x v="0"/>
    <n v="19877"/>
    <x v="210"/>
    <m/>
    <s v=""/>
    <x v="0"/>
    <x v="11"/>
    <x v="0"/>
    <x v="1"/>
  </r>
  <r>
    <n v="742"/>
    <x v="0"/>
    <x v="1"/>
    <s v="Cavendish, Mr. Tyrell William"/>
    <x v="21"/>
    <x v="0"/>
    <x v="1"/>
    <x v="0"/>
    <x v="0"/>
    <n v="19877"/>
    <x v="210"/>
    <s v="C46"/>
    <s v="46"/>
    <x v="75"/>
    <x v="11"/>
    <x v="5"/>
    <x v="1"/>
  </r>
  <r>
    <n v="691"/>
    <x v="1"/>
    <x v="1"/>
    <s v="Dick, Mr. Albert Adrian"/>
    <x v="1"/>
    <x v="0"/>
    <x v="19"/>
    <x v="0"/>
    <x v="0"/>
    <n v="17474"/>
    <x v="211"/>
    <s v="B20"/>
    <s v="20"/>
    <x v="29"/>
    <x v="23"/>
    <x v="1"/>
    <x v="1"/>
  </r>
  <r>
    <n v="49"/>
    <x v="0"/>
    <x v="2"/>
    <s v="Samaan, Mr. Youssef"/>
    <x v="13"/>
    <x v="0"/>
    <x v="5"/>
    <x v="2"/>
    <x v="0"/>
    <n v="2662"/>
    <x v="212"/>
    <m/>
    <s v=""/>
    <x v="0"/>
    <x v="37"/>
    <x v="0"/>
    <x v="0"/>
  </r>
  <r>
    <n v="782"/>
    <x v="1"/>
    <x v="1"/>
    <s v="Dick, Mrs. Albert Adrian (Vera Gillespie)"/>
    <x v="30"/>
    <x v="1"/>
    <x v="18"/>
    <x v="0"/>
    <x v="0"/>
    <n v="17474"/>
    <x v="211"/>
    <s v="B20"/>
    <s v="20"/>
    <x v="29"/>
    <x v="23"/>
    <x v="1"/>
    <x v="1"/>
  </r>
  <r>
    <n v="863"/>
    <x v="1"/>
    <x v="1"/>
    <s v="Swift, Mrs. Frederick Joel (Margaret Welles Barron)"/>
    <x v="32"/>
    <x v="1"/>
    <x v="7"/>
    <x v="1"/>
    <x v="0"/>
    <n v="17466"/>
    <x v="213"/>
    <s v="D17"/>
    <s v="17"/>
    <x v="63"/>
    <x v="23"/>
    <x v="3"/>
    <x v="1"/>
  </r>
  <r>
    <n v="797"/>
    <x v="1"/>
    <x v="1"/>
    <s v="Leader, Dr. Alice (Farnham)"/>
    <x v="4"/>
    <x v="1"/>
    <x v="40"/>
    <x v="1"/>
    <x v="0"/>
    <n v="17465"/>
    <x v="213"/>
    <s v="D17"/>
    <s v="17"/>
    <x v="63"/>
    <x v="23"/>
    <x v="3"/>
    <x v="1"/>
  </r>
  <r>
    <n v="458"/>
    <x v="1"/>
    <x v="1"/>
    <s v="Kenyon, Mrs. Frederick R (Marion)"/>
    <x v="37"/>
    <x v="1"/>
    <x v="5"/>
    <x v="0"/>
    <x v="0"/>
    <n v="17464"/>
    <x v="214"/>
    <s v="D21"/>
    <s v="21"/>
    <x v="81"/>
    <x v="23"/>
    <x v="3"/>
    <x v="1"/>
  </r>
  <r>
    <n v="7"/>
    <x v="0"/>
    <x v="1"/>
    <s v="McCarthy, Mr. Timothy J"/>
    <x v="1"/>
    <x v="0"/>
    <x v="36"/>
    <x v="1"/>
    <x v="0"/>
    <n v="17463"/>
    <x v="214"/>
    <s v="E46"/>
    <s v="46"/>
    <x v="75"/>
    <x v="23"/>
    <x v="2"/>
    <x v="1"/>
  </r>
  <r>
    <n v="741"/>
    <x v="1"/>
    <x v="1"/>
    <s v="Hawksford, Mr. Walter James"/>
    <x v="4"/>
    <x v="0"/>
    <x v="5"/>
    <x v="1"/>
    <x v="0"/>
    <n v="16988"/>
    <x v="80"/>
    <s v="D45"/>
    <s v="45"/>
    <x v="10"/>
    <x v="29"/>
    <x v="3"/>
    <x v="1"/>
  </r>
  <r>
    <n v="589"/>
    <x v="0"/>
    <x v="2"/>
    <s v="Gilinski, Mr. Eliezer"/>
    <x v="18"/>
    <x v="0"/>
    <x v="13"/>
    <x v="1"/>
    <x v="0"/>
    <n v="14973"/>
    <x v="25"/>
    <m/>
    <s v=""/>
    <x v="0"/>
    <x v="46"/>
    <x v="0"/>
    <x v="1"/>
  </r>
  <r>
    <n v="457"/>
    <x v="0"/>
    <x v="1"/>
    <s v="Millet, Mr. Francis Davis"/>
    <x v="0"/>
    <x v="0"/>
    <x v="47"/>
    <x v="1"/>
    <x v="0"/>
    <n v="13509"/>
    <x v="79"/>
    <s v="E38"/>
    <s v="38"/>
    <x v="3"/>
    <x v="33"/>
    <x v="2"/>
    <x v="1"/>
  </r>
  <r>
    <n v="435"/>
    <x v="0"/>
    <x v="1"/>
    <s v="Silvey, Mr. William Baird"/>
    <x v="0"/>
    <x v="0"/>
    <x v="15"/>
    <x v="0"/>
    <x v="0"/>
    <n v="13507"/>
    <x v="215"/>
    <s v="E44"/>
    <s v="44"/>
    <x v="82"/>
    <x v="33"/>
    <x v="2"/>
    <x v="1"/>
  </r>
  <r>
    <n v="750"/>
    <x v="0"/>
    <x v="2"/>
    <s v="Connaghton, Mr. Michael"/>
    <x v="1"/>
    <x v="0"/>
    <x v="19"/>
    <x v="1"/>
    <x v="0"/>
    <n v="335097"/>
    <x v="12"/>
    <m/>
    <s v=""/>
    <x v="0"/>
    <x v="35"/>
    <x v="0"/>
    <x v="2"/>
  </r>
  <r>
    <n v="578"/>
    <x v="1"/>
    <x v="1"/>
    <s v="Silvey, Mrs. William Baird (Alice Munger)"/>
    <x v="30"/>
    <x v="1"/>
    <x v="24"/>
    <x v="0"/>
    <x v="0"/>
    <n v="13507"/>
    <x v="215"/>
    <s v="E44"/>
    <s v="44"/>
    <x v="82"/>
    <x v="33"/>
    <x v="2"/>
    <x v="1"/>
  </r>
  <r>
    <n v="276"/>
    <x v="1"/>
    <x v="1"/>
    <s v="Andrews, Miss. Kornelia Theodosia"/>
    <x v="37"/>
    <x v="1"/>
    <x v="85"/>
    <x v="0"/>
    <x v="0"/>
    <n v="13502"/>
    <x v="216"/>
    <s v="D7"/>
    <s v="7"/>
    <x v="0"/>
    <x v="33"/>
    <x v="3"/>
    <x v="1"/>
  </r>
  <r>
    <n v="628"/>
    <x v="1"/>
    <x v="1"/>
    <s v="Longley, Miss. Gretchen Fiske"/>
    <x v="21"/>
    <x v="1"/>
    <x v="9"/>
    <x v="1"/>
    <x v="0"/>
    <n v="13502"/>
    <x v="216"/>
    <s v="D9"/>
    <s v="9"/>
    <x v="0"/>
    <x v="33"/>
    <x v="3"/>
    <x v="1"/>
  </r>
  <r>
    <n v="766"/>
    <x v="1"/>
    <x v="1"/>
    <s v="Hogeboom, Mrs. John C (Anna Andrews)"/>
    <x v="8"/>
    <x v="1"/>
    <x v="38"/>
    <x v="0"/>
    <x v="0"/>
    <n v="13502"/>
    <x v="216"/>
    <s v="D11"/>
    <s v="11"/>
    <x v="83"/>
    <x v="33"/>
    <x v="3"/>
    <x v="1"/>
  </r>
  <r>
    <n v="521"/>
    <x v="1"/>
    <x v="1"/>
    <s v="Perreault, Miss. Anne"/>
    <x v="18"/>
    <x v="1"/>
    <x v="3"/>
    <x v="1"/>
    <x v="0"/>
    <n v="12749"/>
    <x v="217"/>
    <s v="B73"/>
    <s v="73"/>
    <x v="84"/>
    <x v="45"/>
    <x v="1"/>
    <x v="1"/>
  </r>
  <r>
    <n v="66"/>
    <x v="1"/>
    <x v="2"/>
    <s v="Moubarek, Master. Gerios"/>
    <x v="22"/>
    <x v="0"/>
    <x v="5"/>
    <x v="0"/>
    <x v="2"/>
    <n v="2661"/>
    <x v="167"/>
    <m/>
    <s v=""/>
    <x v="0"/>
    <x v="37"/>
    <x v="0"/>
    <x v="0"/>
  </r>
  <r>
    <n v="821"/>
    <x v="1"/>
    <x v="1"/>
    <s v="Hays, Mrs. Charles Melville (Clara Jennings Gregg)"/>
    <x v="34"/>
    <x v="1"/>
    <x v="53"/>
    <x v="0"/>
    <x v="2"/>
    <n v="12749"/>
    <x v="217"/>
    <s v="B69"/>
    <s v="69"/>
    <x v="85"/>
    <x v="45"/>
    <x v="1"/>
    <x v="1"/>
  </r>
  <r>
    <n v="710"/>
    <x v="1"/>
    <x v="2"/>
    <s v="Moubarek, Master. Halim Gonios (&quot;William George&quot;)"/>
    <x v="26"/>
    <x v="0"/>
    <x v="5"/>
    <x v="0"/>
    <x v="2"/>
    <n v="2661"/>
    <x v="167"/>
    <m/>
    <s v=""/>
    <x v="0"/>
    <x v="37"/>
    <x v="0"/>
    <x v="0"/>
  </r>
  <r>
    <n v="723"/>
    <x v="0"/>
    <x v="0"/>
    <s v="Gillespie, Mr. William Henry"/>
    <x v="2"/>
    <x v="0"/>
    <x v="51"/>
    <x v="1"/>
    <x v="0"/>
    <n v="12233"/>
    <x v="91"/>
    <m/>
    <s v=""/>
    <x v="0"/>
    <x v="45"/>
    <x v="0"/>
    <x v="1"/>
  </r>
  <r>
    <n v="621"/>
    <x v="0"/>
    <x v="2"/>
    <s v="Yasbeck, Mr. Antoni"/>
    <x v="13"/>
    <x v="0"/>
    <x v="10"/>
    <x v="0"/>
    <x v="0"/>
    <n v="2659"/>
    <x v="160"/>
    <m/>
    <s v=""/>
    <x v="0"/>
    <x v="37"/>
    <x v="0"/>
    <x v="0"/>
  </r>
  <r>
    <n v="768"/>
    <x v="0"/>
    <x v="2"/>
    <s v="Mangan, Miss. Mary"/>
    <x v="3"/>
    <x v="1"/>
    <x v="64"/>
    <x v="1"/>
    <x v="0"/>
    <n v="364850"/>
    <x v="12"/>
    <m/>
    <s v=""/>
    <x v="0"/>
    <x v="21"/>
    <x v="0"/>
    <x v="2"/>
  </r>
  <r>
    <n v="831"/>
    <x v="1"/>
    <x v="2"/>
    <s v="Yasbeck, Mrs. Antoni (Selini Alexander)"/>
    <x v="6"/>
    <x v="1"/>
    <x v="66"/>
    <x v="0"/>
    <x v="0"/>
    <n v="2659"/>
    <x v="160"/>
    <m/>
    <s v=""/>
    <x v="0"/>
    <x v="37"/>
    <x v="0"/>
    <x v="0"/>
  </r>
  <r>
    <n v="572"/>
    <x v="1"/>
    <x v="1"/>
    <s v="Appleton, Mrs. Edward Dale (Charlotte Lamson)"/>
    <x v="36"/>
    <x v="1"/>
    <x v="86"/>
    <x v="2"/>
    <x v="0"/>
    <n v="11769"/>
    <x v="218"/>
    <s v="C101"/>
    <s v="101"/>
    <x v="13"/>
    <x v="5"/>
    <x v="5"/>
    <x v="1"/>
  </r>
  <r>
    <n v="622"/>
    <x v="1"/>
    <x v="1"/>
    <s v="Kimball, Mr. Edwin Nelson Jr"/>
    <x v="2"/>
    <x v="0"/>
    <x v="30"/>
    <x v="0"/>
    <x v="0"/>
    <n v="11753"/>
    <x v="219"/>
    <s v="D19"/>
    <s v="19"/>
    <x v="62"/>
    <x v="5"/>
    <x v="3"/>
    <x v="1"/>
  </r>
  <r>
    <n v="137"/>
    <x v="1"/>
    <x v="1"/>
    <s v="Newsom, Miss. Helen Monypeny"/>
    <x v="2"/>
    <x v="1"/>
    <x v="16"/>
    <x v="1"/>
    <x v="1"/>
    <n v="11752"/>
    <x v="220"/>
    <s v="D47"/>
    <s v="47"/>
    <x v="52"/>
    <x v="5"/>
    <x v="3"/>
    <x v="1"/>
  </r>
  <r>
    <n v="382"/>
    <x v="1"/>
    <x v="2"/>
    <s v="Nakid, Miss. Maria (&quot;Mary&quot;)"/>
    <x v="4"/>
    <x v="1"/>
    <x v="26"/>
    <x v="1"/>
    <x v="1"/>
    <n v="2653"/>
    <x v="221"/>
    <m/>
    <s v=""/>
    <x v="0"/>
    <x v="37"/>
    <x v="0"/>
    <x v="0"/>
  </r>
  <r>
    <n v="249"/>
    <x v="1"/>
    <x v="1"/>
    <s v="Beckwith, Mr. Richard Leonard"/>
    <x v="21"/>
    <x v="0"/>
    <x v="34"/>
    <x v="0"/>
    <x v="2"/>
    <n v="11751"/>
    <x v="219"/>
    <s v="D35"/>
    <s v="35"/>
    <x v="31"/>
    <x v="5"/>
    <x v="3"/>
    <x v="1"/>
  </r>
  <r>
    <n v="623"/>
    <x v="1"/>
    <x v="2"/>
    <s v="Nakid, Mr. Sahid"/>
    <x v="10"/>
    <x v="0"/>
    <x v="25"/>
    <x v="0"/>
    <x v="2"/>
    <n v="2653"/>
    <x v="221"/>
    <m/>
    <s v=""/>
    <x v="0"/>
    <x v="37"/>
    <x v="0"/>
    <x v="0"/>
  </r>
  <r>
    <n v="872"/>
    <x v="1"/>
    <x v="1"/>
    <s v="Beckwith, Mrs. Richard Leonard (Sallie Monypeny)"/>
    <x v="38"/>
    <x v="1"/>
    <x v="58"/>
    <x v="0"/>
    <x v="2"/>
    <n v="11751"/>
    <x v="219"/>
    <s v="D35"/>
    <s v="35"/>
    <x v="31"/>
    <x v="5"/>
    <x v="3"/>
    <x v="1"/>
  </r>
  <r>
    <n v="40"/>
    <x v="1"/>
    <x v="2"/>
    <s v="Nicola-Yarred, Miss. Jamila"/>
    <x v="4"/>
    <x v="1"/>
    <x v="45"/>
    <x v="0"/>
    <x v="0"/>
    <n v="2651"/>
    <x v="222"/>
    <m/>
    <s v=""/>
    <x v="0"/>
    <x v="37"/>
    <x v="0"/>
    <x v="0"/>
  </r>
  <r>
    <n v="126"/>
    <x v="1"/>
    <x v="2"/>
    <s v="Nicola-Yarred, Master. Elias"/>
    <x v="2"/>
    <x v="0"/>
    <x v="87"/>
    <x v="0"/>
    <x v="0"/>
    <n v="2651"/>
    <x v="222"/>
    <m/>
    <s v=""/>
    <x v="0"/>
    <x v="37"/>
    <x v="0"/>
    <x v="0"/>
  </r>
  <r>
    <n v="256"/>
    <x v="1"/>
    <x v="2"/>
    <s v="Touma, Mrs. Darwis (Hanne Youssef Razi)"/>
    <x v="6"/>
    <x v="1"/>
    <x v="0"/>
    <x v="1"/>
    <x v="1"/>
    <n v="2650"/>
    <x v="167"/>
    <m/>
    <s v=""/>
    <x v="0"/>
    <x v="37"/>
    <x v="0"/>
    <x v="0"/>
  </r>
  <r>
    <n v="42"/>
    <x v="0"/>
    <x v="0"/>
    <s v="Turpin, Mrs. William John Robert (Dorothy Ann Wonnacott)"/>
    <x v="41"/>
    <x v="1"/>
    <x v="10"/>
    <x v="0"/>
    <x v="0"/>
    <n v="11668"/>
    <x v="73"/>
    <m/>
    <s v=""/>
    <x v="0"/>
    <x v="5"/>
    <x v="0"/>
    <x v="1"/>
  </r>
  <r>
    <n v="118"/>
    <x v="0"/>
    <x v="0"/>
    <s v="Turpin, Mr. William John Robert"/>
    <x v="14"/>
    <x v="0"/>
    <x v="0"/>
    <x v="0"/>
    <x v="0"/>
    <n v="11668"/>
    <x v="73"/>
    <m/>
    <s v=""/>
    <x v="0"/>
    <x v="5"/>
    <x v="0"/>
    <x v="1"/>
  </r>
  <r>
    <n v="653"/>
    <x v="0"/>
    <x v="2"/>
    <s v="Kalvik, Mr. Johannes Halvorsen"/>
    <x v="20"/>
    <x v="0"/>
    <x v="9"/>
    <x v="1"/>
    <x v="0"/>
    <n v="8475"/>
    <x v="223"/>
    <m/>
    <s v=""/>
    <x v="0"/>
    <x v="48"/>
    <x v="0"/>
    <x v="1"/>
  </r>
  <r>
    <n v="770"/>
    <x v="0"/>
    <x v="2"/>
    <s v="Gronnestad, Mr. Daniel Danielsen"/>
    <x v="7"/>
    <x v="0"/>
    <x v="23"/>
    <x v="1"/>
    <x v="0"/>
    <n v="8471"/>
    <x v="224"/>
    <m/>
    <s v=""/>
    <x v="0"/>
    <x v="48"/>
    <x v="0"/>
    <x v="1"/>
  </r>
  <r>
    <n v="339"/>
    <x v="1"/>
    <x v="2"/>
    <s v="Dahl, Mr. Karl Edwart"/>
    <x v="18"/>
    <x v="0"/>
    <x v="44"/>
    <x v="1"/>
    <x v="0"/>
    <n v="7598"/>
    <x v="25"/>
    <m/>
    <s v=""/>
    <x v="0"/>
    <x v="49"/>
    <x v="0"/>
    <x v="1"/>
  </r>
  <r>
    <n v="20"/>
    <x v="1"/>
    <x v="2"/>
    <s v="Masselmani, Mrs. Fatima"/>
    <x v="1"/>
    <x v="1"/>
    <x v="5"/>
    <x v="1"/>
    <x v="0"/>
    <n v="2649"/>
    <x v="159"/>
    <m/>
    <s v=""/>
    <x v="0"/>
    <x v="37"/>
    <x v="0"/>
    <x v="0"/>
  </r>
  <r>
    <n v="379"/>
    <x v="0"/>
    <x v="2"/>
    <s v="Betros, Mr. Tannous"/>
    <x v="13"/>
    <x v="0"/>
    <x v="25"/>
    <x v="1"/>
    <x v="0"/>
    <n v="2648"/>
    <x v="225"/>
    <m/>
    <s v=""/>
    <x v="0"/>
    <x v="37"/>
    <x v="0"/>
    <x v="0"/>
  </r>
  <r>
    <n v="355"/>
    <x v="0"/>
    <x v="2"/>
    <s v="Yousif, Mr. Wazli"/>
    <x v="28"/>
    <x v="0"/>
    <x v="5"/>
    <x v="1"/>
    <x v="0"/>
    <n v="2647"/>
    <x v="159"/>
    <m/>
    <s v=""/>
    <x v="0"/>
    <x v="37"/>
    <x v="0"/>
    <x v="0"/>
  </r>
  <r>
    <n v="475"/>
    <x v="0"/>
    <x v="2"/>
    <s v="Strandberg, Miss. Ida Sofia"/>
    <x v="4"/>
    <x v="1"/>
    <x v="13"/>
    <x v="1"/>
    <x v="0"/>
    <n v="7553"/>
    <x v="226"/>
    <m/>
    <s v=""/>
    <x v="0"/>
    <x v="49"/>
    <x v="0"/>
    <x v="1"/>
  </r>
  <r>
    <n v="883"/>
    <x v="0"/>
    <x v="2"/>
    <s v="Dahlberg, Miss. Gerda Ulrika"/>
    <x v="2"/>
    <x v="1"/>
    <x v="13"/>
    <x v="1"/>
    <x v="0"/>
    <n v="7552"/>
    <x v="227"/>
    <m/>
    <s v=""/>
    <x v="0"/>
    <x v="49"/>
    <x v="0"/>
    <x v="1"/>
  </r>
  <r>
    <n v="532"/>
    <x v="0"/>
    <x v="2"/>
    <s v="Toufik, Mr. Nakli"/>
    <x v="28"/>
    <x v="0"/>
    <x v="5"/>
    <x v="1"/>
    <x v="0"/>
    <n v="2641"/>
    <x v="146"/>
    <m/>
    <s v=""/>
    <x v="0"/>
    <x v="37"/>
    <x v="0"/>
    <x v="0"/>
  </r>
  <r>
    <n v="41"/>
    <x v="0"/>
    <x v="2"/>
    <s v="Ahlin, Mrs. Johan (Johanna Persdotter Larsson)"/>
    <x v="33"/>
    <x v="1"/>
    <x v="37"/>
    <x v="0"/>
    <x v="0"/>
    <n v="7546"/>
    <x v="228"/>
    <m/>
    <s v=""/>
    <x v="0"/>
    <x v="49"/>
    <x v="0"/>
    <x v="1"/>
  </r>
  <r>
    <n v="27"/>
    <x v="0"/>
    <x v="2"/>
    <s v="Emir, Mr. Farred Chehab"/>
    <x v="1"/>
    <x v="0"/>
    <x v="5"/>
    <x v="1"/>
    <x v="0"/>
    <n v="2631"/>
    <x v="159"/>
    <m/>
    <s v=""/>
    <x v="0"/>
    <x v="37"/>
    <x v="0"/>
    <x v="0"/>
  </r>
  <r>
    <n v="714"/>
    <x v="0"/>
    <x v="2"/>
    <s v="Larsson, Mr. August Viktor"/>
    <x v="9"/>
    <x v="0"/>
    <x v="0"/>
    <x v="1"/>
    <x v="0"/>
    <n v="7545"/>
    <x v="229"/>
    <m/>
    <s v=""/>
    <x v="0"/>
    <x v="49"/>
    <x v="0"/>
    <x v="1"/>
  </r>
  <r>
    <n v="104"/>
    <x v="0"/>
    <x v="2"/>
    <s v="Johansson, Mr. Gustaf Joel"/>
    <x v="9"/>
    <x v="0"/>
    <x v="33"/>
    <x v="1"/>
    <x v="0"/>
    <n v="7540"/>
    <x v="230"/>
    <m/>
    <s v=""/>
    <x v="0"/>
    <x v="49"/>
    <x v="0"/>
    <x v="1"/>
  </r>
  <r>
    <n v="139"/>
    <x v="0"/>
    <x v="2"/>
    <s v="Osen, Mr. Olaf Elon"/>
    <x v="13"/>
    <x v="0"/>
    <x v="6"/>
    <x v="1"/>
    <x v="0"/>
    <n v="7534"/>
    <x v="231"/>
    <m/>
    <s v=""/>
    <x v="0"/>
    <x v="49"/>
    <x v="0"/>
    <x v="1"/>
  </r>
  <r>
    <n v="877"/>
    <x v="0"/>
    <x v="2"/>
    <s v="Gustafsson, Mr. Alfred Ossian"/>
    <x v="21"/>
    <x v="0"/>
    <x v="25"/>
    <x v="1"/>
    <x v="0"/>
    <n v="7534"/>
    <x v="232"/>
    <m/>
    <s v=""/>
    <x v="0"/>
    <x v="49"/>
    <x v="0"/>
    <x v="1"/>
  </r>
  <r>
    <n v="351"/>
    <x v="0"/>
    <x v="2"/>
    <s v="Odahl, Mr. Nils Martin"/>
    <x v="5"/>
    <x v="0"/>
    <x v="11"/>
    <x v="1"/>
    <x v="0"/>
    <n v="7267"/>
    <x v="233"/>
    <m/>
    <s v=""/>
    <x v="0"/>
    <x v="50"/>
    <x v="0"/>
    <x v="1"/>
  </r>
  <r>
    <n v="683"/>
    <x v="0"/>
    <x v="2"/>
    <s v="Olsvigen, Mr. Thor Anderson"/>
    <x v="4"/>
    <x v="0"/>
    <x v="25"/>
    <x v="1"/>
    <x v="0"/>
    <n v="6563"/>
    <x v="233"/>
    <m/>
    <s v=""/>
    <x v="0"/>
    <x v="41"/>
    <x v="0"/>
    <x v="1"/>
  </r>
  <r>
    <n v="663"/>
    <x v="0"/>
    <x v="1"/>
    <s v="Colley, Mr. Edward Pomeroy"/>
    <x v="9"/>
    <x v="0"/>
    <x v="58"/>
    <x v="1"/>
    <x v="0"/>
    <n v="5727"/>
    <x v="234"/>
    <s v="E58"/>
    <s v="58"/>
    <x v="23"/>
    <x v="51"/>
    <x v="2"/>
    <x v="1"/>
  </r>
  <r>
    <n v="860"/>
    <x v="0"/>
    <x v="2"/>
    <s v="Razi, Mr. Raihed"/>
    <x v="10"/>
    <x v="0"/>
    <x v="5"/>
    <x v="1"/>
    <x v="0"/>
    <n v="2629"/>
    <x v="146"/>
    <m/>
    <s v=""/>
    <x v="0"/>
    <x v="37"/>
    <x v="0"/>
    <x v="0"/>
  </r>
  <r>
    <n v="198"/>
    <x v="0"/>
    <x v="2"/>
    <s v="Olsen, Mr. Karl Siegwart Andreas"/>
    <x v="7"/>
    <x v="0"/>
    <x v="30"/>
    <x v="1"/>
    <x v="2"/>
    <n v="4579"/>
    <x v="235"/>
    <m/>
    <s v=""/>
    <x v="0"/>
    <x v="52"/>
    <x v="0"/>
    <x v="1"/>
  </r>
  <r>
    <n v="678"/>
    <x v="1"/>
    <x v="2"/>
    <s v="Turja, Miss. Anna Sofia"/>
    <x v="1"/>
    <x v="1"/>
    <x v="29"/>
    <x v="1"/>
    <x v="0"/>
    <n v="4138"/>
    <x v="236"/>
    <m/>
    <s v=""/>
    <x v="0"/>
    <x v="53"/>
    <x v="0"/>
    <x v="1"/>
  </r>
  <r>
    <n v="403"/>
    <x v="0"/>
    <x v="2"/>
    <s v="Jussila, Miss. Mari Aina"/>
    <x v="22"/>
    <x v="1"/>
    <x v="9"/>
    <x v="0"/>
    <x v="0"/>
    <n v="4137"/>
    <x v="237"/>
    <m/>
    <s v=""/>
    <x v="0"/>
    <x v="53"/>
    <x v="0"/>
    <x v="1"/>
  </r>
  <r>
    <n v="114"/>
    <x v="0"/>
    <x v="2"/>
    <s v="Jussila, Miss. Katriina"/>
    <x v="1"/>
    <x v="1"/>
    <x v="25"/>
    <x v="0"/>
    <x v="0"/>
    <n v="4136"/>
    <x v="237"/>
    <m/>
    <s v=""/>
    <x v="0"/>
    <x v="53"/>
    <x v="0"/>
    <x v="1"/>
  </r>
  <r>
    <n v="504"/>
    <x v="0"/>
    <x v="2"/>
    <s v="Laitinen, Miss. Kristina Sofia"/>
    <x v="20"/>
    <x v="1"/>
    <x v="34"/>
    <x v="1"/>
    <x v="0"/>
    <n v="4135"/>
    <x v="238"/>
    <m/>
    <s v=""/>
    <x v="0"/>
    <x v="53"/>
    <x v="0"/>
    <x v="1"/>
  </r>
  <r>
    <n v="484"/>
    <x v="1"/>
    <x v="2"/>
    <s v="Turkula, Mrs. (Hedwig)"/>
    <x v="5"/>
    <x v="1"/>
    <x v="85"/>
    <x v="1"/>
    <x v="0"/>
    <n v="4134"/>
    <x v="238"/>
    <m/>
    <s v=""/>
    <x v="0"/>
    <x v="53"/>
    <x v="0"/>
    <x v="1"/>
  </r>
  <r>
    <n v="204"/>
    <x v="0"/>
    <x v="2"/>
    <s v="Youseff, Mr. Gerious"/>
    <x v="15"/>
    <x v="0"/>
    <x v="80"/>
    <x v="1"/>
    <x v="0"/>
    <n v="2628"/>
    <x v="159"/>
    <m/>
    <s v=""/>
    <x v="0"/>
    <x v="37"/>
    <x v="0"/>
    <x v="0"/>
  </r>
  <r>
    <n v="115"/>
    <x v="0"/>
    <x v="2"/>
    <s v="Attalah, Miss. Malake"/>
    <x v="18"/>
    <x v="1"/>
    <x v="18"/>
    <x v="1"/>
    <x v="0"/>
    <n v="2627"/>
    <x v="164"/>
    <m/>
    <s v=""/>
    <x v="0"/>
    <x v="37"/>
    <x v="0"/>
    <x v="0"/>
  </r>
  <r>
    <n v="177"/>
    <x v="0"/>
    <x v="2"/>
    <s v="Lefebre, Master. Henry Forbes"/>
    <x v="21"/>
    <x v="0"/>
    <x v="5"/>
    <x v="6"/>
    <x v="2"/>
    <n v="4133"/>
    <x v="239"/>
    <m/>
    <s v=""/>
    <x v="0"/>
    <x v="53"/>
    <x v="0"/>
    <x v="1"/>
  </r>
  <r>
    <n v="496"/>
    <x v="0"/>
    <x v="2"/>
    <s v="Yousseff, Mr. Gerious"/>
    <x v="18"/>
    <x v="0"/>
    <x v="5"/>
    <x v="1"/>
    <x v="0"/>
    <n v="2627"/>
    <x v="164"/>
    <m/>
    <s v=""/>
    <x v="0"/>
    <x v="37"/>
    <x v="0"/>
    <x v="0"/>
  </r>
  <r>
    <n v="826"/>
    <x v="0"/>
    <x v="2"/>
    <s v="Flynn, Mr. John"/>
    <x v="25"/>
    <x v="0"/>
    <x v="5"/>
    <x v="1"/>
    <x v="0"/>
    <n v="368323"/>
    <x v="240"/>
    <m/>
    <s v=""/>
    <x v="0"/>
    <x v="21"/>
    <x v="0"/>
    <x v="2"/>
  </r>
  <r>
    <n v="230"/>
    <x v="0"/>
    <x v="2"/>
    <s v="Lefebre, Miss. Mathilde"/>
    <x v="1"/>
    <x v="1"/>
    <x v="5"/>
    <x v="6"/>
    <x v="2"/>
    <n v="4133"/>
    <x v="239"/>
    <m/>
    <s v=""/>
    <x v="0"/>
    <x v="53"/>
    <x v="0"/>
    <x v="1"/>
  </r>
  <r>
    <n v="410"/>
    <x v="0"/>
    <x v="2"/>
    <s v="Lefebre, Miss. Ida"/>
    <x v="3"/>
    <x v="1"/>
    <x v="5"/>
    <x v="6"/>
    <x v="2"/>
    <n v="4133"/>
    <x v="239"/>
    <m/>
    <s v=""/>
    <x v="0"/>
    <x v="53"/>
    <x v="0"/>
    <x v="1"/>
  </r>
  <r>
    <n v="486"/>
    <x v="0"/>
    <x v="2"/>
    <s v="Lefebre, Miss. Jeannie"/>
    <x v="5"/>
    <x v="1"/>
    <x v="5"/>
    <x v="6"/>
    <x v="2"/>
    <n v="4133"/>
    <x v="239"/>
    <m/>
    <s v=""/>
    <x v="0"/>
    <x v="53"/>
    <x v="0"/>
    <x v="1"/>
  </r>
  <r>
    <n v="412"/>
    <x v="0"/>
    <x v="2"/>
    <s v="Hart, Mr. Henry"/>
    <x v="25"/>
    <x v="0"/>
    <x v="5"/>
    <x v="1"/>
    <x v="0"/>
    <n v="394140"/>
    <x v="241"/>
    <m/>
    <s v=""/>
    <x v="0"/>
    <x v="30"/>
    <x v="0"/>
    <x v="2"/>
  </r>
  <r>
    <n v="811"/>
    <x v="0"/>
    <x v="2"/>
    <s v="Alexander, Mr. William"/>
    <x v="5"/>
    <x v="0"/>
    <x v="20"/>
    <x v="1"/>
    <x v="0"/>
    <n v="3474"/>
    <x v="242"/>
    <m/>
    <s v=""/>
    <x v="0"/>
    <x v="15"/>
    <x v="0"/>
    <x v="1"/>
  </r>
  <r>
    <n v="478"/>
    <x v="0"/>
    <x v="2"/>
    <s v="Braund, Mr. Lewis Richard"/>
    <x v="0"/>
    <x v="0"/>
    <x v="0"/>
    <x v="0"/>
    <x v="0"/>
    <n v="3460"/>
    <x v="243"/>
    <m/>
    <s v=""/>
    <x v="0"/>
    <x v="15"/>
    <x v="0"/>
    <x v="1"/>
  </r>
  <r>
    <n v="368"/>
    <x v="1"/>
    <x v="2"/>
    <s v="Moussa, Mrs. (Mantoura Boulos)"/>
    <x v="20"/>
    <x v="1"/>
    <x v="5"/>
    <x v="1"/>
    <x v="0"/>
    <n v="2626"/>
    <x v="146"/>
    <m/>
    <s v=""/>
    <x v="0"/>
    <x v="37"/>
    <x v="0"/>
    <x v="0"/>
  </r>
  <r>
    <n v="54"/>
    <x v="1"/>
    <x v="0"/>
    <s v="Faunthorpe, Mrs. Lizzie (Elizabeth Anne Wilkinson)"/>
    <x v="34"/>
    <x v="1"/>
    <x v="0"/>
    <x v="0"/>
    <x v="0"/>
    <n v="2926"/>
    <x v="36"/>
    <m/>
    <s v=""/>
    <x v="0"/>
    <x v="43"/>
    <x v="0"/>
    <x v="1"/>
  </r>
  <r>
    <n v="544"/>
    <x v="1"/>
    <x v="0"/>
    <s v="Beane, Mr. Edward"/>
    <x v="28"/>
    <x v="0"/>
    <x v="23"/>
    <x v="0"/>
    <x v="0"/>
    <n v="2908"/>
    <x v="36"/>
    <m/>
    <s v=""/>
    <x v="0"/>
    <x v="43"/>
    <x v="0"/>
    <x v="1"/>
  </r>
  <r>
    <n v="804"/>
    <x v="1"/>
    <x v="2"/>
    <s v="Thomas, Master. Assad Alexander"/>
    <x v="14"/>
    <x v="0"/>
    <x v="88"/>
    <x v="1"/>
    <x v="2"/>
    <n v="2625"/>
    <x v="244"/>
    <m/>
    <s v=""/>
    <x v="0"/>
    <x v="37"/>
    <x v="0"/>
    <x v="0"/>
  </r>
  <r>
    <n v="547"/>
    <x v="1"/>
    <x v="0"/>
    <s v="Beane, Mrs. Edward (Ethel Clarke)"/>
    <x v="37"/>
    <x v="1"/>
    <x v="16"/>
    <x v="0"/>
    <x v="0"/>
    <n v="2908"/>
    <x v="36"/>
    <m/>
    <s v=""/>
    <x v="0"/>
    <x v="43"/>
    <x v="0"/>
    <x v="1"/>
  </r>
  <r>
    <n v="835"/>
    <x v="0"/>
    <x v="2"/>
    <s v="Allum, Mr. Owen George"/>
    <x v="5"/>
    <x v="0"/>
    <x v="29"/>
    <x v="1"/>
    <x v="0"/>
    <n v="2223"/>
    <x v="245"/>
    <m/>
    <s v=""/>
    <x v="0"/>
    <x v="32"/>
    <x v="0"/>
    <x v="1"/>
  </r>
  <r>
    <n v="523"/>
    <x v="0"/>
    <x v="2"/>
    <s v="Lahoud, Mr. Sarkis"/>
    <x v="3"/>
    <x v="0"/>
    <x v="5"/>
    <x v="1"/>
    <x v="0"/>
    <n v="2624"/>
    <x v="159"/>
    <m/>
    <s v=""/>
    <x v="0"/>
    <x v="37"/>
    <x v="0"/>
    <x v="0"/>
  </r>
  <r>
    <n v="427"/>
    <x v="1"/>
    <x v="0"/>
    <s v="Clarke, Mrs. Charles V (Ada Maria Winfield)"/>
    <x v="39"/>
    <x v="1"/>
    <x v="22"/>
    <x v="0"/>
    <x v="0"/>
    <n v="2003"/>
    <x v="36"/>
    <m/>
    <s v=""/>
    <x v="0"/>
    <x v="54"/>
    <x v="0"/>
    <x v="1"/>
  </r>
  <r>
    <n v="662"/>
    <x v="0"/>
    <x v="2"/>
    <s v="Badt, Mr. Mohamed"/>
    <x v="28"/>
    <x v="0"/>
    <x v="37"/>
    <x v="1"/>
    <x v="0"/>
    <n v="2623"/>
    <x v="159"/>
    <m/>
    <s v=""/>
    <x v="0"/>
    <x v="37"/>
    <x v="0"/>
    <x v="0"/>
  </r>
  <r>
    <n v="827"/>
    <x v="0"/>
    <x v="2"/>
    <s v="Lam, Mr. Len"/>
    <x v="48"/>
    <x v="0"/>
    <x v="5"/>
    <x v="1"/>
    <x v="0"/>
    <n v="1601"/>
    <x v="246"/>
    <m/>
    <s v=""/>
    <x v="0"/>
    <x v="29"/>
    <x v="0"/>
    <x v="1"/>
  </r>
  <r>
    <n v="644"/>
    <x v="1"/>
    <x v="2"/>
    <s v="Foo, Mr. Choong"/>
    <x v="25"/>
    <x v="0"/>
    <x v="5"/>
    <x v="1"/>
    <x v="0"/>
    <n v="1601"/>
    <x v="246"/>
    <m/>
    <s v=""/>
    <x v="0"/>
    <x v="29"/>
    <x v="0"/>
    <x v="1"/>
  </r>
  <r>
    <n v="75"/>
    <x v="1"/>
    <x v="2"/>
    <s v="Bing, Mr. Lee"/>
    <x v="49"/>
    <x v="0"/>
    <x v="23"/>
    <x v="1"/>
    <x v="0"/>
    <n v="1601"/>
    <x v="246"/>
    <m/>
    <s v=""/>
    <x v="0"/>
    <x v="29"/>
    <x v="0"/>
    <x v="1"/>
  </r>
  <r>
    <n v="693"/>
    <x v="1"/>
    <x v="2"/>
    <s v="Lam, Mr. Ali"/>
    <x v="48"/>
    <x v="0"/>
    <x v="5"/>
    <x v="1"/>
    <x v="0"/>
    <n v="1601"/>
    <x v="246"/>
    <m/>
    <s v=""/>
    <x v="0"/>
    <x v="29"/>
    <x v="0"/>
    <x v="1"/>
  </r>
  <r>
    <n v="554"/>
    <x v="1"/>
    <x v="2"/>
    <s v="Leeni, Mr. Fahim (&quot;Philip Zenni&quot;)"/>
    <x v="37"/>
    <x v="0"/>
    <x v="13"/>
    <x v="1"/>
    <x v="0"/>
    <n v="2620"/>
    <x v="159"/>
    <m/>
    <s v=""/>
    <x v="0"/>
    <x v="37"/>
    <x v="0"/>
    <x v="0"/>
  </r>
  <r>
    <n v="170"/>
    <x v="0"/>
    <x v="2"/>
    <s v="Ling, Mr. Lee"/>
    <x v="49"/>
    <x v="0"/>
    <x v="22"/>
    <x v="1"/>
    <x v="0"/>
    <n v="1601"/>
    <x v="246"/>
    <m/>
    <s v=""/>
    <x v="0"/>
    <x v="29"/>
    <x v="0"/>
    <x v="1"/>
  </r>
  <r>
    <n v="510"/>
    <x v="1"/>
    <x v="2"/>
    <s v="Lang, Mr. Fang"/>
    <x v="29"/>
    <x v="0"/>
    <x v="20"/>
    <x v="1"/>
    <x v="0"/>
    <n v="1601"/>
    <x v="246"/>
    <m/>
    <s v=""/>
    <x v="0"/>
    <x v="29"/>
    <x v="0"/>
    <x v="1"/>
  </r>
  <r>
    <n v="839"/>
    <x v="1"/>
    <x v="2"/>
    <s v="Chip, Mr. Chang"/>
    <x v="25"/>
    <x v="0"/>
    <x v="23"/>
    <x v="1"/>
    <x v="0"/>
    <n v="1601"/>
    <x v="246"/>
    <m/>
    <s v=""/>
    <x v="0"/>
    <x v="29"/>
    <x v="0"/>
    <x v="1"/>
  </r>
  <r>
    <n v="873"/>
    <x v="0"/>
    <x v="1"/>
    <s v="Carlsson, Mr. Frans Olof"/>
    <x v="22"/>
    <x v="0"/>
    <x v="33"/>
    <x v="1"/>
    <x v="0"/>
    <n v="695"/>
    <x v="247"/>
    <s v="B51 B53 B55"/>
    <s v="51 "/>
    <x v="12"/>
    <x v="55"/>
    <x v="1"/>
    <x v="1"/>
  </r>
  <r>
    <n v="546"/>
    <x v="0"/>
    <x v="1"/>
    <s v="Nicholson, Mr. Arthur Ernest"/>
    <x v="2"/>
    <x v="0"/>
    <x v="84"/>
    <x v="1"/>
    <x v="0"/>
    <n v="693"/>
    <x v="36"/>
    <m/>
    <s v=""/>
    <x v="0"/>
    <x v="55"/>
    <x v="0"/>
    <x v="1"/>
  </r>
  <r>
    <n v="886"/>
    <x v="0"/>
    <x v="2"/>
    <s v="Rice, Mrs. William (Margaret Norton)"/>
    <x v="8"/>
    <x v="1"/>
    <x v="24"/>
    <x v="1"/>
    <x v="5"/>
    <n v="382652"/>
    <x v="153"/>
    <m/>
    <s v=""/>
    <x v="0"/>
    <x v="4"/>
    <x v="0"/>
    <x v="2"/>
  </r>
  <r>
    <n v="891"/>
    <x v="0"/>
    <x v="2"/>
    <s v="Dooley, Mr. Patrick"/>
    <x v="13"/>
    <x v="0"/>
    <x v="23"/>
    <x v="1"/>
    <x v="0"/>
    <n v="370376"/>
    <x v="12"/>
    <m/>
    <s v=""/>
    <x v="0"/>
    <x v="31"/>
    <x v="0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91">
  <r>
    <x v="0"/>
    <x v="0"/>
  </r>
  <r>
    <x v="1"/>
    <x v="1"/>
  </r>
  <r>
    <x v="0"/>
    <x v="1"/>
  </r>
  <r>
    <x v="0"/>
    <x v="0"/>
  </r>
  <r>
    <x v="0"/>
    <x v="2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1"/>
    <x v="0"/>
  </r>
  <r>
    <x v="0"/>
    <x v="0"/>
  </r>
  <r>
    <x v="0"/>
    <x v="0"/>
  </r>
  <r>
    <x v="0"/>
    <x v="3"/>
  </r>
  <r>
    <x v="1"/>
    <x v="0"/>
  </r>
  <r>
    <x v="1"/>
    <x v="0"/>
  </r>
  <r>
    <x v="1"/>
    <x v="4"/>
  </r>
  <r>
    <x v="0"/>
    <x v="0"/>
  </r>
  <r>
    <x v="0"/>
    <x v="0"/>
  </r>
  <r>
    <x v="1"/>
    <x v="0"/>
  </r>
  <r>
    <x v="1"/>
    <x v="0"/>
  </r>
  <r>
    <x v="0"/>
    <x v="0"/>
  </r>
  <r>
    <x v="0"/>
    <x v="0"/>
  </r>
  <r>
    <x v="1"/>
    <x v="0"/>
  </r>
  <r>
    <x v="1"/>
    <x v="0"/>
  </r>
  <r>
    <x v="1"/>
    <x v="0"/>
  </r>
  <r>
    <x v="0"/>
    <x v="0"/>
  </r>
  <r>
    <x v="1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1"/>
    <x v="0"/>
  </r>
  <r>
    <x v="1"/>
    <x v="0"/>
  </r>
  <r>
    <x v="1"/>
    <x v="0"/>
  </r>
  <r>
    <x v="1"/>
    <x v="0"/>
  </r>
  <r>
    <x v="0"/>
    <x v="5"/>
  </r>
  <r>
    <x v="0"/>
    <x v="0"/>
  </r>
  <r>
    <x v="0"/>
    <x v="0"/>
  </r>
  <r>
    <x v="1"/>
    <x v="0"/>
  </r>
  <r>
    <x v="0"/>
    <x v="0"/>
  </r>
  <r>
    <x v="0"/>
    <x v="0"/>
  </r>
  <r>
    <x v="1"/>
    <x v="6"/>
  </r>
  <r>
    <x v="0"/>
    <x v="0"/>
  </r>
  <r>
    <x v="1"/>
    <x v="0"/>
  </r>
  <r>
    <x v="1"/>
    <x v="7"/>
  </r>
  <r>
    <x v="1"/>
    <x v="8"/>
  </r>
  <r>
    <x v="0"/>
    <x v="8"/>
  </r>
  <r>
    <x v="0"/>
    <x v="0"/>
  </r>
  <r>
    <x v="0"/>
    <x v="0"/>
  </r>
  <r>
    <x v="1"/>
    <x v="0"/>
  </r>
  <r>
    <x v="1"/>
    <x v="0"/>
  </r>
  <r>
    <x v="0"/>
    <x v="0"/>
  </r>
  <r>
    <x v="1"/>
    <x v="9"/>
  </r>
  <r>
    <x v="1"/>
    <x v="10"/>
  </r>
  <r>
    <x v="1"/>
    <x v="11"/>
  </r>
  <r>
    <x v="1"/>
    <x v="0"/>
  </r>
  <r>
    <x v="1"/>
    <x v="12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7"/>
  </r>
  <r>
    <x v="0"/>
    <x v="0"/>
  </r>
  <r>
    <x v="0"/>
    <x v="0"/>
  </r>
  <r>
    <x v="1"/>
    <x v="13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1"/>
    <x v="14"/>
  </r>
  <r>
    <x v="1"/>
    <x v="14"/>
  </r>
  <r>
    <x v="1"/>
    <x v="0"/>
  </r>
  <r>
    <x v="0"/>
    <x v="0"/>
  </r>
  <r>
    <x v="0"/>
    <x v="0"/>
  </r>
  <r>
    <x v="1"/>
    <x v="0"/>
  </r>
  <r>
    <x v="0"/>
    <x v="0"/>
  </r>
  <r>
    <x v="1"/>
    <x v="0"/>
  </r>
  <r>
    <x v="0"/>
    <x v="0"/>
  </r>
  <r>
    <x v="1"/>
    <x v="0"/>
  </r>
  <r>
    <x v="1"/>
    <x v="0"/>
  </r>
  <r>
    <x v="0"/>
    <x v="0"/>
  </r>
  <r>
    <x v="0"/>
    <x v="0"/>
  </r>
  <r>
    <x v="0"/>
    <x v="0"/>
  </r>
  <r>
    <x v="0"/>
    <x v="0"/>
  </r>
  <r>
    <x v="1"/>
    <x v="15"/>
  </r>
  <r>
    <x v="0"/>
    <x v="0"/>
  </r>
  <r>
    <x v="0"/>
    <x v="0"/>
  </r>
  <r>
    <x v="0"/>
    <x v="16"/>
  </r>
  <r>
    <x v="0"/>
    <x v="11"/>
  </r>
  <r>
    <x v="0"/>
    <x v="5"/>
  </r>
  <r>
    <x v="0"/>
    <x v="0"/>
  </r>
  <r>
    <x v="0"/>
    <x v="17"/>
  </r>
  <r>
    <x v="1"/>
    <x v="18"/>
  </r>
  <r>
    <x v="0"/>
    <x v="0"/>
  </r>
  <r>
    <x v="0"/>
    <x v="0"/>
  </r>
  <r>
    <x v="0"/>
    <x v="0"/>
  </r>
  <r>
    <x v="0"/>
    <x v="0"/>
  </r>
  <r>
    <x v="0"/>
    <x v="19"/>
  </r>
  <r>
    <x v="1"/>
    <x v="0"/>
  </r>
  <r>
    <x v="0"/>
    <x v="0"/>
  </r>
  <r>
    <x v="1"/>
    <x v="20"/>
  </r>
  <r>
    <x v="1"/>
    <x v="20"/>
  </r>
  <r>
    <x v="0"/>
    <x v="0"/>
  </r>
  <r>
    <x v="1"/>
    <x v="0"/>
  </r>
  <r>
    <x v="1"/>
    <x v="0"/>
  </r>
  <r>
    <x v="1"/>
    <x v="11"/>
  </r>
  <r>
    <x v="1"/>
    <x v="18"/>
  </r>
  <r>
    <x v="0"/>
    <x v="0"/>
  </r>
  <r>
    <x v="1"/>
    <x v="21"/>
  </r>
  <r>
    <x v="1"/>
    <x v="22"/>
  </r>
  <r>
    <x v="1"/>
    <x v="0"/>
  </r>
  <r>
    <x v="0"/>
    <x v="23"/>
  </r>
  <r>
    <x v="1"/>
    <x v="0"/>
  </r>
  <r>
    <x v="1"/>
    <x v="4"/>
  </r>
  <r>
    <x v="1"/>
    <x v="23"/>
  </r>
  <r>
    <x v="0"/>
    <x v="24"/>
  </r>
  <r>
    <x v="1"/>
    <x v="25"/>
  </r>
  <r>
    <x v="0"/>
    <x v="26"/>
  </r>
  <r>
    <x v="1"/>
    <x v="25"/>
  </r>
  <r>
    <x v="1"/>
    <x v="27"/>
  </r>
  <r>
    <x v="0"/>
    <x v="28"/>
  </r>
  <r>
    <x v="1"/>
    <x v="24"/>
  </r>
  <r>
    <x v="1"/>
    <x v="29"/>
  </r>
  <r>
    <x v="1"/>
    <x v="24"/>
  </r>
  <r>
    <x v="1"/>
    <x v="30"/>
  </r>
  <r>
    <x v="1"/>
    <x v="31"/>
  </r>
  <r>
    <x v="1"/>
    <x v="31"/>
  </r>
  <r>
    <x v="1"/>
    <x v="32"/>
  </r>
  <r>
    <x v="0"/>
    <x v="0"/>
  </r>
  <r>
    <x v="1"/>
    <x v="32"/>
  </r>
  <r>
    <x v="0"/>
    <x v="0"/>
  </r>
  <r>
    <x v="1"/>
    <x v="0"/>
  </r>
  <r>
    <x v="0"/>
    <x v="0"/>
  </r>
  <r>
    <x v="1"/>
    <x v="0"/>
  </r>
  <r>
    <x v="0"/>
    <x v="0"/>
  </r>
  <r>
    <x v="1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1"/>
    <x v="0"/>
  </r>
  <r>
    <x v="0"/>
    <x v="0"/>
  </r>
  <r>
    <x v="1"/>
    <x v="0"/>
  </r>
  <r>
    <x v="0"/>
    <x v="0"/>
  </r>
  <r>
    <x v="1"/>
    <x v="0"/>
  </r>
  <r>
    <x v="0"/>
    <x v="33"/>
  </r>
  <r>
    <x v="1"/>
    <x v="0"/>
  </r>
  <r>
    <x v="1"/>
    <x v="0"/>
  </r>
  <r>
    <x v="0"/>
    <x v="34"/>
  </r>
  <r>
    <x v="0"/>
    <x v="17"/>
  </r>
  <r>
    <x v="0"/>
    <x v="35"/>
  </r>
  <r>
    <x v="0"/>
    <x v="0"/>
  </r>
  <r>
    <x v="0"/>
    <x v="0"/>
  </r>
  <r>
    <x v="0"/>
    <x v="0"/>
  </r>
  <r>
    <x v="0"/>
    <x v="0"/>
  </r>
  <r>
    <x v="1"/>
    <x v="2"/>
  </r>
  <r>
    <x v="1"/>
    <x v="0"/>
  </r>
  <r>
    <x v="0"/>
    <x v="0"/>
  </r>
  <r>
    <x v="0"/>
    <x v="0"/>
  </r>
  <r>
    <x v="0"/>
    <x v="0"/>
  </r>
  <r>
    <x v="0"/>
    <x v="0"/>
  </r>
  <r>
    <x v="1"/>
    <x v="36"/>
  </r>
  <r>
    <x v="1"/>
    <x v="0"/>
  </r>
  <r>
    <x v="0"/>
    <x v="0"/>
  </r>
  <r>
    <x v="1"/>
    <x v="37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1"/>
    <x v="0"/>
  </r>
  <r>
    <x v="1"/>
    <x v="37"/>
  </r>
  <r>
    <x v="1"/>
    <x v="0"/>
  </r>
  <r>
    <x v="0"/>
    <x v="0"/>
  </r>
  <r>
    <x v="1"/>
    <x v="0"/>
  </r>
  <r>
    <x v="1"/>
    <x v="20"/>
  </r>
  <r>
    <x v="1"/>
    <x v="0"/>
  </r>
  <r>
    <x v="1"/>
    <x v="38"/>
  </r>
  <r>
    <x v="1"/>
    <x v="4"/>
  </r>
  <r>
    <x v="1"/>
    <x v="29"/>
  </r>
  <r>
    <x v="1"/>
    <x v="29"/>
  </r>
  <r>
    <x v="1"/>
    <x v="27"/>
  </r>
  <r>
    <x v="1"/>
    <x v="27"/>
  </r>
  <r>
    <x v="0"/>
    <x v="0"/>
  </r>
  <r>
    <x v="1"/>
    <x v="0"/>
  </r>
  <r>
    <x v="0"/>
    <x v="0"/>
  </r>
  <r>
    <x v="1"/>
    <x v="0"/>
  </r>
  <r>
    <x v="0"/>
    <x v="0"/>
  </r>
  <r>
    <x v="1"/>
    <x v="0"/>
  </r>
  <r>
    <x v="0"/>
    <x v="39"/>
  </r>
  <r>
    <x v="1"/>
    <x v="0"/>
  </r>
  <r>
    <x v="0"/>
    <x v="0"/>
  </r>
  <r>
    <x v="0"/>
    <x v="0"/>
  </r>
  <r>
    <x v="1"/>
    <x v="20"/>
  </r>
  <r>
    <x v="1"/>
    <x v="40"/>
  </r>
  <r>
    <x v="0"/>
    <x v="0"/>
  </r>
  <r>
    <x v="1"/>
    <x v="0"/>
  </r>
  <r>
    <x v="0"/>
    <x v="18"/>
  </r>
  <r>
    <x v="0"/>
    <x v="0"/>
  </r>
  <r>
    <x v="0"/>
    <x v="0"/>
  </r>
  <r>
    <x v="0"/>
    <x v="0"/>
  </r>
  <r>
    <x v="1"/>
    <x v="40"/>
  </r>
  <r>
    <x v="0"/>
    <x v="0"/>
  </r>
  <r>
    <x v="1"/>
    <x v="0"/>
  </r>
  <r>
    <x v="1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1"/>
    <x v="0"/>
  </r>
  <r>
    <x v="1"/>
    <x v="41"/>
  </r>
  <r>
    <x v="0"/>
    <x v="0"/>
  </r>
  <r>
    <x v="0"/>
    <x v="0"/>
  </r>
  <r>
    <x v="0"/>
    <x v="0"/>
  </r>
  <r>
    <x v="1"/>
    <x v="42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42"/>
  </r>
  <r>
    <x v="1"/>
    <x v="0"/>
  </r>
  <r>
    <x v="1"/>
    <x v="43"/>
  </r>
  <r>
    <x v="0"/>
    <x v="0"/>
  </r>
  <r>
    <x v="1"/>
    <x v="0"/>
  </r>
  <r>
    <x v="0"/>
    <x v="0"/>
  </r>
  <r>
    <x v="0"/>
    <x v="0"/>
  </r>
  <r>
    <x v="0"/>
    <x v="0"/>
  </r>
  <r>
    <x v="1"/>
    <x v="0"/>
  </r>
  <r>
    <x v="0"/>
    <x v="0"/>
  </r>
  <r>
    <x v="1"/>
    <x v="44"/>
  </r>
  <r>
    <x v="1"/>
    <x v="45"/>
  </r>
  <r>
    <x v="1"/>
    <x v="44"/>
  </r>
  <r>
    <x v="0"/>
    <x v="0"/>
  </r>
  <r>
    <x v="1"/>
    <x v="0"/>
  </r>
  <r>
    <x v="1"/>
    <x v="0"/>
  </r>
  <r>
    <x v="1"/>
    <x v="0"/>
  </r>
  <r>
    <x v="0"/>
    <x v="0"/>
  </r>
  <r>
    <x v="0"/>
    <x v="0"/>
  </r>
  <r>
    <x v="1"/>
    <x v="0"/>
  </r>
  <r>
    <x v="1"/>
    <x v="13"/>
  </r>
  <r>
    <x v="0"/>
    <x v="0"/>
  </r>
  <r>
    <x v="0"/>
    <x v="0"/>
  </r>
  <r>
    <x v="0"/>
    <x v="0"/>
  </r>
  <r>
    <x v="0"/>
    <x v="0"/>
  </r>
  <r>
    <x v="1"/>
    <x v="46"/>
  </r>
  <r>
    <x v="1"/>
    <x v="47"/>
  </r>
  <r>
    <x v="0"/>
    <x v="0"/>
  </r>
  <r>
    <x v="0"/>
    <x v="0"/>
  </r>
  <r>
    <x v="0"/>
    <x v="0"/>
  </r>
  <r>
    <x v="1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1"/>
    <x v="48"/>
  </r>
  <r>
    <x v="1"/>
    <x v="0"/>
  </r>
  <r>
    <x v="0"/>
    <x v="0"/>
  </r>
  <r>
    <x v="1"/>
    <x v="49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7"/>
  </r>
  <r>
    <x v="0"/>
    <x v="0"/>
  </r>
  <r>
    <x v="0"/>
    <x v="0"/>
  </r>
  <r>
    <x v="1"/>
    <x v="0"/>
  </r>
  <r>
    <x v="1"/>
    <x v="0"/>
  </r>
  <r>
    <x v="0"/>
    <x v="0"/>
  </r>
  <r>
    <x v="0"/>
    <x v="0"/>
  </r>
  <r>
    <x v="0"/>
    <x v="0"/>
  </r>
  <r>
    <x v="1"/>
    <x v="0"/>
  </r>
  <r>
    <x v="1"/>
    <x v="11"/>
  </r>
  <r>
    <x v="0"/>
    <x v="0"/>
  </r>
  <r>
    <x v="0"/>
    <x v="0"/>
  </r>
  <r>
    <x v="0"/>
    <x v="0"/>
  </r>
  <r>
    <x v="0"/>
    <x v="0"/>
  </r>
  <r>
    <x v="1"/>
    <x v="11"/>
  </r>
  <r>
    <x v="0"/>
    <x v="0"/>
  </r>
  <r>
    <x v="1"/>
    <x v="5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51"/>
  </r>
  <r>
    <x v="0"/>
    <x v="51"/>
  </r>
  <r>
    <x v="0"/>
    <x v="51"/>
  </r>
  <r>
    <x v="0"/>
    <x v="0"/>
  </r>
  <r>
    <x v="1"/>
    <x v="0"/>
  </r>
  <r>
    <x v="1"/>
    <x v="0"/>
  </r>
  <r>
    <x v="1"/>
    <x v="0"/>
  </r>
  <r>
    <x v="1"/>
    <x v="0"/>
  </r>
  <r>
    <x v="0"/>
    <x v="0"/>
  </r>
  <r>
    <x v="0"/>
    <x v="0"/>
  </r>
  <r>
    <x v="1"/>
    <x v="52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1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1"/>
    <x v="0"/>
  </r>
  <r>
    <x v="0"/>
    <x v="38"/>
  </r>
  <r>
    <x v="0"/>
    <x v="0"/>
  </r>
  <r>
    <x v="0"/>
    <x v="0"/>
  </r>
  <r>
    <x v="1"/>
    <x v="0"/>
  </r>
  <r>
    <x v="0"/>
    <x v="0"/>
  </r>
  <r>
    <x v="1"/>
    <x v="0"/>
  </r>
  <r>
    <x v="0"/>
    <x v="0"/>
  </r>
  <r>
    <x v="1"/>
    <x v="0"/>
  </r>
  <r>
    <x v="1"/>
    <x v="0"/>
  </r>
  <r>
    <x v="0"/>
    <x v="0"/>
  </r>
  <r>
    <x v="0"/>
    <x v="0"/>
  </r>
  <r>
    <x v="0"/>
    <x v="0"/>
  </r>
  <r>
    <x v="1"/>
    <x v="53"/>
  </r>
  <r>
    <x v="0"/>
    <x v="0"/>
  </r>
  <r>
    <x v="1"/>
    <x v="48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48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54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1"/>
    <x v="0"/>
  </r>
  <r>
    <x v="1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1"/>
    <x v="0"/>
  </r>
  <r>
    <x v="1"/>
    <x v="0"/>
  </r>
  <r>
    <x v="1"/>
    <x v="0"/>
  </r>
  <r>
    <x v="1"/>
    <x v="0"/>
  </r>
  <r>
    <x v="0"/>
    <x v="0"/>
  </r>
  <r>
    <x v="0"/>
    <x v="0"/>
  </r>
  <r>
    <x v="0"/>
    <x v="0"/>
  </r>
  <r>
    <x v="0"/>
    <x v="0"/>
  </r>
  <r>
    <x v="1"/>
    <x v="0"/>
  </r>
  <r>
    <x v="1"/>
    <x v="0"/>
  </r>
  <r>
    <x v="1"/>
    <x v="0"/>
  </r>
  <r>
    <x v="0"/>
    <x v="0"/>
  </r>
  <r>
    <x v="0"/>
    <x v="0"/>
  </r>
  <r>
    <x v="0"/>
    <x v="0"/>
  </r>
  <r>
    <x v="0"/>
    <x v="0"/>
  </r>
  <r>
    <x v="1"/>
    <x v="0"/>
  </r>
  <r>
    <x v="1"/>
    <x v="0"/>
  </r>
  <r>
    <x v="0"/>
    <x v="0"/>
  </r>
  <r>
    <x v="1"/>
    <x v="20"/>
  </r>
  <r>
    <x v="0"/>
    <x v="0"/>
  </r>
  <r>
    <x v="1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1"/>
    <x v="55"/>
  </r>
  <r>
    <x v="1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1"/>
    <x v="0"/>
  </r>
  <r>
    <x v="0"/>
    <x v="0"/>
  </r>
  <r>
    <x v="0"/>
    <x v="0"/>
  </r>
  <r>
    <x v="1"/>
    <x v="0"/>
  </r>
  <r>
    <x v="1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1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1"/>
    <x v="0"/>
  </r>
  <r>
    <x v="0"/>
    <x v="0"/>
  </r>
  <r>
    <x v="0"/>
    <x v="0"/>
  </r>
  <r>
    <x v="1"/>
    <x v="0"/>
  </r>
  <r>
    <x v="0"/>
    <x v="0"/>
  </r>
  <r>
    <x v="1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0"/>
    <x v="0"/>
  </r>
  <r>
    <x v="1"/>
    <x v="0"/>
  </r>
  <r>
    <x v="1"/>
    <x v="0"/>
  </r>
  <r>
    <x v="0"/>
    <x v="0"/>
  </r>
  <r>
    <x v="1"/>
    <x v="0"/>
  </r>
  <r>
    <x v="1"/>
    <x v="0"/>
  </r>
  <r>
    <x v="0"/>
    <x v="0"/>
  </r>
  <r>
    <x v="1"/>
    <x v="0"/>
  </r>
  <r>
    <x v="1"/>
    <x v="0"/>
  </r>
  <r>
    <x v="1"/>
    <x v="0"/>
  </r>
  <r>
    <x v="1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1"/>
    <x v="0"/>
  </r>
  <r>
    <x v="1"/>
    <x v="0"/>
  </r>
  <r>
    <x v="1"/>
    <x v="56"/>
  </r>
  <r>
    <x v="0"/>
    <x v="0"/>
  </r>
  <r>
    <x v="0"/>
    <x v="56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1"/>
    <x v="0"/>
  </r>
  <r>
    <x v="1"/>
    <x v="0"/>
  </r>
  <r>
    <x v="0"/>
    <x v="33"/>
  </r>
  <r>
    <x v="1"/>
    <x v="57"/>
  </r>
  <r>
    <x v="0"/>
    <x v="0"/>
  </r>
  <r>
    <x v="1"/>
    <x v="58"/>
  </r>
  <r>
    <x v="0"/>
    <x v="1"/>
  </r>
  <r>
    <x v="1"/>
    <x v="1"/>
  </r>
  <r>
    <x v="0"/>
    <x v="0"/>
  </r>
  <r>
    <x v="0"/>
    <x v="1"/>
  </r>
  <r>
    <x v="1"/>
    <x v="0"/>
  </r>
  <r>
    <x v="1"/>
    <x v="0"/>
  </r>
  <r>
    <x v="0"/>
    <x v="0"/>
  </r>
  <r>
    <x v="0"/>
    <x v="33"/>
  </r>
  <r>
    <x v="0"/>
    <x v="6"/>
  </r>
  <r>
    <x v="1"/>
    <x v="59"/>
  </r>
  <r>
    <x v="1"/>
    <x v="59"/>
  </r>
  <r>
    <x v="1"/>
    <x v="59"/>
  </r>
  <r>
    <x v="1"/>
    <x v="59"/>
  </r>
  <r>
    <x v="0"/>
    <x v="60"/>
  </r>
  <r>
    <x v="0"/>
    <x v="61"/>
  </r>
  <r>
    <x v="1"/>
    <x v="20"/>
  </r>
  <r>
    <x v="1"/>
    <x v="20"/>
  </r>
  <r>
    <x v="0"/>
    <x v="0"/>
  </r>
  <r>
    <x v="0"/>
    <x v="0"/>
  </r>
  <r>
    <x v="0"/>
    <x v="62"/>
  </r>
  <r>
    <x v="1"/>
    <x v="63"/>
  </r>
  <r>
    <x v="0"/>
    <x v="3"/>
  </r>
  <r>
    <x v="0"/>
    <x v="0"/>
  </r>
  <r>
    <x v="0"/>
    <x v="64"/>
  </r>
  <r>
    <x v="0"/>
    <x v="64"/>
  </r>
  <r>
    <x v="0"/>
    <x v="65"/>
  </r>
  <r>
    <x v="0"/>
    <x v="66"/>
  </r>
  <r>
    <x v="1"/>
    <x v="67"/>
  </r>
  <r>
    <x v="0"/>
    <x v="0"/>
  </r>
  <r>
    <x v="0"/>
    <x v="27"/>
  </r>
  <r>
    <x v="1"/>
    <x v="0"/>
  </r>
  <r>
    <x v="1"/>
    <x v="0"/>
  </r>
  <r>
    <x v="0"/>
    <x v="0"/>
  </r>
  <r>
    <x v="0"/>
    <x v="68"/>
  </r>
  <r>
    <x v="0"/>
    <x v="62"/>
  </r>
  <r>
    <x v="1"/>
    <x v="69"/>
  </r>
  <r>
    <x v="0"/>
    <x v="70"/>
  </r>
  <r>
    <x v="0"/>
    <x v="71"/>
  </r>
  <r>
    <x v="1"/>
    <x v="0"/>
  </r>
  <r>
    <x v="0"/>
    <x v="72"/>
  </r>
  <r>
    <x v="1"/>
    <x v="72"/>
  </r>
  <r>
    <x v="1"/>
    <x v="51"/>
  </r>
  <r>
    <x v="1"/>
    <x v="42"/>
  </r>
  <r>
    <x v="1"/>
    <x v="19"/>
  </r>
  <r>
    <x v="1"/>
    <x v="73"/>
  </r>
  <r>
    <x v="1"/>
    <x v="19"/>
  </r>
  <r>
    <x v="0"/>
    <x v="0"/>
  </r>
  <r>
    <x v="1"/>
    <x v="0"/>
  </r>
  <r>
    <x v="0"/>
    <x v="0"/>
  </r>
  <r>
    <x v="0"/>
    <x v="0"/>
  </r>
  <r>
    <x v="1"/>
    <x v="0"/>
  </r>
  <r>
    <x v="0"/>
    <x v="0"/>
  </r>
  <r>
    <x v="0"/>
    <x v="0"/>
  </r>
  <r>
    <x v="0"/>
    <x v="74"/>
  </r>
  <r>
    <x v="1"/>
    <x v="74"/>
  </r>
  <r>
    <x v="0"/>
    <x v="75"/>
  </r>
  <r>
    <x v="1"/>
    <x v="0"/>
  </r>
  <r>
    <x v="0"/>
    <x v="48"/>
  </r>
  <r>
    <x v="1"/>
    <x v="0"/>
  </r>
  <r>
    <x v="1"/>
    <x v="0"/>
  </r>
  <r>
    <x v="1"/>
    <x v="0"/>
  </r>
  <r>
    <x v="1"/>
    <x v="0"/>
  </r>
  <r>
    <x v="1"/>
    <x v="0"/>
  </r>
  <r>
    <x v="0"/>
    <x v="0"/>
  </r>
  <r>
    <x v="0"/>
    <x v="49"/>
  </r>
  <r>
    <x v="1"/>
    <x v="0"/>
  </r>
  <r>
    <x v="1"/>
    <x v="0"/>
  </r>
  <r>
    <x v="0"/>
    <x v="49"/>
  </r>
  <r>
    <x v="1"/>
    <x v="13"/>
  </r>
  <r>
    <x v="1"/>
    <x v="43"/>
  </r>
  <r>
    <x v="1"/>
    <x v="0"/>
  </r>
  <r>
    <x v="0"/>
    <x v="0"/>
  </r>
  <r>
    <x v="0"/>
    <x v="0"/>
  </r>
  <r>
    <x v="1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1"/>
    <x v="0"/>
  </r>
  <r>
    <x v="0"/>
    <x v="0"/>
  </r>
  <r>
    <x v="1"/>
    <x v="0"/>
  </r>
  <r>
    <x v="0"/>
    <x v="0"/>
  </r>
  <r>
    <x v="0"/>
    <x v="0"/>
  </r>
  <r>
    <x v="0"/>
    <x v="0"/>
  </r>
  <r>
    <x v="1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1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0"/>
    <x v="0"/>
  </r>
  <r>
    <x v="1"/>
    <x v="0"/>
  </r>
  <r>
    <x v="0"/>
    <x v="0"/>
  </r>
  <r>
    <x v="1"/>
    <x v="0"/>
  </r>
  <r>
    <x v="0"/>
    <x v="0"/>
  </r>
  <r>
    <x v="0"/>
    <x v="0"/>
  </r>
  <r>
    <x v="1"/>
    <x v="0"/>
  </r>
  <r>
    <x v="1"/>
    <x v="0"/>
  </r>
  <r>
    <x v="1"/>
    <x v="13"/>
  </r>
  <r>
    <x v="1"/>
    <x v="0"/>
  </r>
  <r>
    <x v="1"/>
    <x v="76"/>
  </r>
  <r>
    <x v="1"/>
    <x v="0"/>
  </r>
  <r>
    <x v="0"/>
    <x v="0"/>
  </r>
  <r>
    <x v="1"/>
    <x v="0"/>
  </r>
  <r>
    <x v="0"/>
    <x v="0"/>
  </r>
  <r>
    <x v="1"/>
    <x v="0"/>
  </r>
  <r>
    <x v="0"/>
    <x v="0"/>
  </r>
  <r>
    <x v="1"/>
    <x v="0"/>
  </r>
  <r>
    <x v="1"/>
    <x v="0"/>
  </r>
  <r>
    <x v="1"/>
    <x v="0"/>
  </r>
  <r>
    <x v="1"/>
    <x v="0"/>
  </r>
  <r>
    <x v="1"/>
    <x v="0"/>
  </r>
  <r>
    <x v="0"/>
    <x v="0"/>
  </r>
  <r>
    <x v="1"/>
    <x v="0"/>
  </r>
  <r>
    <x v="1"/>
    <x v="0"/>
  </r>
  <r>
    <x v="1"/>
    <x v="0"/>
  </r>
  <r>
    <x v="0"/>
    <x v="0"/>
  </r>
  <r>
    <x v="1"/>
    <x v="77"/>
  </r>
  <r>
    <x v="0"/>
    <x v="0"/>
  </r>
  <r>
    <x v="1"/>
    <x v="77"/>
  </r>
  <r>
    <x v="1"/>
    <x v="0"/>
  </r>
  <r>
    <x v="0"/>
    <x v="0"/>
  </r>
  <r>
    <x v="1"/>
    <x v="78"/>
  </r>
  <r>
    <x v="0"/>
    <x v="0"/>
  </r>
  <r>
    <x v="0"/>
    <x v="0"/>
  </r>
  <r>
    <x v="1"/>
    <x v="0"/>
  </r>
  <r>
    <x v="0"/>
    <x v="0"/>
  </r>
  <r>
    <x v="1"/>
    <x v="79"/>
  </r>
  <r>
    <x v="0"/>
    <x v="0"/>
  </r>
  <r>
    <x v="0"/>
    <x v="76"/>
  </r>
  <r>
    <x v="1"/>
    <x v="0"/>
  </r>
  <r>
    <x v="0"/>
    <x v="0"/>
  </r>
  <r>
    <x v="0"/>
    <x v="76"/>
  </r>
  <r>
    <x v="0"/>
    <x v="0"/>
  </r>
  <r>
    <x v="0"/>
    <x v="0"/>
  </r>
  <r>
    <x v="1"/>
    <x v="76"/>
  </r>
  <r>
    <x v="1"/>
    <x v="76"/>
  </r>
  <r>
    <x v="1"/>
    <x v="69"/>
  </r>
  <r>
    <x v="1"/>
    <x v="80"/>
  </r>
  <r>
    <x v="1"/>
    <x v="80"/>
  </r>
  <r>
    <x v="1"/>
    <x v="0"/>
  </r>
  <r>
    <x v="0"/>
    <x v="75"/>
  </r>
  <r>
    <x v="1"/>
    <x v="29"/>
  </r>
  <r>
    <x v="0"/>
    <x v="0"/>
  </r>
  <r>
    <x v="1"/>
    <x v="29"/>
  </r>
  <r>
    <x v="1"/>
    <x v="63"/>
  </r>
  <r>
    <x v="1"/>
    <x v="63"/>
  </r>
  <r>
    <x v="1"/>
    <x v="81"/>
  </r>
  <r>
    <x v="0"/>
    <x v="75"/>
  </r>
  <r>
    <x v="1"/>
    <x v="10"/>
  </r>
  <r>
    <x v="0"/>
    <x v="0"/>
  </r>
  <r>
    <x v="0"/>
    <x v="3"/>
  </r>
  <r>
    <x v="0"/>
    <x v="82"/>
  </r>
  <r>
    <x v="0"/>
    <x v="0"/>
  </r>
  <r>
    <x v="1"/>
    <x v="82"/>
  </r>
  <r>
    <x v="1"/>
    <x v="0"/>
  </r>
  <r>
    <x v="1"/>
    <x v="0"/>
  </r>
  <r>
    <x v="1"/>
    <x v="83"/>
  </r>
  <r>
    <x v="1"/>
    <x v="84"/>
  </r>
  <r>
    <x v="1"/>
    <x v="0"/>
  </r>
  <r>
    <x v="1"/>
    <x v="85"/>
  </r>
  <r>
    <x v="1"/>
    <x v="0"/>
  </r>
  <r>
    <x v="0"/>
    <x v="0"/>
  </r>
  <r>
    <x v="0"/>
    <x v="0"/>
  </r>
  <r>
    <x v="0"/>
    <x v="0"/>
  </r>
  <r>
    <x v="1"/>
    <x v="0"/>
  </r>
  <r>
    <x v="1"/>
    <x v="13"/>
  </r>
  <r>
    <x v="1"/>
    <x v="62"/>
  </r>
  <r>
    <x v="1"/>
    <x v="52"/>
  </r>
  <r>
    <x v="1"/>
    <x v="0"/>
  </r>
  <r>
    <x v="1"/>
    <x v="31"/>
  </r>
  <r>
    <x v="1"/>
    <x v="0"/>
  </r>
  <r>
    <x v="1"/>
    <x v="31"/>
  </r>
  <r>
    <x v="1"/>
    <x v="0"/>
  </r>
  <r>
    <x v="1"/>
    <x v="0"/>
  </r>
  <r>
    <x v="1"/>
    <x v="0"/>
  </r>
  <r>
    <x v="0"/>
    <x v="0"/>
  </r>
  <r>
    <x v="0"/>
    <x v="0"/>
  </r>
  <r>
    <x v="0"/>
    <x v="0"/>
  </r>
  <r>
    <x v="0"/>
    <x v="0"/>
  </r>
  <r>
    <x v="1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23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1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1"/>
    <x v="0"/>
  </r>
  <r>
    <x v="1"/>
    <x v="0"/>
  </r>
  <r>
    <x v="1"/>
    <x v="0"/>
  </r>
  <r>
    <x v="1"/>
    <x v="0"/>
  </r>
  <r>
    <x v="0"/>
    <x v="0"/>
  </r>
  <r>
    <x v="0"/>
    <x v="0"/>
  </r>
  <r>
    <x v="1"/>
    <x v="0"/>
  </r>
  <r>
    <x v="0"/>
    <x v="0"/>
  </r>
  <r>
    <x v="0"/>
    <x v="0"/>
  </r>
  <r>
    <x v="1"/>
    <x v="0"/>
  </r>
  <r>
    <x v="1"/>
    <x v="0"/>
  </r>
  <r>
    <x v="1"/>
    <x v="0"/>
  </r>
  <r>
    <x v="1"/>
    <x v="0"/>
  </r>
  <r>
    <x v="0"/>
    <x v="0"/>
  </r>
  <r>
    <x v="1"/>
    <x v="0"/>
  </r>
  <r>
    <x v="1"/>
    <x v="0"/>
  </r>
  <r>
    <x v="0"/>
    <x v="12"/>
  </r>
  <r>
    <x v="0"/>
    <x v="0"/>
  </r>
  <r>
    <x v="0"/>
    <x v="0"/>
  </r>
  <r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8" cacheId="11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U261:X319" firstHeaderRow="1" firstDataRow="2" firstDataCol="1"/>
  <pivotFields count="17">
    <pivotField dataField="1"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95">
        <item m="1" x="87"/>
        <item m="1" x="90"/>
        <item m="1" x="93"/>
        <item m="1" x="86"/>
        <item m="1" x="88"/>
        <item m="1" x="89"/>
        <item m="1" x="91"/>
        <item m="1" x="92"/>
        <item x="7"/>
        <item x="83"/>
        <item x="79"/>
        <item x="70"/>
        <item x="50"/>
        <item x="54"/>
        <item x="63"/>
        <item x="37"/>
        <item x="62"/>
        <item x="29"/>
        <item x="81"/>
        <item x="1"/>
        <item x="76"/>
        <item x="24"/>
        <item x="32"/>
        <item x="49"/>
        <item x="4"/>
        <item x="33"/>
        <item x="2"/>
        <item x="6"/>
        <item x="20"/>
        <item x="43"/>
        <item x="31"/>
        <item x="27"/>
        <item x="38"/>
        <item x="3"/>
        <item x="46"/>
        <item x="45"/>
        <item x="47"/>
        <item x="67"/>
        <item x="82"/>
        <item x="10"/>
        <item x="75"/>
        <item x="52"/>
        <item x="39"/>
        <item x="11"/>
        <item x="48"/>
        <item x="12"/>
        <item x="69"/>
        <item x="53"/>
        <item x="55"/>
        <item x="14"/>
        <item x="23"/>
        <item x="9"/>
        <item x="68"/>
        <item x="8"/>
        <item x="72"/>
        <item x="42"/>
        <item x="85"/>
        <item x="41"/>
        <item x="34"/>
        <item x="84"/>
        <item x="19"/>
        <item x="18"/>
        <item x="73"/>
        <item x="21"/>
        <item x="17"/>
        <item x="74"/>
        <item x="15"/>
        <item x="5"/>
        <item x="60"/>
        <item x="30"/>
        <item x="26"/>
        <item x="40"/>
        <item x="80"/>
        <item x="65"/>
        <item x="28"/>
        <item x="59"/>
        <item x="22"/>
        <item x="13"/>
        <item x="66"/>
        <item x="58"/>
        <item x="57"/>
        <item x="78"/>
        <item x="71"/>
        <item x="35"/>
        <item x="16"/>
        <item x="44"/>
        <item x="56"/>
        <item x="64"/>
        <item x="25"/>
        <item x="77"/>
        <item x="61"/>
        <item x="36"/>
        <item x="0"/>
        <item x="51"/>
        <item t="default"/>
      </items>
    </pivotField>
    <pivotField axis="axisRow" showAll="0">
      <items count="57">
        <item x="5"/>
        <item x="45"/>
        <item x="33"/>
        <item x="46"/>
        <item x="29"/>
        <item x="23"/>
        <item x="11"/>
        <item x="54"/>
        <item x="34"/>
        <item x="32"/>
        <item x="18"/>
        <item x="40"/>
        <item x="39"/>
        <item x="37"/>
        <item x="36"/>
        <item x="44"/>
        <item x="43"/>
        <item x="28"/>
        <item x="38"/>
        <item x="35"/>
        <item x="15"/>
        <item x="22"/>
        <item x="21"/>
        <item x="31"/>
        <item x="4"/>
        <item x="30"/>
        <item x="53"/>
        <item x="52"/>
        <item x="42"/>
        <item x="51"/>
        <item x="41"/>
        <item x="55"/>
        <item x="50"/>
        <item x="49"/>
        <item x="48"/>
        <item x="47"/>
        <item x="27"/>
        <item x="26"/>
        <item x="25"/>
        <item x="24"/>
        <item x="20"/>
        <item x="19"/>
        <item x="17"/>
        <item x="16"/>
        <item x="14"/>
        <item x="13"/>
        <item x="9"/>
        <item x="12"/>
        <item x="8"/>
        <item x="0"/>
        <item x="10"/>
        <item x="7"/>
        <item x="6"/>
        <item x="3"/>
        <item x="2"/>
        <item x="1"/>
        <item t="default"/>
      </items>
    </pivotField>
    <pivotField showAll="0"/>
    <pivotField showAll="0"/>
  </pivotFields>
  <rowFields count="1">
    <field x="14"/>
  </rowFields>
  <rowItems count="5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Count of PassengerId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7" cacheId="11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U150:X236" firstHeaderRow="1" firstDataRow="2" firstDataCol="1"/>
  <pivotFields count="17">
    <pivotField dataField="1"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95">
        <item h="1" x="0"/>
        <item h="1" x="51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86"/>
        <item m="1" x="93"/>
        <item x="14"/>
        <item x="15"/>
        <item x="16"/>
        <item x="17"/>
        <item x="18"/>
        <item x="19"/>
        <item x="20"/>
        <item m="1" x="8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m="1" x="89"/>
        <item x="40"/>
        <item x="41"/>
        <item x="42"/>
        <item x="43"/>
        <item x="44"/>
        <item x="45"/>
        <item x="46"/>
        <item x="47"/>
        <item x="48"/>
        <item x="49"/>
        <item x="50"/>
        <item x="52"/>
        <item x="53"/>
        <item x="54"/>
        <item x="55"/>
        <item m="1" x="87"/>
        <item m="1" x="91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m="1" x="90"/>
        <item x="77"/>
        <item x="78"/>
        <item x="79"/>
        <item x="80"/>
        <item x="81"/>
        <item x="82"/>
        <item m="1" x="92"/>
        <item x="83"/>
        <item x="84"/>
        <item x="85"/>
        <item t="default"/>
      </items>
    </pivotField>
    <pivotField showAll="0"/>
    <pivotField showAll="0"/>
    <pivotField showAll="0"/>
  </pivotFields>
  <rowFields count="1">
    <field x="13"/>
  </rowFields>
  <rowItems count="85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7"/>
    </i>
    <i>
      <x v="18"/>
    </i>
    <i>
      <x v="19"/>
    </i>
    <i>
      <x v="20"/>
    </i>
    <i>
      <x v="21"/>
    </i>
    <i>
      <x v="22"/>
    </i>
    <i>
      <x v="23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4"/>
    </i>
    <i>
      <x v="85"/>
    </i>
    <i>
      <x v="86"/>
    </i>
    <i>
      <x v="87"/>
    </i>
    <i>
      <x v="88"/>
    </i>
    <i>
      <x v="89"/>
    </i>
    <i>
      <x v="91"/>
    </i>
    <i>
      <x v="92"/>
    </i>
    <i>
      <x v="93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Count of PassengerId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16" cacheId="11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U129:X139" firstHeaderRow="1" firstDataRow="2" firstDataCol="1"/>
  <pivotFields count="17">
    <pivotField dataField="1"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>
      <items count="95">
        <item m="1" x="87"/>
        <item m="1" x="90"/>
        <item m="1" x="93"/>
        <item m="1" x="86"/>
        <item m="1" x="88"/>
        <item m="1" x="89"/>
        <item m="1" x="91"/>
        <item m="1" x="92"/>
        <item x="7"/>
        <item x="83"/>
        <item x="79"/>
        <item x="70"/>
        <item x="50"/>
        <item x="54"/>
        <item x="63"/>
        <item x="37"/>
        <item x="62"/>
        <item x="29"/>
        <item x="81"/>
        <item x="1"/>
        <item x="76"/>
        <item x="24"/>
        <item x="32"/>
        <item x="49"/>
        <item x="4"/>
        <item x="33"/>
        <item x="2"/>
        <item x="6"/>
        <item x="20"/>
        <item x="43"/>
        <item x="31"/>
        <item x="27"/>
        <item x="38"/>
        <item x="3"/>
        <item x="46"/>
        <item x="45"/>
        <item x="47"/>
        <item x="67"/>
        <item x="82"/>
        <item x="10"/>
        <item x="75"/>
        <item x="52"/>
        <item x="39"/>
        <item x="11"/>
        <item x="48"/>
        <item x="12"/>
        <item x="69"/>
        <item x="53"/>
        <item x="55"/>
        <item x="14"/>
        <item x="23"/>
        <item x="9"/>
        <item x="68"/>
        <item x="8"/>
        <item x="72"/>
        <item x="42"/>
        <item x="85"/>
        <item x="41"/>
        <item x="34"/>
        <item x="84"/>
        <item x="19"/>
        <item x="18"/>
        <item x="73"/>
        <item x="21"/>
        <item x="17"/>
        <item x="74"/>
        <item x="15"/>
        <item x="5"/>
        <item x="60"/>
        <item x="30"/>
        <item x="26"/>
        <item x="40"/>
        <item x="80"/>
        <item x="65"/>
        <item x="28"/>
        <item x="59"/>
        <item x="22"/>
        <item x="13"/>
        <item x="66"/>
        <item x="58"/>
        <item x="57"/>
        <item x="78"/>
        <item x="71"/>
        <item x="35"/>
        <item x="16"/>
        <item x="44"/>
        <item x="56"/>
        <item x="64"/>
        <item x="25"/>
        <item x="77"/>
        <item x="61"/>
        <item x="36"/>
        <item x="0"/>
        <item x="51"/>
        <item t="default"/>
      </items>
    </pivotField>
    <pivotField showAll="0"/>
    <pivotField showAll="0"/>
    <pivotField showAll="0"/>
  </pivotFields>
  <rowFields count="1">
    <field x="1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Count of PassengerId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11" cacheId="11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U119:X124" firstHeaderRow="1" firstDataRow="2" firstDataCol="1"/>
  <pivotFields count="17">
    <pivotField dataField="1"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95">
        <item m="1" x="87"/>
        <item m="1" x="90"/>
        <item m="1" x="93"/>
        <item m="1" x="86"/>
        <item m="1" x="88"/>
        <item m="1" x="89"/>
        <item m="1" x="91"/>
        <item m="1" x="92"/>
        <item x="7"/>
        <item x="83"/>
        <item x="79"/>
        <item x="70"/>
        <item x="50"/>
        <item x="54"/>
        <item x="63"/>
        <item x="37"/>
        <item x="62"/>
        <item x="29"/>
        <item x="81"/>
        <item x="1"/>
        <item x="76"/>
        <item x="24"/>
        <item x="32"/>
        <item x="49"/>
        <item x="4"/>
        <item x="33"/>
        <item x="2"/>
        <item x="6"/>
        <item x="20"/>
        <item x="43"/>
        <item x="31"/>
        <item x="27"/>
        <item x="38"/>
        <item x="3"/>
        <item x="46"/>
        <item x="45"/>
        <item x="47"/>
        <item x="67"/>
        <item x="82"/>
        <item x="10"/>
        <item x="75"/>
        <item x="52"/>
        <item x="39"/>
        <item x="11"/>
        <item x="48"/>
        <item x="12"/>
        <item x="69"/>
        <item x="53"/>
        <item x="55"/>
        <item x="14"/>
        <item x="23"/>
        <item x="9"/>
        <item x="68"/>
        <item x="8"/>
        <item x="72"/>
        <item x="42"/>
        <item x="85"/>
        <item x="41"/>
        <item x="34"/>
        <item x="84"/>
        <item x="19"/>
        <item x="18"/>
        <item x="73"/>
        <item x="21"/>
        <item x="17"/>
        <item x="74"/>
        <item x="15"/>
        <item x="5"/>
        <item x="60"/>
        <item x="30"/>
        <item x="26"/>
        <item x="40"/>
        <item x="80"/>
        <item x="65"/>
        <item x="28"/>
        <item x="59"/>
        <item x="22"/>
        <item x="13"/>
        <item x="66"/>
        <item x="58"/>
        <item x="57"/>
        <item x="78"/>
        <item x="71"/>
        <item x="35"/>
        <item x="16"/>
        <item x="44"/>
        <item x="56"/>
        <item x="64"/>
        <item x="25"/>
        <item x="77"/>
        <item x="61"/>
        <item x="36"/>
        <item x="0"/>
        <item x="51"/>
        <item t="default"/>
      </items>
    </pivotField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</pivotFields>
  <rowFields count="1">
    <field x="16"/>
  </rowFields>
  <rowItems count="4">
    <i>
      <x/>
    </i>
    <i>
      <x v="1"/>
    </i>
    <i>
      <x v="2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Count of PassengerId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10" cacheId="11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U103:X113" firstHeaderRow="1" firstDataRow="2" firstDataCol="1"/>
  <pivotFields count="17">
    <pivotField dataField="1"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95">
        <item m="1" x="87"/>
        <item m="1" x="90"/>
        <item m="1" x="93"/>
        <item m="1" x="86"/>
        <item m="1" x="88"/>
        <item m="1" x="89"/>
        <item m="1" x="91"/>
        <item m="1" x="92"/>
        <item x="7"/>
        <item x="83"/>
        <item x="79"/>
        <item x="70"/>
        <item x="50"/>
        <item x="54"/>
        <item x="63"/>
        <item x="37"/>
        <item x="62"/>
        <item x="29"/>
        <item x="81"/>
        <item x="1"/>
        <item x="76"/>
        <item x="24"/>
        <item x="32"/>
        <item x="49"/>
        <item x="4"/>
        <item x="33"/>
        <item x="2"/>
        <item x="6"/>
        <item x="20"/>
        <item x="43"/>
        <item x="31"/>
        <item x="27"/>
        <item x="38"/>
        <item x="3"/>
        <item x="46"/>
        <item x="45"/>
        <item x="47"/>
        <item x="67"/>
        <item x="82"/>
        <item x="10"/>
        <item x="75"/>
        <item x="52"/>
        <item x="39"/>
        <item x="11"/>
        <item x="48"/>
        <item x="12"/>
        <item x="69"/>
        <item x="53"/>
        <item x="55"/>
        <item x="14"/>
        <item x="23"/>
        <item x="9"/>
        <item x="68"/>
        <item x="8"/>
        <item x="72"/>
        <item x="42"/>
        <item x="85"/>
        <item x="41"/>
        <item x="34"/>
        <item x="84"/>
        <item x="19"/>
        <item x="18"/>
        <item x="73"/>
        <item x="21"/>
        <item x="17"/>
        <item x="74"/>
        <item x="15"/>
        <item x="5"/>
        <item x="60"/>
        <item x="30"/>
        <item x="26"/>
        <item x="40"/>
        <item x="80"/>
        <item x="65"/>
        <item x="28"/>
        <item x="59"/>
        <item x="22"/>
        <item x="13"/>
        <item x="66"/>
        <item x="58"/>
        <item x="57"/>
        <item x="78"/>
        <item x="71"/>
        <item x="35"/>
        <item x="16"/>
        <item x="44"/>
        <item x="56"/>
        <item x="64"/>
        <item x="25"/>
        <item x="77"/>
        <item x="61"/>
        <item x="36"/>
        <item x="0"/>
        <item x="51"/>
        <item t="default"/>
      </items>
    </pivotField>
    <pivotField showAll="0"/>
    <pivotField axis="axisRow" showAll="0">
      <items count="10">
        <item h="1" x="0"/>
        <item x="6"/>
        <item x="1"/>
        <item x="5"/>
        <item x="3"/>
        <item x="2"/>
        <item x="4"/>
        <item x="7"/>
        <item x="8"/>
        <item t="default"/>
      </items>
    </pivotField>
    <pivotField showAll="0"/>
  </pivotFields>
  <rowFields count="1">
    <field x="15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Count of PassengerId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8" cacheId="11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U62:X68" firstHeaderRow="1" firstDataRow="2" firstDataCol="1"/>
  <pivotFields count="17">
    <pivotField dataField="1"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>
      <items count="95">
        <item m="1" x="87"/>
        <item m="1" x="90"/>
        <item m="1" x="93"/>
        <item m="1" x="86"/>
        <item m="1" x="88"/>
        <item m="1" x="89"/>
        <item m="1" x="91"/>
        <item m="1" x="92"/>
        <item x="7"/>
        <item x="83"/>
        <item x="79"/>
        <item x="70"/>
        <item x="50"/>
        <item x="54"/>
        <item x="63"/>
        <item x="37"/>
        <item x="62"/>
        <item x="29"/>
        <item x="81"/>
        <item x="1"/>
        <item x="76"/>
        <item x="24"/>
        <item x="32"/>
        <item x="49"/>
        <item x="4"/>
        <item x="33"/>
        <item x="2"/>
        <item x="6"/>
        <item x="20"/>
        <item x="43"/>
        <item x="31"/>
        <item x="27"/>
        <item x="38"/>
        <item x="3"/>
        <item x="46"/>
        <item x="45"/>
        <item x="47"/>
        <item x="67"/>
        <item x="82"/>
        <item x="10"/>
        <item x="75"/>
        <item x="52"/>
        <item x="39"/>
        <item x="11"/>
        <item x="48"/>
        <item x="12"/>
        <item x="69"/>
        <item x="53"/>
        <item x="55"/>
        <item x="14"/>
        <item x="23"/>
        <item x="9"/>
        <item x="68"/>
        <item x="8"/>
        <item x="72"/>
        <item x="42"/>
        <item x="85"/>
        <item x="41"/>
        <item x="34"/>
        <item x="84"/>
        <item x="19"/>
        <item x="18"/>
        <item x="73"/>
        <item x="21"/>
        <item x="17"/>
        <item x="74"/>
        <item x="15"/>
        <item x="5"/>
        <item x="60"/>
        <item x="30"/>
        <item x="26"/>
        <item x="40"/>
        <item x="80"/>
        <item x="65"/>
        <item x="28"/>
        <item x="59"/>
        <item x="22"/>
        <item x="13"/>
        <item x="66"/>
        <item x="58"/>
        <item x="57"/>
        <item x="78"/>
        <item x="71"/>
        <item x="35"/>
        <item x="16"/>
        <item x="44"/>
        <item x="56"/>
        <item x="64"/>
        <item x="25"/>
        <item x="77"/>
        <item x="61"/>
        <item x="36"/>
        <item x="0"/>
        <item x="51"/>
        <item t="default"/>
      </items>
    </pivotField>
    <pivotField showAll="0"/>
    <pivotField showAll="0"/>
    <pivotField showAll="0"/>
  </pivotFields>
  <rowFields count="1">
    <field x="8"/>
  </rowFields>
  <rowItems count="5"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Count of PassengerId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PivotTable7" cacheId="11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U48:X57" firstHeaderRow="1" firstDataRow="2" firstDataCol="1"/>
  <pivotFields count="17">
    <pivotField dataField="1"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axis="axisRow" showAll="0">
      <items count="8">
        <item x="1"/>
        <item x="0"/>
        <item x="2"/>
        <item x="6"/>
        <item x="5"/>
        <item x="4"/>
        <item x="3"/>
        <item t="default"/>
      </items>
    </pivotField>
    <pivotField showAll="0"/>
    <pivotField showAll="0"/>
    <pivotField showAll="0"/>
    <pivotField showAll="0"/>
    <pivotField showAll="0"/>
    <pivotField showAll="0">
      <items count="95">
        <item m="1" x="87"/>
        <item m="1" x="90"/>
        <item m="1" x="93"/>
        <item m="1" x="86"/>
        <item m="1" x="88"/>
        <item m="1" x="89"/>
        <item m="1" x="91"/>
        <item m="1" x="92"/>
        <item x="7"/>
        <item x="83"/>
        <item x="79"/>
        <item x="70"/>
        <item x="50"/>
        <item x="54"/>
        <item x="63"/>
        <item x="37"/>
        <item x="62"/>
        <item x="29"/>
        <item x="81"/>
        <item x="1"/>
        <item x="76"/>
        <item x="24"/>
        <item x="32"/>
        <item x="49"/>
        <item x="4"/>
        <item x="33"/>
        <item x="2"/>
        <item x="6"/>
        <item x="20"/>
        <item x="43"/>
        <item x="31"/>
        <item x="27"/>
        <item x="38"/>
        <item x="3"/>
        <item x="46"/>
        <item x="45"/>
        <item x="47"/>
        <item x="67"/>
        <item x="82"/>
        <item x="10"/>
        <item x="75"/>
        <item x="52"/>
        <item x="39"/>
        <item x="11"/>
        <item x="48"/>
        <item x="12"/>
        <item x="69"/>
        <item x="53"/>
        <item x="55"/>
        <item x="14"/>
        <item x="23"/>
        <item x="9"/>
        <item x="68"/>
        <item x="8"/>
        <item x="72"/>
        <item x="42"/>
        <item x="85"/>
        <item x="41"/>
        <item x="34"/>
        <item x="84"/>
        <item x="19"/>
        <item x="18"/>
        <item x="73"/>
        <item x="21"/>
        <item x="17"/>
        <item x="74"/>
        <item x="15"/>
        <item x="5"/>
        <item x="60"/>
        <item x="30"/>
        <item x="26"/>
        <item x="40"/>
        <item x="80"/>
        <item x="65"/>
        <item x="28"/>
        <item x="59"/>
        <item x="22"/>
        <item x="13"/>
        <item x="66"/>
        <item x="58"/>
        <item x="57"/>
        <item x="78"/>
        <item x="71"/>
        <item x="35"/>
        <item x="16"/>
        <item x="44"/>
        <item x="56"/>
        <item x="64"/>
        <item x="25"/>
        <item x="77"/>
        <item x="61"/>
        <item x="36"/>
        <item x="0"/>
        <item x="51"/>
        <item t="default"/>
      </items>
    </pivotField>
    <pivotField showAll="0"/>
    <pivotField showAll="0"/>
    <pivotField showAll="0"/>
  </pivotFields>
  <rowFields count="1">
    <field x="7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Count of PassengerId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PivotTable6" cacheId="11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U34:X43" firstHeaderRow="1" firstDataRow="2" firstDataCol="1"/>
  <pivotFields count="17">
    <pivotField dataField="1"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axis="axisRow" showAll="0">
      <items count="9">
        <item h="1"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95">
        <item m="1" x="87"/>
        <item m="1" x="90"/>
        <item m="1" x="93"/>
        <item m="1" x="86"/>
        <item m="1" x="88"/>
        <item m="1" x="89"/>
        <item m="1" x="91"/>
        <item m="1" x="92"/>
        <item x="7"/>
        <item x="83"/>
        <item x="79"/>
        <item x="70"/>
        <item x="50"/>
        <item x="54"/>
        <item x="63"/>
        <item x="37"/>
        <item x="62"/>
        <item x="29"/>
        <item x="81"/>
        <item x="1"/>
        <item x="76"/>
        <item x="24"/>
        <item x="32"/>
        <item x="49"/>
        <item x="4"/>
        <item x="33"/>
        <item x="2"/>
        <item x="6"/>
        <item x="20"/>
        <item x="43"/>
        <item x="31"/>
        <item x="27"/>
        <item x="38"/>
        <item x="3"/>
        <item x="46"/>
        <item x="45"/>
        <item x="47"/>
        <item x="67"/>
        <item x="82"/>
        <item x="10"/>
        <item x="75"/>
        <item x="52"/>
        <item x="39"/>
        <item x="11"/>
        <item x="48"/>
        <item x="12"/>
        <item x="69"/>
        <item x="53"/>
        <item x="55"/>
        <item x="14"/>
        <item x="23"/>
        <item x="9"/>
        <item x="68"/>
        <item x="8"/>
        <item x="72"/>
        <item x="42"/>
        <item x="85"/>
        <item x="41"/>
        <item x="34"/>
        <item x="84"/>
        <item x="19"/>
        <item x="18"/>
        <item x="73"/>
        <item x="21"/>
        <item x="17"/>
        <item x="74"/>
        <item x="15"/>
        <item x="5"/>
        <item x="60"/>
        <item x="30"/>
        <item x="26"/>
        <item x="40"/>
        <item x="80"/>
        <item x="65"/>
        <item x="28"/>
        <item x="59"/>
        <item x="22"/>
        <item x="13"/>
        <item x="66"/>
        <item x="58"/>
        <item x="57"/>
        <item x="78"/>
        <item x="71"/>
        <item x="35"/>
        <item x="16"/>
        <item x="44"/>
        <item x="56"/>
        <item x="64"/>
        <item x="25"/>
        <item x="77"/>
        <item x="61"/>
        <item x="36"/>
        <item x="0"/>
        <item x="51"/>
        <item t="default"/>
      </items>
    </pivotField>
    <pivotField showAll="0"/>
    <pivotField showAll="0"/>
    <pivotField showAll="0"/>
  </pivotFields>
  <rowFields count="1">
    <field x="6"/>
  </rowFields>
  <row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Count of PassengerId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PivotTable5" cacheId="11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U25:X29" firstHeaderRow="1" firstDataRow="2" firstDataCol="1"/>
  <pivotFields count="17">
    <pivotField dataField="1"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95">
        <item m="1" x="87"/>
        <item m="1" x="90"/>
        <item m="1" x="93"/>
        <item m="1" x="86"/>
        <item m="1" x="88"/>
        <item m="1" x="89"/>
        <item m="1" x="91"/>
        <item m="1" x="92"/>
        <item x="7"/>
        <item x="83"/>
        <item x="79"/>
        <item x="70"/>
        <item x="50"/>
        <item x="54"/>
        <item x="63"/>
        <item x="37"/>
        <item x="62"/>
        <item x="29"/>
        <item x="81"/>
        <item x="1"/>
        <item x="76"/>
        <item x="24"/>
        <item x="32"/>
        <item x="49"/>
        <item x="4"/>
        <item x="33"/>
        <item x="2"/>
        <item x="6"/>
        <item x="20"/>
        <item x="43"/>
        <item x="31"/>
        <item x="27"/>
        <item x="38"/>
        <item x="3"/>
        <item x="46"/>
        <item x="45"/>
        <item x="47"/>
        <item x="67"/>
        <item x="82"/>
        <item x="10"/>
        <item x="75"/>
        <item x="52"/>
        <item x="39"/>
        <item x="11"/>
        <item x="48"/>
        <item x="12"/>
        <item x="69"/>
        <item x="53"/>
        <item x="55"/>
        <item x="14"/>
        <item x="23"/>
        <item x="9"/>
        <item x="68"/>
        <item x="8"/>
        <item x="72"/>
        <item x="42"/>
        <item x="85"/>
        <item x="41"/>
        <item x="34"/>
        <item x="84"/>
        <item x="19"/>
        <item x="18"/>
        <item x="73"/>
        <item x="21"/>
        <item x="17"/>
        <item x="74"/>
        <item x="15"/>
        <item x="5"/>
        <item x="60"/>
        <item x="30"/>
        <item x="26"/>
        <item x="40"/>
        <item x="80"/>
        <item x="65"/>
        <item x="28"/>
        <item x="59"/>
        <item x="22"/>
        <item x="13"/>
        <item x="66"/>
        <item x="58"/>
        <item x="57"/>
        <item x="78"/>
        <item x="71"/>
        <item x="35"/>
        <item x="16"/>
        <item x="44"/>
        <item x="56"/>
        <item x="64"/>
        <item x="25"/>
        <item x="77"/>
        <item x="61"/>
        <item x="36"/>
        <item x="0"/>
        <item x="51"/>
        <item t="default"/>
      </items>
    </pivotField>
    <pivotField showAll="0"/>
    <pivotField showAll="0"/>
    <pivotField showAll="0"/>
  </pivotFields>
  <rowFields count="1">
    <field x="5"/>
  </rowFields>
  <rowItems count="3">
    <i>
      <x/>
    </i>
    <i>
      <x v="1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Count of PassengerId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PivotTable2" cacheId="11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U12:X20" firstHeaderRow="1" firstDataRow="2" firstDataCol="1"/>
  <pivotFields count="17">
    <pivotField dataField="1" showAll="0"/>
    <pivotField axis="axisCol" showAll="0">
      <items count="3">
        <item x="0"/>
        <item x="1"/>
        <item t="default"/>
      </items>
    </pivotField>
    <pivotField showAll="0"/>
    <pivotField showAll="0"/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95">
        <item m="1" x="87"/>
        <item m="1" x="90"/>
        <item m="1" x="93"/>
        <item m="1" x="86"/>
        <item m="1" x="88"/>
        <item m="1" x="89"/>
        <item m="1" x="91"/>
        <item m="1" x="92"/>
        <item x="7"/>
        <item x="83"/>
        <item x="79"/>
        <item x="70"/>
        <item x="50"/>
        <item x="54"/>
        <item x="63"/>
        <item x="37"/>
        <item x="62"/>
        <item x="29"/>
        <item x="81"/>
        <item x="1"/>
        <item x="76"/>
        <item x="24"/>
        <item x="32"/>
        <item x="49"/>
        <item x="4"/>
        <item x="33"/>
        <item x="2"/>
        <item x="6"/>
        <item x="20"/>
        <item x="43"/>
        <item x="31"/>
        <item x="27"/>
        <item x="38"/>
        <item x="3"/>
        <item x="46"/>
        <item x="45"/>
        <item x="47"/>
        <item x="67"/>
        <item x="82"/>
        <item x="10"/>
        <item x="75"/>
        <item x="52"/>
        <item x="39"/>
        <item x="11"/>
        <item x="48"/>
        <item x="12"/>
        <item x="69"/>
        <item x="53"/>
        <item x="55"/>
        <item x="14"/>
        <item x="23"/>
        <item x="9"/>
        <item x="68"/>
        <item x="8"/>
        <item x="72"/>
        <item x="42"/>
        <item x="85"/>
        <item x="41"/>
        <item x="34"/>
        <item x="84"/>
        <item x="19"/>
        <item x="18"/>
        <item x="73"/>
        <item x="21"/>
        <item x="17"/>
        <item x="74"/>
        <item x="15"/>
        <item x="5"/>
        <item x="60"/>
        <item x="30"/>
        <item x="26"/>
        <item x="40"/>
        <item x="80"/>
        <item x="65"/>
        <item x="28"/>
        <item x="59"/>
        <item x="22"/>
        <item x="13"/>
        <item x="66"/>
        <item x="58"/>
        <item x="57"/>
        <item x="78"/>
        <item x="71"/>
        <item x="35"/>
        <item x="16"/>
        <item x="44"/>
        <item x="56"/>
        <item x="64"/>
        <item x="25"/>
        <item x="77"/>
        <item x="61"/>
        <item x="36"/>
        <item x="0"/>
        <item x="51"/>
        <item t="default"/>
      </items>
    </pivotField>
    <pivotField showAll="0"/>
    <pivotField showAll="0"/>
    <pivotField showAll="0"/>
  </pivotFields>
  <rowFields count="1">
    <field x="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Count of PassengerId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name="PivotTable1" cacheId="11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U3:X8" firstHeaderRow="1" firstDataRow="2" firstDataCol="1"/>
  <pivotFields count="17">
    <pivotField dataField="1" showAll="0"/>
    <pivotField axis="axisCol" showAll="0">
      <items count="3">
        <item x="0"/>
        <item x="1"/>
        <item t="default"/>
      </items>
    </pivotField>
    <pivotField axis="axisRow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95">
        <item m="1" x="87"/>
        <item m="1" x="90"/>
        <item m="1" x="93"/>
        <item m="1" x="86"/>
        <item m="1" x="88"/>
        <item m="1" x="89"/>
        <item m="1" x="91"/>
        <item m="1" x="92"/>
        <item x="7"/>
        <item x="83"/>
        <item x="79"/>
        <item x="70"/>
        <item x="50"/>
        <item x="54"/>
        <item x="63"/>
        <item x="37"/>
        <item x="62"/>
        <item x="29"/>
        <item x="81"/>
        <item x="1"/>
        <item x="76"/>
        <item x="24"/>
        <item x="32"/>
        <item x="49"/>
        <item x="4"/>
        <item x="33"/>
        <item x="2"/>
        <item x="6"/>
        <item x="20"/>
        <item x="43"/>
        <item x="31"/>
        <item x="27"/>
        <item x="38"/>
        <item x="3"/>
        <item x="46"/>
        <item x="45"/>
        <item x="47"/>
        <item x="67"/>
        <item x="82"/>
        <item x="10"/>
        <item x="75"/>
        <item x="52"/>
        <item x="39"/>
        <item x="11"/>
        <item x="48"/>
        <item x="12"/>
        <item x="69"/>
        <item x="53"/>
        <item x="55"/>
        <item x="14"/>
        <item x="23"/>
        <item x="9"/>
        <item x="68"/>
        <item x="8"/>
        <item x="72"/>
        <item x="42"/>
        <item x="85"/>
        <item x="41"/>
        <item x="34"/>
        <item x="84"/>
        <item x="19"/>
        <item x="18"/>
        <item x="73"/>
        <item x="21"/>
        <item x="17"/>
        <item x="74"/>
        <item x="15"/>
        <item x="5"/>
        <item x="60"/>
        <item x="30"/>
        <item x="26"/>
        <item x="40"/>
        <item x="80"/>
        <item x="65"/>
        <item x="28"/>
        <item x="59"/>
        <item x="22"/>
        <item x="13"/>
        <item x="66"/>
        <item x="58"/>
        <item x="57"/>
        <item x="78"/>
        <item x="71"/>
        <item x="35"/>
        <item x="16"/>
        <item x="44"/>
        <item x="56"/>
        <item x="64"/>
        <item x="25"/>
        <item x="77"/>
        <item x="61"/>
        <item x="36"/>
        <item x="0"/>
        <item x="51"/>
        <item t="default"/>
      </items>
    </pivotField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Count of PassengerId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name="PivotTable19" cacheId="11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H3:K89" firstHeaderRow="1" firstDataRow="2" firstDataCol="1"/>
  <pivotFields count="2">
    <pivotField axis="axisCol" dataField="1" showAll="0">
      <items count="3">
        <item x="0"/>
        <item x="1"/>
        <item t="default"/>
      </items>
    </pivotField>
    <pivotField axis="axisRow" showAll="0">
      <items count="87">
        <item x="7"/>
        <item x="83"/>
        <item x="79"/>
        <item x="70"/>
        <item x="50"/>
        <item x="54"/>
        <item x="63"/>
        <item x="37"/>
        <item x="62"/>
        <item x="29"/>
        <item x="81"/>
        <item x="1"/>
        <item x="76"/>
        <item x="24"/>
        <item x="32"/>
        <item x="49"/>
        <item x="4"/>
        <item x="33"/>
        <item x="2"/>
        <item x="6"/>
        <item x="20"/>
        <item x="43"/>
        <item x="31"/>
        <item x="27"/>
        <item x="38"/>
        <item x="3"/>
        <item x="46"/>
        <item x="45"/>
        <item x="47"/>
        <item x="67"/>
        <item x="82"/>
        <item x="10"/>
        <item x="75"/>
        <item x="52"/>
        <item x="39"/>
        <item x="11"/>
        <item x="48"/>
        <item x="12"/>
        <item x="69"/>
        <item x="53"/>
        <item x="55"/>
        <item x="14"/>
        <item x="23"/>
        <item x="9"/>
        <item x="68"/>
        <item x="8"/>
        <item x="72"/>
        <item x="42"/>
        <item x="85"/>
        <item x="41"/>
        <item x="34"/>
        <item x="84"/>
        <item x="19"/>
        <item x="18"/>
        <item x="73"/>
        <item x="21"/>
        <item x="17"/>
        <item x="74"/>
        <item x="15"/>
        <item x="5"/>
        <item x="60"/>
        <item x="30"/>
        <item x="26"/>
        <item x="40"/>
        <item x="80"/>
        <item x="65"/>
        <item x="28"/>
        <item x="59"/>
        <item x="22"/>
        <item x="13"/>
        <item x="66"/>
        <item x="58"/>
        <item x="57"/>
        <item x="78"/>
        <item x="71"/>
        <item x="35"/>
        <item x="16"/>
        <item x="44"/>
        <item x="56"/>
        <item x="64"/>
        <item x="25"/>
        <item x="77"/>
        <item x="61"/>
        <item x="36"/>
        <item h="1" x="0"/>
        <item h="1" x="51"/>
        <item t="default"/>
      </items>
    </pivotField>
  </pivotFields>
  <rowFields count="1">
    <field x="1"/>
  </rowFields>
  <rowItems count="8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Count of Survived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AI892"/>
  <sheetViews>
    <sheetView tabSelected="1" zoomScale="85" zoomScaleNormal="85" workbookViewId="0">
      <selection activeCell="B790" sqref="B1:B1048576"/>
    </sheetView>
  </sheetViews>
  <sheetFormatPr defaultRowHeight="15" x14ac:dyDescent="0.25"/>
  <cols>
    <col min="3" max="3" width="9.140625" customWidth="1"/>
    <col min="4" max="5" width="49.85546875" customWidth="1"/>
    <col min="6" max="12" width="9.140625" customWidth="1"/>
    <col min="13" max="14" width="9.140625" style="6" customWidth="1"/>
    <col min="17" max="17" width="11.140625" customWidth="1"/>
    <col min="18" max="18" width="4.140625" customWidth="1"/>
    <col min="19" max="19" width="4.5703125" customWidth="1"/>
    <col min="20" max="20" width="5.140625" customWidth="1"/>
    <col min="21" max="21" width="20" bestFit="1" customWidth="1"/>
    <col min="22" max="22" width="16.28515625" bestFit="1" customWidth="1"/>
    <col min="23" max="23" width="4.140625" bestFit="1" customWidth="1"/>
    <col min="24" max="24" width="11.28515625" bestFit="1" customWidth="1"/>
    <col min="26" max="26" width="11.5703125" bestFit="1" customWidth="1"/>
    <col min="27" max="27" width="9.140625" style="5"/>
  </cols>
  <sheetData>
    <row r="1" spans="1:28" x14ac:dyDescent="0.25">
      <c r="A1" t="s">
        <v>0</v>
      </c>
      <c r="B1" t="s">
        <v>1</v>
      </c>
      <c r="C1" t="s">
        <v>2</v>
      </c>
      <c r="D1" t="s">
        <v>3</v>
      </c>
      <c r="E1" s="4" t="s">
        <v>1236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s="6" t="s">
        <v>1320</v>
      </c>
      <c r="N1" s="6" t="s">
        <v>1263</v>
      </c>
      <c r="O1" t="s">
        <v>1250</v>
      </c>
      <c r="P1" s="4" t="s">
        <v>11</v>
      </c>
      <c r="Q1" t="s">
        <v>12</v>
      </c>
    </row>
    <row r="2" spans="1:28" hidden="1" x14ac:dyDescent="0.25">
      <c r="A2">
        <v>362</v>
      </c>
      <c r="B2">
        <v>0</v>
      </c>
      <c r="C2">
        <v>2</v>
      </c>
      <c r="D2" t="s">
        <v>527</v>
      </c>
      <c r="E2" s="4">
        <f>LEN(D2)</f>
        <v>25</v>
      </c>
      <c r="F2" t="s">
        <v>24</v>
      </c>
      <c r="G2">
        <v>29</v>
      </c>
      <c r="H2">
        <v>1</v>
      </c>
      <c r="I2">
        <v>0</v>
      </c>
      <c r="J2" t="s">
        <v>528</v>
      </c>
      <c r="K2">
        <v>27.720800000000001</v>
      </c>
      <c r="M2" s="6" t="str">
        <f>IF(LEN(L2)&gt;3,RIGHT((LEFT(L2,4)),3),IF(LEN(L2)=3,RIGHT(L2,2),RIGHT(L2,1)))</f>
        <v/>
      </c>
      <c r="N2" s="7" t="str">
        <f>IF(LEN(M2)&gt;1, M2+0,"")</f>
        <v/>
      </c>
      <c r="O2" t="str">
        <f>LEFT(J2,2)</f>
        <v>SC</v>
      </c>
      <c r="P2" s="4" t="str">
        <f>LEFT(L2,1)</f>
        <v/>
      </c>
      <c r="Q2" t="s">
        <v>17</v>
      </c>
    </row>
    <row r="3" spans="1:28" x14ac:dyDescent="0.25">
      <c r="A3">
        <v>541</v>
      </c>
      <c r="B3">
        <v>1</v>
      </c>
      <c r="C3">
        <v>1</v>
      </c>
      <c r="D3" t="s">
        <v>289</v>
      </c>
      <c r="E3" s="4">
        <f>LEN(D3)</f>
        <v>23</v>
      </c>
      <c r="F3" t="s">
        <v>14</v>
      </c>
      <c r="G3">
        <v>36</v>
      </c>
      <c r="H3">
        <v>0</v>
      </c>
      <c r="I3">
        <v>2</v>
      </c>
      <c r="J3" t="s">
        <v>290</v>
      </c>
      <c r="K3">
        <v>71</v>
      </c>
      <c r="L3" t="s">
        <v>291</v>
      </c>
      <c r="M3" s="6" t="str">
        <f t="shared" ref="M3:M66" si="0">IF(LEN(L3)&gt;3,RIGHT((LEFT(L3,4)),3),IF(LEN(L3)=3,RIGHT(L3,2),RIGHT(L3,1)))</f>
        <v>22</v>
      </c>
      <c r="N3" s="7">
        <f>IF(LEN(M3)&gt;1, M3+0,"")</f>
        <v>22</v>
      </c>
      <c r="O3" t="str">
        <f t="shared" ref="O3:O66" si="1">LEFT(J3,2)</f>
        <v>WE</v>
      </c>
      <c r="P3" s="4" t="str">
        <f>LEFT(L3,1)</f>
        <v>B</v>
      </c>
      <c r="Q3" t="s">
        <v>20</v>
      </c>
      <c r="U3" s="1" t="s">
        <v>21</v>
      </c>
      <c r="V3" s="1" t="s">
        <v>22</v>
      </c>
    </row>
    <row r="4" spans="1:28" x14ac:dyDescent="0.25">
      <c r="A4">
        <v>746</v>
      </c>
      <c r="B4">
        <v>0</v>
      </c>
      <c r="C4">
        <v>1</v>
      </c>
      <c r="D4" t="s">
        <v>374</v>
      </c>
      <c r="E4" s="4">
        <f>LEN(D4)</f>
        <v>28</v>
      </c>
      <c r="F4" t="s">
        <v>24</v>
      </c>
      <c r="G4">
        <v>70</v>
      </c>
      <c r="H4">
        <v>1</v>
      </c>
      <c r="I4">
        <v>1</v>
      </c>
      <c r="J4" t="s">
        <v>290</v>
      </c>
      <c r="K4">
        <v>71</v>
      </c>
      <c r="L4" t="s">
        <v>291</v>
      </c>
      <c r="M4" s="6" t="str">
        <f t="shared" si="0"/>
        <v>22</v>
      </c>
      <c r="N4" s="7">
        <f t="shared" ref="N4:N67" si="2">IF(LEN(M4)&gt;1, M4+0,"")</f>
        <v>22</v>
      </c>
      <c r="O4" t="str">
        <f t="shared" si="1"/>
        <v>WE</v>
      </c>
      <c r="P4" s="4" t="str">
        <f>LEFT(L4,1)</f>
        <v>B</v>
      </c>
      <c r="Q4" t="s">
        <v>20</v>
      </c>
      <c r="U4" s="1" t="s">
        <v>26</v>
      </c>
      <c r="V4">
        <v>0</v>
      </c>
      <c r="W4">
        <v>1</v>
      </c>
      <c r="X4" t="s">
        <v>80</v>
      </c>
      <c r="Z4" t="s">
        <v>2</v>
      </c>
      <c r="AA4" s="5" t="s">
        <v>27</v>
      </c>
      <c r="AB4" t="s">
        <v>28</v>
      </c>
    </row>
    <row r="5" spans="1:28" hidden="1" x14ac:dyDescent="0.25">
      <c r="A5">
        <v>220</v>
      </c>
      <c r="B5">
        <v>0</v>
      </c>
      <c r="C5">
        <v>2</v>
      </c>
      <c r="D5" t="s">
        <v>482</v>
      </c>
      <c r="E5" s="4">
        <f>LEN(D5)</f>
        <v>18</v>
      </c>
      <c r="F5" t="s">
        <v>24</v>
      </c>
      <c r="G5">
        <v>30</v>
      </c>
      <c r="H5">
        <v>0</v>
      </c>
      <c r="I5">
        <v>0</v>
      </c>
      <c r="J5" t="s">
        <v>483</v>
      </c>
      <c r="K5">
        <v>10.5</v>
      </c>
      <c r="M5" s="6" t="str">
        <f t="shared" si="0"/>
        <v/>
      </c>
      <c r="N5" s="7" t="str">
        <f t="shared" si="2"/>
        <v/>
      </c>
      <c r="O5" t="str">
        <f t="shared" si="1"/>
        <v>W/</v>
      </c>
      <c r="P5" s="4" t="str">
        <f>LEFT(L5,1)</f>
        <v/>
      </c>
      <c r="Q5" t="s">
        <v>20</v>
      </c>
      <c r="U5" s="3">
        <v>1</v>
      </c>
      <c r="V5" s="2">
        <v>80</v>
      </c>
      <c r="W5" s="2">
        <v>136</v>
      </c>
      <c r="X5" s="2">
        <v>216</v>
      </c>
      <c r="Z5">
        <f>U5</f>
        <v>1</v>
      </c>
      <c r="AA5" s="5">
        <f>W5/(X5)</f>
        <v>0.62962962962962965</v>
      </c>
      <c r="AB5">
        <f>X5</f>
        <v>216</v>
      </c>
    </row>
    <row r="6" spans="1:28" x14ac:dyDescent="0.25">
      <c r="A6">
        <v>93</v>
      </c>
      <c r="B6">
        <v>0</v>
      </c>
      <c r="C6">
        <v>1</v>
      </c>
      <c r="D6" t="s">
        <v>77</v>
      </c>
      <c r="E6" s="4">
        <f>LEN(D6)</f>
        <v>27</v>
      </c>
      <c r="F6" t="s">
        <v>24</v>
      </c>
      <c r="G6">
        <v>46</v>
      </c>
      <c r="H6">
        <v>1</v>
      </c>
      <c r="I6">
        <v>0</v>
      </c>
      <c r="J6" t="s">
        <v>78</v>
      </c>
      <c r="K6">
        <v>61.174999999999997</v>
      </c>
      <c r="L6" t="s">
        <v>79</v>
      </c>
      <c r="M6" s="6" t="str">
        <f t="shared" si="0"/>
        <v>31</v>
      </c>
      <c r="N6" s="7">
        <f t="shared" si="2"/>
        <v>31</v>
      </c>
      <c r="O6" t="str">
        <f t="shared" si="1"/>
        <v>W.</v>
      </c>
      <c r="P6" s="4" t="str">
        <f>LEFT(L6,1)</f>
        <v>E</v>
      </c>
      <c r="Q6" t="s">
        <v>20</v>
      </c>
      <c r="U6" s="3">
        <v>2</v>
      </c>
      <c r="V6" s="2">
        <v>97</v>
      </c>
      <c r="W6" s="2">
        <v>87</v>
      </c>
      <c r="X6" s="2">
        <v>184</v>
      </c>
      <c r="Z6">
        <f t="shared" ref="Z6:Z20" si="3">U6</f>
        <v>2</v>
      </c>
      <c r="AA6" s="5">
        <f t="shared" ref="AA6:AA69" si="4">W6/(X6)</f>
        <v>0.47282608695652173</v>
      </c>
      <c r="AB6">
        <f t="shared" ref="AB6:AB20" si="5">X6</f>
        <v>184</v>
      </c>
    </row>
    <row r="7" spans="1:28" hidden="1" x14ac:dyDescent="0.25">
      <c r="A7">
        <v>236</v>
      </c>
      <c r="B7">
        <v>0</v>
      </c>
      <c r="C7">
        <v>3</v>
      </c>
      <c r="D7" t="s">
        <v>1123</v>
      </c>
      <c r="E7" s="4">
        <f>LEN(D7)</f>
        <v>28</v>
      </c>
      <c r="F7" t="s">
        <v>14</v>
      </c>
      <c r="H7">
        <v>0</v>
      </c>
      <c r="I7">
        <v>0</v>
      </c>
      <c r="J7" t="s">
        <v>1124</v>
      </c>
      <c r="K7">
        <v>7.55</v>
      </c>
      <c r="M7" s="6" t="str">
        <f t="shared" si="0"/>
        <v/>
      </c>
      <c r="N7" s="7" t="str">
        <f t="shared" si="2"/>
        <v/>
      </c>
      <c r="O7" t="str">
        <f t="shared" si="1"/>
        <v>W.</v>
      </c>
      <c r="P7" s="4" t="str">
        <f>LEFT(L7,1)</f>
        <v/>
      </c>
      <c r="Q7" t="s">
        <v>20</v>
      </c>
      <c r="U7" s="3">
        <v>3</v>
      </c>
      <c r="V7" s="2">
        <v>372</v>
      </c>
      <c r="W7" s="2">
        <v>119</v>
      </c>
      <c r="X7" s="2">
        <v>491</v>
      </c>
      <c r="Z7">
        <f t="shared" si="3"/>
        <v>3</v>
      </c>
      <c r="AA7" s="5">
        <f t="shared" si="4"/>
        <v>0.24236252545824846</v>
      </c>
      <c r="AB7">
        <f t="shared" si="5"/>
        <v>491</v>
      </c>
    </row>
    <row r="8" spans="1:28" hidden="1" x14ac:dyDescent="0.25">
      <c r="A8">
        <v>87</v>
      </c>
      <c r="B8">
        <v>0</v>
      </c>
      <c r="C8">
        <v>3</v>
      </c>
      <c r="D8" t="s">
        <v>712</v>
      </c>
      <c r="E8" s="4">
        <f>LEN(D8)</f>
        <v>22</v>
      </c>
      <c r="F8" t="s">
        <v>24</v>
      </c>
      <c r="G8">
        <v>16</v>
      </c>
      <c r="H8">
        <v>1</v>
      </c>
      <c r="I8">
        <v>3</v>
      </c>
      <c r="J8" t="s">
        <v>713</v>
      </c>
      <c r="K8">
        <v>34.375</v>
      </c>
      <c r="M8" s="6" t="str">
        <f t="shared" si="0"/>
        <v/>
      </c>
      <c r="N8" s="7" t="str">
        <f t="shared" si="2"/>
        <v/>
      </c>
      <c r="O8" t="str">
        <f t="shared" si="1"/>
        <v>W.</v>
      </c>
      <c r="P8" s="4" t="str">
        <f>LEFT(L8,1)</f>
        <v/>
      </c>
      <c r="Q8" t="s">
        <v>20</v>
      </c>
      <c r="U8" s="3" t="s">
        <v>80</v>
      </c>
      <c r="V8" s="2">
        <v>549</v>
      </c>
      <c r="W8" s="2">
        <v>342</v>
      </c>
      <c r="X8" s="2">
        <v>891</v>
      </c>
      <c r="AA8" s="5">
        <f t="shared" si="4"/>
        <v>0.38383838383838381</v>
      </c>
    </row>
    <row r="9" spans="1:28" hidden="1" x14ac:dyDescent="0.25">
      <c r="A9">
        <v>737</v>
      </c>
      <c r="B9">
        <v>0</v>
      </c>
      <c r="C9">
        <v>3</v>
      </c>
      <c r="D9" t="s">
        <v>1136</v>
      </c>
      <c r="E9" s="4">
        <f>LEN(D9)</f>
        <v>39</v>
      </c>
      <c r="F9" t="s">
        <v>14</v>
      </c>
      <c r="G9">
        <v>48</v>
      </c>
      <c r="H9">
        <v>1</v>
      </c>
      <c r="I9">
        <v>3</v>
      </c>
      <c r="J9" t="s">
        <v>713</v>
      </c>
      <c r="K9">
        <v>34.375</v>
      </c>
      <c r="M9" s="6" t="str">
        <f t="shared" si="0"/>
        <v/>
      </c>
      <c r="N9" s="7" t="str">
        <f t="shared" si="2"/>
        <v/>
      </c>
      <c r="O9" t="str">
        <f t="shared" si="1"/>
        <v>W.</v>
      </c>
      <c r="P9" s="4" t="str">
        <f>LEFT(L9,1)</f>
        <v/>
      </c>
      <c r="Q9" t="s">
        <v>20</v>
      </c>
    </row>
    <row r="10" spans="1:28" hidden="1" x14ac:dyDescent="0.25">
      <c r="A10">
        <v>148</v>
      </c>
      <c r="B10">
        <v>0</v>
      </c>
      <c r="C10">
        <v>3</v>
      </c>
      <c r="D10" t="s">
        <v>749</v>
      </c>
      <c r="E10" s="4">
        <f>LEN(D10)</f>
        <v>32</v>
      </c>
      <c r="F10" t="s">
        <v>14</v>
      </c>
      <c r="G10">
        <v>9</v>
      </c>
      <c r="H10">
        <v>2</v>
      </c>
      <c r="I10">
        <v>2</v>
      </c>
      <c r="J10" t="s">
        <v>713</v>
      </c>
      <c r="K10">
        <v>34.375</v>
      </c>
      <c r="M10" s="6" t="str">
        <f t="shared" si="0"/>
        <v/>
      </c>
      <c r="N10" s="7" t="str">
        <f t="shared" si="2"/>
        <v/>
      </c>
      <c r="O10" t="str">
        <f t="shared" si="1"/>
        <v>W.</v>
      </c>
      <c r="P10" s="4" t="str">
        <f>LEFT(L10,1)</f>
        <v/>
      </c>
      <c r="Q10" t="s">
        <v>20</v>
      </c>
    </row>
    <row r="11" spans="1:28" x14ac:dyDescent="0.25">
      <c r="A11">
        <v>293</v>
      </c>
      <c r="B11">
        <v>0</v>
      </c>
      <c r="C11">
        <v>2</v>
      </c>
      <c r="D11" t="s">
        <v>506</v>
      </c>
      <c r="E11" s="4">
        <f>LEN(D11)</f>
        <v>22</v>
      </c>
      <c r="F11" t="s">
        <v>24</v>
      </c>
      <c r="G11">
        <v>36</v>
      </c>
      <c r="H11">
        <v>0</v>
      </c>
      <c r="I11">
        <v>0</v>
      </c>
      <c r="J11" t="s">
        <v>507</v>
      </c>
      <c r="K11">
        <v>12.875</v>
      </c>
      <c r="L11" t="s">
        <v>62</v>
      </c>
      <c r="M11" s="6" t="str">
        <f t="shared" si="0"/>
        <v>D</v>
      </c>
      <c r="N11" s="7" t="str">
        <f t="shared" si="2"/>
        <v/>
      </c>
      <c r="O11" t="str">
        <f t="shared" si="1"/>
        <v>SC</v>
      </c>
      <c r="P11" s="4" t="str">
        <f>LEFT(L11,1)</f>
        <v>D</v>
      </c>
      <c r="Q11" t="s">
        <v>17</v>
      </c>
    </row>
    <row r="12" spans="1:28" hidden="1" x14ac:dyDescent="0.25">
      <c r="A12">
        <v>437</v>
      </c>
      <c r="B12">
        <v>0</v>
      </c>
      <c r="C12">
        <v>3</v>
      </c>
      <c r="D12" t="s">
        <v>939</v>
      </c>
      <c r="E12" s="4">
        <f>LEN(D12)</f>
        <v>36</v>
      </c>
      <c r="F12" t="s">
        <v>14</v>
      </c>
      <c r="G12">
        <v>21</v>
      </c>
      <c r="H12">
        <v>2</v>
      </c>
      <c r="I12">
        <v>2</v>
      </c>
      <c r="J12" t="s">
        <v>713</v>
      </c>
      <c r="K12">
        <v>34.375</v>
      </c>
      <c r="M12" s="6" t="str">
        <f t="shared" si="0"/>
        <v/>
      </c>
      <c r="N12" s="7" t="str">
        <f t="shared" si="2"/>
        <v/>
      </c>
      <c r="O12" t="str">
        <f t="shared" si="1"/>
        <v>W.</v>
      </c>
      <c r="P12" s="4" t="str">
        <f>LEFT(L12,1)</f>
        <v/>
      </c>
      <c r="Q12" t="s">
        <v>20</v>
      </c>
      <c r="U12" s="1" t="s">
        <v>21</v>
      </c>
      <c r="V12" s="1" t="s">
        <v>22</v>
      </c>
    </row>
    <row r="13" spans="1:28" hidden="1" x14ac:dyDescent="0.25">
      <c r="A13">
        <v>867</v>
      </c>
      <c r="B13">
        <v>1</v>
      </c>
      <c r="C13">
        <v>2</v>
      </c>
      <c r="D13" t="s">
        <v>645</v>
      </c>
      <c r="E13" s="4">
        <f>LEN(D13)</f>
        <v>28</v>
      </c>
      <c r="F13" t="s">
        <v>14</v>
      </c>
      <c r="G13">
        <v>27</v>
      </c>
      <c r="H13">
        <v>1</v>
      </c>
      <c r="I13">
        <v>0</v>
      </c>
      <c r="J13" t="s">
        <v>646</v>
      </c>
      <c r="K13">
        <v>13.8583</v>
      </c>
      <c r="M13" s="6" t="str">
        <f t="shared" si="0"/>
        <v/>
      </c>
      <c r="N13" s="7" t="str">
        <f t="shared" si="2"/>
        <v/>
      </c>
      <c r="O13" t="str">
        <f t="shared" si="1"/>
        <v>SC</v>
      </c>
      <c r="P13" s="4" t="str">
        <f>LEFT(L13,1)</f>
        <v/>
      </c>
      <c r="Q13" t="s">
        <v>17</v>
      </c>
      <c r="U13" s="1" t="s">
        <v>26</v>
      </c>
      <c r="V13">
        <v>0</v>
      </c>
      <c r="W13">
        <v>1</v>
      </c>
      <c r="X13" t="s">
        <v>80</v>
      </c>
      <c r="Y13" s="1"/>
      <c r="Z13" t="s">
        <v>1236</v>
      </c>
      <c r="AB13" t="s">
        <v>28</v>
      </c>
    </row>
    <row r="14" spans="1:28" hidden="1" x14ac:dyDescent="0.25">
      <c r="A14">
        <v>784</v>
      </c>
      <c r="B14">
        <v>0</v>
      </c>
      <c r="C14">
        <v>3</v>
      </c>
      <c r="D14" t="s">
        <v>808</v>
      </c>
      <c r="E14" s="4">
        <f>LEN(D14)</f>
        <v>22</v>
      </c>
      <c r="F14" t="s">
        <v>24</v>
      </c>
      <c r="H14">
        <v>1</v>
      </c>
      <c r="I14">
        <v>2</v>
      </c>
      <c r="J14" t="s">
        <v>809</v>
      </c>
      <c r="K14">
        <v>23.45</v>
      </c>
      <c r="M14" s="6" t="str">
        <f t="shared" si="0"/>
        <v/>
      </c>
      <c r="N14" s="7" t="str">
        <f t="shared" si="2"/>
        <v/>
      </c>
      <c r="O14" t="str">
        <f t="shared" si="1"/>
        <v>W.</v>
      </c>
      <c r="P14" s="4" t="str">
        <f>LEFT(L14,1)</f>
        <v/>
      </c>
      <c r="Q14" t="s">
        <v>20</v>
      </c>
      <c r="U14" s="3" t="s">
        <v>1237</v>
      </c>
      <c r="V14" s="2">
        <v>70</v>
      </c>
      <c r="W14" s="2">
        <v>20</v>
      </c>
      <c r="X14" s="2">
        <v>90</v>
      </c>
      <c r="Z14" t="str">
        <f t="shared" si="3"/>
        <v>12-17</v>
      </c>
      <c r="AA14" s="5">
        <f t="shared" si="4"/>
        <v>0.22222222222222221</v>
      </c>
      <c r="AB14">
        <f t="shared" si="5"/>
        <v>90</v>
      </c>
    </row>
    <row r="15" spans="1:28" hidden="1" x14ac:dyDescent="0.25">
      <c r="A15">
        <v>548</v>
      </c>
      <c r="B15">
        <v>1</v>
      </c>
      <c r="C15">
        <v>2</v>
      </c>
      <c r="D15" t="s">
        <v>529</v>
      </c>
      <c r="E15" s="4">
        <f>LEN(D15)</f>
        <v>26</v>
      </c>
      <c r="F15" t="s">
        <v>24</v>
      </c>
      <c r="H15">
        <v>0</v>
      </c>
      <c r="I15">
        <v>0</v>
      </c>
      <c r="J15" t="s">
        <v>530</v>
      </c>
      <c r="K15">
        <v>13.862500000000001</v>
      </c>
      <c r="M15" s="6" t="str">
        <f t="shared" si="0"/>
        <v/>
      </c>
      <c r="N15" s="7" t="str">
        <f t="shared" si="2"/>
        <v/>
      </c>
      <c r="O15" t="str">
        <f t="shared" si="1"/>
        <v>SC</v>
      </c>
      <c r="P15" s="4" t="str">
        <f>LEFT(L15,1)</f>
        <v/>
      </c>
      <c r="Q15" t="s">
        <v>17</v>
      </c>
      <c r="U15" s="3" t="s">
        <v>1238</v>
      </c>
      <c r="V15" s="2">
        <v>198</v>
      </c>
      <c r="W15" s="2">
        <v>72</v>
      </c>
      <c r="X15" s="2">
        <v>270</v>
      </c>
      <c r="Z15" t="str">
        <f t="shared" si="3"/>
        <v>18-23</v>
      </c>
      <c r="AA15" s="5">
        <f t="shared" si="4"/>
        <v>0.26666666666666666</v>
      </c>
      <c r="AB15">
        <f t="shared" si="5"/>
        <v>270</v>
      </c>
    </row>
    <row r="16" spans="1:28" hidden="1" x14ac:dyDescent="0.25">
      <c r="A16">
        <v>136</v>
      </c>
      <c r="B16">
        <v>0</v>
      </c>
      <c r="C16">
        <v>2</v>
      </c>
      <c r="D16" t="s">
        <v>459</v>
      </c>
      <c r="E16" s="4">
        <f>LEN(D16)</f>
        <v>18</v>
      </c>
      <c r="F16" t="s">
        <v>24</v>
      </c>
      <c r="G16">
        <v>23</v>
      </c>
      <c r="H16">
        <v>0</v>
      </c>
      <c r="I16">
        <v>0</v>
      </c>
      <c r="J16" t="s">
        <v>460</v>
      </c>
      <c r="K16">
        <v>15.0458</v>
      </c>
      <c r="M16" s="6" t="str">
        <f t="shared" si="0"/>
        <v/>
      </c>
      <c r="N16" s="7" t="str">
        <f t="shared" si="2"/>
        <v/>
      </c>
      <c r="O16" t="str">
        <f t="shared" si="1"/>
        <v>SC</v>
      </c>
      <c r="P16" s="4" t="str">
        <f>LEFT(L16,1)</f>
        <v/>
      </c>
      <c r="Q16" t="s">
        <v>17</v>
      </c>
      <c r="U16" s="3" t="s">
        <v>1239</v>
      </c>
      <c r="V16" s="2">
        <v>177</v>
      </c>
      <c r="W16" s="2">
        <v>95</v>
      </c>
      <c r="X16" s="2">
        <v>272</v>
      </c>
      <c r="Z16" t="str">
        <f t="shared" si="3"/>
        <v>24-29</v>
      </c>
      <c r="AA16" s="5">
        <f t="shared" si="4"/>
        <v>0.34926470588235292</v>
      </c>
      <c r="AB16">
        <f t="shared" si="5"/>
        <v>272</v>
      </c>
    </row>
    <row r="17" spans="1:28" hidden="1" x14ac:dyDescent="0.25">
      <c r="A17">
        <v>182</v>
      </c>
      <c r="B17">
        <v>0</v>
      </c>
      <c r="C17">
        <v>2</v>
      </c>
      <c r="D17" t="s">
        <v>524</v>
      </c>
      <c r="E17" s="4">
        <f>LEN(D17)</f>
        <v>16</v>
      </c>
      <c r="F17" t="s">
        <v>24</v>
      </c>
      <c r="H17">
        <v>0</v>
      </c>
      <c r="I17">
        <v>0</v>
      </c>
      <c r="J17" t="s">
        <v>525</v>
      </c>
      <c r="K17">
        <v>15.05</v>
      </c>
      <c r="M17" s="6" t="str">
        <f t="shared" si="0"/>
        <v/>
      </c>
      <c r="N17" s="7" t="str">
        <f t="shared" si="2"/>
        <v/>
      </c>
      <c r="O17" t="str">
        <f t="shared" si="1"/>
        <v>SC</v>
      </c>
      <c r="P17" s="4" t="str">
        <f>LEFT(L17,1)</f>
        <v/>
      </c>
      <c r="Q17" t="s">
        <v>17</v>
      </c>
      <c r="U17" s="3" t="s">
        <v>1240</v>
      </c>
      <c r="V17" s="2">
        <v>63</v>
      </c>
      <c r="W17" s="2">
        <v>62</v>
      </c>
      <c r="X17" s="2">
        <v>125</v>
      </c>
      <c r="Z17" t="str">
        <f t="shared" si="3"/>
        <v>30-35</v>
      </c>
      <c r="AA17" s="5">
        <f t="shared" si="4"/>
        <v>0.496</v>
      </c>
      <c r="AB17">
        <f t="shared" si="5"/>
        <v>125</v>
      </c>
    </row>
    <row r="18" spans="1:28" x14ac:dyDescent="0.25">
      <c r="A18">
        <v>777</v>
      </c>
      <c r="B18">
        <v>0</v>
      </c>
      <c r="C18">
        <v>3</v>
      </c>
      <c r="D18" t="s">
        <v>1058</v>
      </c>
      <c r="E18" s="4">
        <f>LEN(D18)</f>
        <v>16</v>
      </c>
      <c r="F18" t="s">
        <v>24</v>
      </c>
      <c r="H18">
        <v>0</v>
      </c>
      <c r="I18">
        <v>0</v>
      </c>
      <c r="J18">
        <v>383121</v>
      </c>
      <c r="K18">
        <v>7.75</v>
      </c>
      <c r="L18" t="s">
        <v>1059</v>
      </c>
      <c r="M18" s="6" t="str">
        <f t="shared" si="0"/>
        <v>38</v>
      </c>
      <c r="N18" s="7">
        <f t="shared" si="2"/>
        <v>38</v>
      </c>
      <c r="O18" t="str">
        <f t="shared" si="1"/>
        <v>38</v>
      </c>
      <c r="P18" s="4" t="str">
        <f>LEFT(L18,1)</f>
        <v>F</v>
      </c>
      <c r="Q18" t="s">
        <v>161</v>
      </c>
      <c r="U18" s="3" t="s">
        <v>1241</v>
      </c>
      <c r="V18" s="2">
        <v>27</v>
      </c>
      <c r="W18" s="2">
        <v>30</v>
      </c>
      <c r="X18" s="2">
        <v>57</v>
      </c>
      <c r="Z18" t="str">
        <f t="shared" si="3"/>
        <v>36-42</v>
      </c>
      <c r="AA18" s="5">
        <f t="shared" si="4"/>
        <v>0.52631578947368418</v>
      </c>
      <c r="AB18">
        <f t="shared" si="5"/>
        <v>57</v>
      </c>
    </row>
    <row r="19" spans="1:28" hidden="1" x14ac:dyDescent="0.25">
      <c r="A19">
        <v>44</v>
      </c>
      <c r="B19">
        <v>1</v>
      </c>
      <c r="C19">
        <v>2</v>
      </c>
      <c r="D19" t="s">
        <v>431</v>
      </c>
      <c r="E19" s="4">
        <f>LEN(D19)</f>
        <v>40</v>
      </c>
      <c r="F19" t="s">
        <v>14</v>
      </c>
      <c r="G19">
        <v>3</v>
      </c>
      <c r="H19">
        <v>1</v>
      </c>
      <c r="I19">
        <v>2</v>
      </c>
      <c r="J19" t="s">
        <v>432</v>
      </c>
      <c r="K19">
        <v>41.5792</v>
      </c>
      <c r="M19" s="6" t="str">
        <f t="shared" si="0"/>
        <v/>
      </c>
      <c r="N19" s="7" t="str">
        <f t="shared" si="2"/>
        <v/>
      </c>
      <c r="O19" t="str">
        <f t="shared" si="1"/>
        <v>SC</v>
      </c>
      <c r="P19" s="4" t="str">
        <f>LEFT(L19,1)</f>
        <v/>
      </c>
      <c r="Q19" t="s">
        <v>17</v>
      </c>
      <c r="U19" s="3" t="s">
        <v>1242</v>
      </c>
      <c r="V19" s="2">
        <v>14</v>
      </c>
      <c r="W19" s="2">
        <v>63</v>
      </c>
      <c r="X19" s="2">
        <v>77</v>
      </c>
      <c r="Z19" t="str">
        <f t="shared" si="3"/>
        <v>&gt;42</v>
      </c>
      <c r="AA19" s="5">
        <f t="shared" si="4"/>
        <v>0.81818181818181823</v>
      </c>
      <c r="AB19">
        <f t="shared" si="5"/>
        <v>77</v>
      </c>
    </row>
    <row r="20" spans="1:28" hidden="1" x14ac:dyDescent="0.25">
      <c r="A20">
        <v>609</v>
      </c>
      <c r="B20">
        <v>1</v>
      </c>
      <c r="C20">
        <v>2</v>
      </c>
      <c r="D20" t="s">
        <v>586</v>
      </c>
      <c r="E20" s="4">
        <f>LEN(D20)</f>
        <v>53</v>
      </c>
      <c r="F20" t="s">
        <v>14</v>
      </c>
      <c r="G20">
        <v>22</v>
      </c>
      <c r="H20">
        <v>1</v>
      </c>
      <c r="I20">
        <v>2</v>
      </c>
      <c r="J20" t="s">
        <v>432</v>
      </c>
      <c r="K20">
        <v>41.5792</v>
      </c>
      <c r="M20" s="6" t="str">
        <f t="shared" si="0"/>
        <v/>
      </c>
      <c r="N20" s="7" t="str">
        <f t="shared" si="2"/>
        <v/>
      </c>
      <c r="O20" t="str">
        <f t="shared" si="1"/>
        <v>SC</v>
      </c>
      <c r="P20" s="4" t="str">
        <f>LEFT(L20,1)</f>
        <v/>
      </c>
      <c r="Q20" t="s">
        <v>17</v>
      </c>
      <c r="U20" s="3" t="s">
        <v>80</v>
      </c>
      <c r="V20" s="2">
        <v>549</v>
      </c>
      <c r="W20" s="2">
        <v>342</v>
      </c>
      <c r="X20" s="2">
        <v>891</v>
      </c>
      <c r="AA20" s="5">
        <f t="shared" si="4"/>
        <v>0.38383838383838381</v>
      </c>
    </row>
    <row r="21" spans="1:28" x14ac:dyDescent="0.25">
      <c r="A21">
        <v>62</v>
      </c>
      <c r="B21">
        <v>1</v>
      </c>
      <c r="C21">
        <v>1</v>
      </c>
      <c r="D21" t="s">
        <v>65</v>
      </c>
      <c r="E21" s="4">
        <f>LEN(D21)</f>
        <v>19</v>
      </c>
      <c r="F21" t="s">
        <v>14</v>
      </c>
      <c r="G21">
        <v>38</v>
      </c>
      <c r="H21">
        <v>0</v>
      </c>
      <c r="I21">
        <v>0</v>
      </c>
      <c r="J21">
        <v>113572</v>
      </c>
      <c r="K21">
        <v>80</v>
      </c>
      <c r="L21" t="s">
        <v>66</v>
      </c>
      <c r="M21" s="6" t="str">
        <f t="shared" si="0"/>
        <v>28</v>
      </c>
      <c r="N21" s="7">
        <f t="shared" si="2"/>
        <v>28</v>
      </c>
      <c r="O21" t="str">
        <f t="shared" si="1"/>
        <v>11</v>
      </c>
      <c r="P21" s="4" t="str">
        <f>LEFT(L21,1)</f>
        <v>B</v>
      </c>
    </row>
    <row r="22" spans="1:28" hidden="1" x14ac:dyDescent="0.25">
      <c r="A22">
        <v>889</v>
      </c>
      <c r="B22">
        <v>0</v>
      </c>
      <c r="C22">
        <v>3</v>
      </c>
      <c r="D22" t="s">
        <v>810</v>
      </c>
      <c r="E22" s="4">
        <f>LEN(D22)</f>
        <v>40</v>
      </c>
      <c r="F22" t="s">
        <v>14</v>
      </c>
      <c r="H22">
        <v>1</v>
      </c>
      <c r="I22">
        <v>2</v>
      </c>
      <c r="J22" t="s">
        <v>809</v>
      </c>
      <c r="K22">
        <v>23.45</v>
      </c>
      <c r="M22" s="6" t="str">
        <f t="shared" si="0"/>
        <v/>
      </c>
      <c r="N22" s="7" t="str">
        <f t="shared" si="2"/>
        <v/>
      </c>
      <c r="O22" t="str">
        <f t="shared" si="1"/>
        <v>W.</v>
      </c>
      <c r="P22" s="4" t="str">
        <f>LEFT(L22,1)</f>
        <v/>
      </c>
      <c r="Q22" t="s">
        <v>20</v>
      </c>
    </row>
    <row r="23" spans="1:28" hidden="1" x14ac:dyDescent="0.25">
      <c r="A23">
        <v>243</v>
      </c>
      <c r="B23">
        <v>0</v>
      </c>
      <c r="C23">
        <v>2</v>
      </c>
      <c r="D23" t="s">
        <v>497</v>
      </c>
      <c r="E23" s="4">
        <f>LEN(D23)</f>
        <v>31</v>
      </c>
      <c r="F23" t="s">
        <v>24</v>
      </c>
      <c r="G23">
        <v>29</v>
      </c>
      <c r="H23">
        <v>0</v>
      </c>
      <c r="I23">
        <v>0</v>
      </c>
      <c r="J23" t="s">
        <v>498</v>
      </c>
      <c r="K23">
        <v>10.5</v>
      </c>
      <c r="M23" s="6" t="str">
        <f t="shared" si="0"/>
        <v/>
      </c>
      <c r="N23" s="7" t="str">
        <f t="shared" si="2"/>
        <v/>
      </c>
      <c r="O23" t="str">
        <f t="shared" si="1"/>
        <v>W.</v>
      </c>
      <c r="P23" s="4" t="str">
        <f>LEFT(L23,1)</f>
        <v/>
      </c>
      <c r="Q23" t="s">
        <v>20</v>
      </c>
    </row>
    <row r="24" spans="1:28" hidden="1" x14ac:dyDescent="0.25">
      <c r="A24">
        <v>527</v>
      </c>
      <c r="B24">
        <v>1</v>
      </c>
      <c r="C24">
        <v>2</v>
      </c>
      <c r="D24" t="s">
        <v>567</v>
      </c>
      <c r="E24" s="4">
        <f>LEN(D24)</f>
        <v>20</v>
      </c>
      <c r="F24" t="s">
        <v>14</v>
      </c>
      <c r="G24">
        <v>50</v>
      </c>
      <c r="H24">
        <v>0</v>
      </c>
      <c r="I24">
        <v>0</v>
      </c>
      <c r="J24" t="s">
        <v>568</v>
      </c>
      <c r="K24">
        <v>10.5</v>
      </c>
      <c r="M24" s="6" t="str">
        <f t="shared" si="0"/>
        <v/>
      </c>
      <c r="N24" s="7" t="str">
        <f t="shared" si="2"/>
        <v/>
      </c>
      <c r="O24" t="str">
        <f t="shared" si="1"/>
        <v>W.</v>
      </c>
      <c r="P24" s="4" t="str">
        <f>LEFT(L24,1)</f>
        <v/>
      </c>
      <c r="Q24" t="s">
        <v>20</v>
      </c>
    </row>
    <row r="25" spans="1:28" hidden="1" x14ac:dyDescent="0.25">
      <c r="A25">
        <v>227</v>
      </c>
      <c r="B25">
        <v>1</v>
      </c>
      <c r="C25">
        <v>2</v>
      </c>
      <c r="D25" t="s">
        <v>485</v>
      </c>
      <c r="E25" s="4">
        <f>LEN(D25)</f>
        <v>25</v>
      </c>
      <c r="F25" t="s">
        <v>24</v>
      </c>
      <c r="G25">
        <v>19</v>
      </c>
      <c r="H25">
        <v>0</v>
      </c>
      <c r="I25">
        <v>0</v>
      </c>
      <c r="J25" t="s">
        <v>486</v>
      </c>
      <c r="K25">
        <v>10.5</v>
      </c>
      <c r="M25" s="6" t="str">
        <f t="shared" si="0"/>
        <v/>
      </c>
      <c r="N25" s="7" t="str">
        <f t="shared" si="2"/>
        <v/>
      </c>
      <c r="O25" t="str">
        <f t="shared" si="1"/>
        <v>SW</v>
      </c>
      <c r="P25" s="4" t="str">
        <f>LEFT(L25,1)</f>
        <v/>
      </c>
      <c r="Q25" t="s">
        <v>20</v>
      </c>
      <c r="U25" s="1" t="s">
        <v>21</v>
      </c>
      <c r="V25" s="1" t="s">
        <v>22</v>
      </c>
    </row>
    <row r="26" spans="1:28" hidden="1" x14ac:dyDescent="0.25">
      <c r="A26">
        <v>817</v>
      </c>
      <c r="B26">
        <v>0</v>
      </c>
      <c r="C26">
        <v>3</v>
      </c>
      <c r="D26" t="s">
        <v>1192</v>
      </c>
      <c r="E26" s="4">
        <f>LEN(D26)</f>
        <v>28</v>
      </c>
      <c r="F26" t="s">
        <v>14</v>
      </c>
      <c r="G26">
        <v>23</v>
      </c>
      <c r="H26">
        <v>0</v>
      </c>
      <c r="I26">
        <v>0</v>
      </c>
      <c r="J26" t="s">
        <v>1193</v>
      </c>
      <c r="K26">
        <v>7.9249999999999998</v>
      </c>
      <c r="M26" s="6" t="str">
        <f t="shared" si="0"/>
        <v/>
      </c>
      <c r="N26" s="7" t="str">
        <f t="shared" si="2"/>
        <v/>
      </c>
      <c r="O26" t="str">
        <f t="shared" si="1"/>
        <v>ST</v>
      </c>
      <c r="P26" s="4" t="str">
        <f>LEFT(L26,1)</f>
        <v/>
      </c>
      <c r="Q26" t="s">
        <v>20</v>
      </c>
      <c r="U26" s="1" t="s">
        <v>26</v>
      </c>
      <c r="V26">
        <v>0</v>
      </c>
      <c r="W26">
        <v>1</v>
      </c>
      <c r="X26" t="s">
        <v>80</v>
      </c>
      <c r="Y26" s="1"/>
      <c r="Z26" t="s">
        <v>4</v>
      </c>
      <c r="AB26" t="s">
        <v>28</v>
      </c>
    </row>
    <row r="27" spans="1:28" hidden="1" x14ac:dyDescent="0.25">
      <c r="A27">
        <v>686</v>
      </c>
      <c r="B27">
        <v>0</v>
      </c>
      <c r="C27">
        <v>2</v>
      </c>
      <c r="D27" t="s">
        <v>603</v>
      </c>
      <c r="E27" s="4">
        <f>LEN(D27)</f>
        <v>38</v>
      </c>
      <c r="F27" t="s">
        <v>24</v>
      </c>
      <c r="G27">
        <v>25</v>
      </c>
      <c r="H27">
        <v>1</v>
      </c>
      <c r="I27">
        <v>2</v>
      </c>
      <c r="J27" t="s">
        <v>432</v>
      </c>
      <c r="K27">
        <v>41.5792</v>
      </c>
      <c r="M27" s="6" t="str">
        <f t="shared" si="0"/>
        <v/>
      </c>
      <c r="N27" s="7" t="str">
        <f t="shared" si="2"/>
        <v/>
      </c>
      <c r="O27" t="str">
        <f t="shared" si="1"/>
        <v>SC</v>
      </c>
      <c r="P27" s="4" t="str">
        <f>LEFT(L27,1)</f>
        <v/>
      </c>
      <c r="Q27" t="s">
        <v>17</v>
      </c>
      <c r="U27" s="3" t="s">
        <v>14</v>
      </c>
      <c r="V27" s="2">
        <v>81</v>
      </c>
      <c r="W27" s="2">
        <v>233</v>
      </c>
      <c r="X27" s="2">
        <v>314</v>
      </c>
      <c r="Z27" t="str">
        <f t="shared" ref="Z27:Z67" si="6">U27</f>
        <v>female</v>
      </c>
      <c r="AA27" s="5">
        <f t="shared" si="4"/>
        <v>0.7420382165605095</v>
      </c>
      <c r="AB27">
        <f t="shared" ref="AB27:AB67" si="7">X27</f>
        <v>314</v>
      </c>
    </row>
    <row r="28" spans="1:28" x14ac:dyDescent="0.25">
      <c r="A28">
        <v>474</v>
      </c>
      <c r="B28">
        <v>1</v>
      </c>
      <c r="C28">
        <v>2</v>
      </c>
      <c r="D28" t="s">
        <v>560</v>
      </c>
      <c r="E28" s="4">
        <f>LEN(D28)</f>
        <v>44</v>
      </c>
      <c r="F28" t="s">
        <v>14</v>
      </c>
      <c r="G28">
        <v>23</v>
      </c>
      <c r="H28">
        <v>0</v>
      </c>
      <c r="I28">
        <v>0</v>
      </c>
      <c r="J28" t="s">
        <v>561</v>
      </c>
      <c r="K28">
        <v>13.791700000000001</v>
      </c>
      <c r="L28" t="s">
        <v>62</v>
      </c>
      <c r="M28" s="6" t="str">
        <f t="shared" si="0"/>
        <v>D</v>
      </c>
      <c r="N28" s="7" t="str">
        <f t="shared" si="2"/>
        <v/>
      </c>
      <c r="O28" t="str">
        <f t="shared" si="1"/>
        <v>SC</v>
      </c>
      <c r="P28" s="4" t="str">
        <f>LEFT(L28,1)</f>
        <v>D</v>
      </c>
      <c r="Q28" t="s">
        <v>17</v>
      </c>
      <c r="U28" s="3" t="s">
        <v>24</v>
      </c>
      <c r="V28" s="2">
        <v>468</v>
      </c>
      <c r="W28" s="2">
        <v>109</v>
      </c>
      <c r="X28" s="2">
        <v>577</v>
      </c>
      <c r="Z28" t="str">
        <f t="shared" si="6"/>
        <v>male</v>
      </c>
      <c r="AA28" s="5">
        <f t="shared" si="4"/>
        <v>0.18890814558058924</v>
      </c>
      <c r="AB28">
        <f t="shared" si="7"/>
        <v>577</v>
      </c>
    </row>
    <row r="29" spans="1:28" hidden="1" x14ac:dyDescent="0.25">
      <c r="A29">
        <v>217</v>
      </c>
      <c r="B29">
        <v>1</v>
      </c>
      <c r="C29">
        <v>3</v>
      </c>
      <c r="D29" t="s">
        <v>794</v>
      </c>
      <c r="E29" s="4">
        <f>LEN(D29)</f>
        <v>22</v>
      </c>
      <c r="F29" t="s">
        <v>14</v>
      </c>
      <c r="G29">
        <v>27</v>
      </c>
      <c r="H29">
        <v>0</v>
      </c>
      <c r="I29">
        <v>0</v>
      </c>
      <c r="J29" t="s">
        <v>795</v>
      </c>
      <c r="K29">
        <v>7.9249999999999998</v>
      </c>
      <c r="M29" s="6" t="str">
        <f t="shared" si="0"/>
        <v/>
      </c>
      <c r="N29" s="7" t="str">
        <f t="shared" si="2"/>
        <v/>
      </c>
      <c r="O29" t="str">
        <f t="shared" si="1"/>
        <v>ST</v>
      </c>
      <c r="P29" s="4" t="str">
        <f>LEFT(L29,1)</f>
        <v/>
      </c>
      <c r="Q29" t="s">
        <v>20</v>
      </c>
      <c r="U29" s="3" t="s">
        <v>80</v>
      </c>
      <c r="V29" s="2">
        <v>549</v>
      </c>
      <c r="W29" s="2">
        <v>342</v>
      </c>
      <c r="X29" s="2">
        <v>891</v>
      </c>
      <c r="AA29" s="5">
        <f t="shared" si="4"/>
        <v>0.38383838383838381</v>
      </c>
    </row>
    <row r="30" spans="1:28" hidden="1" x14ac:dyDescent="0.25">
      <c r="A30">
        <v>390</v>
      </c>
      <c r="B30">
        <v>1</v>
      </c>
      <c r="C30">
        <v>2</v>
      </c>
      <c r="D30" t="s">
        <v>535</v>
      </c>
      <c r="E30" s="4">
        <f>LEN(D30)</f>
        <v>21</v>
      </c>
      <c r="F30" t="s">
        <v>14</v>
      </c>
      <c r="G30">
        <v>17</v>
      </c>
      <c r="H30">
        <v>0</v>
      </c>
      <c r="I30">
        <v>0</v>
      </c>
      <c r="J30" t="s">
        <v>536</v>
      </c>
      <c r="K30">
        <v>12</v>
      </c>
      <c r="M30" s="6" t="str">
        <f t="shared" si="0"/>
        <v/>
      </c>
      <c r="N30" s="7" t="str">
        <f t="shared" si="2"/>
        <v/>
      </c>
      <c r="O30" t="str">
        <f t="shared" si="1"/>
        <v>SC</v>
      </c>
      <c r="P30" s="4" t="str">
        <f>LEFT(L30,1)</f>
        <v/>
      </c>
      <c r="Q30" t="s">
        <v>17</v>
      </c>
    </row>
    <row r="31" spans="1:28" hidden="1" x14ac:dyDescent="0.25">
      <c r="A31">
        <v>818</v>
      </c>
      <c r="B31">
        <v>0</v>
      </c>
      <c r="C31">
        <v>2</v>
      </c>
      <c r="D31" t="s">
        <v>631</v>
      </c>
      <c r="E31" s="4">
        <f>LEN(D31)</f>
        <v>18</v>
      </c>
      <c r="F31" t="s">
        <v>24</v>
      </c>
      <c r="G31">
        <v>31</v>
      </c>
      <c r="H31">
        <v>1</v>
      </c>
      <c r="I31">
        <v>1</v>
      </c>
      <c r="J31" t="s">
        <v>632</v>
      </c>
      <c r="K31">
        <v>37.004199999999997</v>
      </c>
      <c r="M31" s="6" t="str">
        <f t="shared" si="0"/>
        <v/>
      </c>
      <c r="N31" s="7" t="str">
        <f t="shared" si="2"/>
        <v/>
      </c>
      <c r="O31" t="str">
        <f t="shared" si="1"/>
        <v>S.</v>
      </c>
      <c r="P31" s="4" t="str">
        <f>LEFT(L31,1)</f>
        <v/>
      </c>
      <c r="Q31" t="s">
        <v>17</v>
      </c>
    </row>
    <row r="32" spans="1:28" hidden="1" x14ac:dyDescent="0.25">
      <c r="A32">
        <v>3</v>
      </c>
      <c r="B32">
        <v>1</v>
      </c>
      <c r="C32">
        <v>3</v>
      </c>
      <c r="D32" t="s">
        <v>656</v>
      </c>
      <c r="E32" s="4">
        <f>LEN(D32)</f>
        <v>22</v>
      </c>
      <c r="F32" t="s">
        <v>14</v>
      </c>
      <c r="G32">
        <v>26</v>
      </c>
      <c r="H32">
        <v>0</v>
      </c>
      <c r="I32">
        <v>0</v>
      </c>
      <c r="J32" t="s">
        <v>657</v>
      </c>
      <c r="K32">
        <v>7.9249999999999998</v>
      </c>
      <c r="M32" s="6" t="str">
        <f t="shared" si="0"/>
        <v/>
      </c>
      <c r="N32" s="7" t="str">
        <f t="shared" si="2"/>
        <v/>
      </c>
      <c r="O32" t="str">
        <f t="shared" si="1"/>
        <v>ST</v>
      </c>
      <c r="P32" s="4" t="str">
        <f>LEFT(L32,1)</f>
        <v/>
      </c>
      <c r="Q32" t="s">
        <v>20</v>
      </c>
    </row>
    <row r="33" spans="1:28" hidden="1" x14ac:dyDescent="0.25">
      <c r="A33">
        <v>143</v>
      </c>
      <c r="B33">
        <v>1</v>
      </c>
      <c r="C33">
        <v>3</v>
      </c>
      <c r="D33" t="s">
        <v>745</v>
      </c>
      <c r="E33" s="4">
        <f>LEN(D33)</f>
        <v>52</v>
      </c>
      <c r="F33" t="s">
        <v>14</v>
      </c>
      <c r="G33">
        <v>24</v>
      </c>
      <c r="H33">
        <v>1</v>
      </c>
      <c r="I33">
        <v>0</v>
      </c>
      <c r="J33" t="s">
        <v>746</v>
      </c>
      <c r="K33">
        <v>15.85</v>
      </c>
      <c r="M33" s="6" t="str">
        <f t="shared" si="0"/>
        <v/>
      </c>
      <c r="N33" s="7" t="str">
        <f t="shared" si="2"/>
        <v/>
      </c>
      <c r="O33" t="str">
        <f t="shared" si="1"/>
        <v>ST</v>
      </c>
      <c r="P33" s="4" t="str">
        <f>LEFT(L33,1)</f>
        <v/>
      </c>
      <c r="Q33" t="s">
        <v>20</v>
      </c>
    </row>
    <row r="34" spans="1:28" hidden="1" x14ac:dyDescent="0.25">
      <c r="A34">
        <v>404</v>
      </c>
      <c r="B34">
        <v>0</v>
      </c>
      <c r="C34">
        <v>3</v>
      </c>
      <c r="D34" t="s">
        <v>911</v>
      </c>
      <c r="E34" s="4">
        <f>LEN(D34)</f>
        <v>30</v>
      </c>
      <c r="F34" t="s">
        <v>24</v>
      </c>
      <c r="G34">
        <v>28</v>
      </c>
      <c r="H34">
        <v>1</v>
      </c>
      <c r="I34">
        <v>0</v>
      </c>
      <c r="J34" t="s">
        <v>746</v>
      </c>
      <c r="K34">
        <v>15.85</v>
      </c>
      <c r="M34" s="6" t="str">
        <f t="shared" si="0"/>
        <v/>
      </c>
      <c r="N34" s="7" t="str">
        <f t="shared" si="2"/>
        <v/>
      </c>
      <c r="O34" t="str">
        <f t="shared" si="1"/>
        <v>ST</v>
      </c>
      <c r="P34" s="4" t="str">
        <f>LEFT(L34,1)</f>
        <v/>
      </c>
      <c r="Q34" t="s">
        <v>20</v>
      </c>
      <c r="U34" s="1" t="s">
        <v>21</v>
      </c>
      <c r="V34" s="1" t="s">
        <v>22</v>
      </c>
    </row>
    <row r="35" spans="1:28" hidden="1" x14ac:dyDescent="0.25">
      <c r="A35">
        <v>730</v>
      </c>
      <c r="B35">
        <v>0</v>
      </c>
      <c r="C35">
        <v>3</v>
      </c>
      <c r="D35" t="s">
        <v>1130</v>
      </c>
      <c r="E35" s="4">
        <f>LEN(D35)</f>
        <v>29</v>
      </c>
      <c r="F35" t="s">
        <v>14</v>
      </c>
      <c r="G35">
        <v>25</v>
      </c>
      <c r="H35">
        <v>1</v>
      </c>
      <c r="I35">
        <v>0</v>
      </c>
      <c r="J35" t="s">
        <v>1131</v>
      </c>
      <c r="K35">
        <v>7.9249999999999998</v>
      </c>
      <c r="M35" s="6" t="str">
        <f t="shared" si="0"/>
        <v/>
      </c>
      <c r="N35" s="7" t="str">
        <f t="shared" si="2"/>
        <v/>
      </c>
      <c r="O35" t="str">
        <f t="shared" si="1"/>
        <v>ST</v>
      </c>
      <c r="P35" s="4" t="str">
        <f>LEFT(L35,1)</f>
        <v/>
      </c>
      <c r="Q35" t="s">
        <v>20</v>
      </c>
      <c r="U35" s="1" t="s">
        <v>26</v>
      </c>
      <c r="V35">
        <v>0</v>
      </c>
      <c r="W35">
        <v>1</v>
      </c>
      <c r="X35" t="s">
        <v>80</v>
      </c>
      <c r="Y35" s="1"/>
      <c r="Z35" t="s">
        <v>5</v>
      </c>
      <c r="AB35" t="s">
        <v>28</v>
      </c>
    </row>
    <row r="36" spans="1:28" hidden="1" x14ac:dyDescent="0.25">
      <c r="A36">
        <v>116</v>
      </c>
      <c r="B36">
        <v>0</v>
      </c>
      <c r="C36">
        <v>3</v>
      </c>
      <c r="D36" t="s">
        <v>730</v>
      </c>
      <c r="E36" s="4">
        <f>LEN(D36)</f>
        <v>21</v>
      </c>
      <c r="F36" t="s">
        <v>24</v>
      </c>
      <c r="G36">
        <v>21</v>
      </c>
      <c r="H36">
        <v>0</v>
      </c>
      <c r="I36">
        <v>0</v>
      </c>
      <c r="J36" t="s">
        <v>731</v>
      </c>
      <c r="K36">
        <v>7.9249999999999998</v>
      </c>
      <c r="M36" s="6" t="str">
        <f t="shared" si="0"/>
        <v/>
      </c>
      <c r="N36" s="7" t="str">
        <f t="shared" si="2"/>
        <v/>
      </c>
      <c r="O36" t="str">
        <f t="shared" si="1"/>
        <v>ST</v>
      </c>
      <c r="P36" s="4" t="str">
        <f>LEFT(L36,1)</f>
        <v/>
      </c>
      <c r="Q36" t="s">
        <v>20</v>
      </c>
      <c r="U36" s="3" t="s">
        <v>1243</v>
      </c>
      <c r="V36" s="2">
        <v>24</v>
      </c>
      <c r="W36" s="2">
        <v>38</v>
      </c>
      <c r="X36" s="2">
        <v>62</v>
      </c>
      <c r="Z36" t="str">
        <f t="shared" si="6"/>
        <v>0-10</v>
      </c>
      <c r="AA36" s="5">
        <f t="shared" si="4"/>
        <v>0.61290322580645162</v>
      </c>
      <c r="AB36">
        <f t="shared" si="7"/>
        <v>62</v>
      </c>
    </row>
    <row r="37" spans="1:28" hidden="1" x14ac:dyDescent="0.25">
      <c r="A37">
        <v>383</v>
      </c>
      <c r="B37">
        <v>0</v>
      </c>
      <c r="C37">
        <v>3</v>
      </c>
      <c r="D37" t="s">
        <v>898</v>
      </c>
      <c r="E37" s="4">
        <f>LEN(D37)</f>
        <v>18</v>
      </c>
      <c r="F37" t="s">
        <v>24</v>
      </c>
      <c r="G37">
        <v>32</v>
      </c>
      <c r="H37">
        <v>0</v>
      </c>
      <c r="I37">
        <v>0</v>
      </c>
      <c r="J37" t="s">
        <v>899</v>
      </c>
      <c r="K37">
        <v>7.9249999999999998</v>
      </c>
      <c r="M37" s="6" t="str">
        <f t="shared" si="0"/>
        <v/>
      </c>
      <c r="N37" s="7" t="str">
        <f t="shared" si="2"/>
        <v/>
      </c>
      <c r="O37" t="str">
        <f t="shared" si="1"/>
        <v>ST</v>
      </c>
      <c r="P37" s="4" t="str">
        <f>LEFT(L37,1)</f>
        <v/>
      </c>
      <c r="Q37" t="s">
        <v>20</v>
      </c>
      <c r="U37" s="3" t="s">
        <v>1244</v>
      </c>
      <c r="V37" s="2">
        <v>61</v>
      </c>
      <c r="W37" s="2">
        <v>41</v>
      </c>
      <c r="X37" s="2">
        <v>102</v>
      </c>
      <c r="Z37" t="str">
        <f t="shared" si="6"/>
        <v>10-20</v>
      </c>
      <c r="AA37" s="5">
        <f t="shared" si="4"/>
        <v>0.40196078431372551</v>
      </c>
      <c r="AB37">
        <f t="shared" si="7"/>
        <v>102</v>
      </c>
    </row>
    <row r="38" spans="1:28" hidden="1" x14ac:dyDescent="0.25">
      <c r="A38">
        <v>637</v>
      </c>
      <c r="B38">
        <v>0</v>
      </c>
      <c r="C38">
        <v>3</v>
      </c>
      <c r="D38" t="s">
        <v>1072</v>
      </c>
      <c r="E38" s="4">
        <f>LEN(D38)</f>
        <v>26</v>
      </c>
      <c r="F38" t="s">
        <v>24</v>
      </c>
      <c r="G38">
        <v>32</v>
      </c>
      <c r="H38">
        <v>0</v>
      </c>
      <c r="I38">
        <v>0</v>
      </c>
      <c r="J38" t="s">
        <v>1073</v>
      </c>
      <c r="K38">
        <v>7.9249999999999998</v>
      </c>
      <c r="M38" s="6" t="str">
        <f t="shared" si="0"/>
        <v/>
      </c>
      <c r="N38" s="7" t="str">
        <f t="shared" si="2"/>
        <v/>
      </c>
      <c r="O38" t="str">
        <f t="shared" si="1"/>
        <v>ST</v>
      </c>
      <c r="P38" s="4" t="str">
        <f>LEFT(L38,1)</f>
        <v/>
      </c>
      <c r="Q38" t="s">
        <v>20</v>
      </c>
      <c r="U38" s="3" t="s">
        <v>1245</v>
      </c>
      <c r="V38" s="2">
        <v>143</v>
      </c>
      <c r="W38" s="2">
        <v>77</v>
      </c>
      <c r="X38" s="2">
        <v>220</v>
      </c>
      <c r="Z38" t="str">
        <f t="shared" si="6"/>
        <v>20-30</v>
      </c>
      <c r="AA38" s="5">
        <f t="shared" si="4"/>
        <v>0.35</v>
      </c>
      <c r="AB38">
        <f t="shared" si="7"/>
        <v>220</v>
      </c>
    </row>
    <row r="39" spans="1:28" hidden="1" x14ac:dyDescent="0.25">
      <c r="A39">
        <v>401</v>
      </c>
      <c r="B39">
        <v>1</v>
      </c>
      <c r="C39">
        <v>3</v>
      </c>
      <c r="D39" t="s">
        <v>907</v>
      </c>
      <c r="E39" s="4">
        <f>LEN(D39)</f>
        <v>18</v>
      </c>
      <c r="F39" t="s">
        <v>24</v>
      </c>
      <c r="G39">
        <v>39</v>
      </c>
      <c r="H39">
        <v>0</v>
      </c>
      <c r="I39">
        <v>0</v>
      </c>
      <c r="J39" t="s">
        <v>908</v>
      </c>
      <c r="K39">
        <v>7.9249999999999998</v>
      </c>
      <c r="M39" s="6" t="str">
        <f t="shared" si="0"/>
        <v/>
      </c>
      <c r="N39" s="7" t="str">
        <f t="shared" si="2"/>
        <v/>
      </c>
      <c r="O39" t="str">
        <f t="shared" si="1"/>
        <v>ST</v>
      </c>
      <c r="P39" s="4" t="str">
        <f>LEFT(L39,1)</f>
        <v/>
      </c>
      <c r="Q39" t="s">
        <v>20</v>
      </c>
      <c r="U39" s="3" t="s">
        <v>1246</v>
      </c>
      <c r="V39" s="2">
        <v>94</v>
      </c>
      <c r="W39" s="2">
        <v>73</v>
      </c>
      <c r="X39" s="2">
        <v>167</v>
      </c>
      <c r="Z39" t="str">
        <f t="shared" si="6"/>
        <v>30-40</v>
      </c>
      <c r="AA39" s="5">
        <f t="shared" si="4"/>
        <v>0.43712574850299402</v>
      </c>
      <c r="AB39">
        <f t="shared" si="7"/>
        <v>167</v>
      </c>
    </row>
    <row r="40" spans="1:28" hidden="1" x14ac:dyDescent="0.25">
      <c r="A40">
        <v>745</v>
      </c>
      <c r="B40">
        <v>1</v>
      </c>
      <c r="C40">
        <v>3</v>
      </c>
      <c r="D40" t="s">
        <v>1142</v>
      </c>
      <c r="E40" s="4">
        <f>LEN(D40)</f>
        <v>18</v>
      </c>
      <c r="F40" t="s">
        <v>24</v>
      </c>
      <c r="G40">
        <v>31</v>
      </c>
      <c r="H40">
        <v>0</v>
      </c>
      <c r="I40">
        <v>0</v>
      </c>
      <c r="J40" t="s">
        <v>1143</v>
      </c>
      <c r="K40">
        <v>7.9249999999999998</v>
      </c>
      <c r="M40" s="6" t="str">
        <f t="shared" si="0"/>
        <v/>
      </c>
      <c r="N40" s="7" t="str">
        <f t="shared" si="2"/>
        <v/>
      </c>
      <c r="O40" t="str">
        <f t="shared" si="1"/>
        <v>ST</v>
      </c>
      <c r="P40" s="4" t="str">
        <f>LEFT(L40,1)</f>
        <v/>
      </c>
      <c r="Q40" t="s">
        <v>20</v>
      </c>
      <c r="U40" s="3" t="s">
        <v>1247</v>
      </c>
      <c r="V40" s="2">
        <v>55</v>
      </c>
      <c r="W40" s="2">
        <v>34</v>
      </c>
      <c r="X40" s="2">
        <v>89</v>
      </c>
      <c r="Z40" t="str">
        <f t="shared" si="6"/>
        <v>40-50</v>
      </c>
      <c r="AA40" s="5">
        <f t="shared" si="4"/>
        <v>0.38202247191011235</v>
      </c>
      <c r="AB40">
        <f t="shared" si="7"/>
        <v>89</v>
      </c>
    </row>
    <row r="41" spans="1:28" hidden="1" x14ac:dyDescent="0.25">
      <c r="A41">
        <v>580</v>
      </c>
      <c r="B41">
        <v>1</v>
      </c>
      <c r="C41">
        <v>3</v>
      </c>
      <c r="D41" t="s">
        <v>1036</v>
      </c>
      <c r="E41" s="4">
        <f>LEN(D41)</f>
        <v>19</v>
      </c>
      <c r="F41" t="s">
        <v>24</v>
      </c>
      <c r="G41">
        <v>32</v>
      </c>
      <c r="H41">
        <v>0</v>
      </c>
      <c r="I41">
        <v>0</v>
      </c>
      <c r="J41" t="s">
        <v>1037</v>
      </c>
      <c r="K41">
        <v>7.9249999999999998</v>
      </c>
      <c r="M41" s="6" t="str">
        <f t="shared" si="0"/>
        <v/>
      </c>
      <c r="N41" s="7" t="str">
        <f t="shared" si="2"/>
        <v/>
      </c>
      <c r="O41" t="str">
        <f t="shared" si="1"/>
        <v>ST</v>
      </c>
      <c r="P41" s="4" t="str">
        <f>LEFT(L41,1)</f>
        <v/>
      </c>
      <c r="Q41" t="s">
        <v>20</v>
      </c>
      <c r="U41" s="3" t="s">
        <v>1248</v>
      </c>
      <c r="V41" s="2">
        <v>30</v>
      </c>
      <c r="W41" s="2">
        <v>22</v>
      </c>
      <c r="X41" s="2">
        <v>52</v>
      </c>
      <c r="Z41" t="str">
        <f t="shared" si="6"/>
        <v>50-60</v>
      </c>
      <c r="AA41" s="5">
        <f t="shared" si="4"/>
        <v>0.42307692307692307</v>
      </c>
      <c r="AB41">
        <f t="shared" si="7"/>
        <v>52</v>
      </c>
    </row>
    <row r="42" spans="1:28" hidden="1" x14ac:dyDescent="0.25">
      <c r="A42">
        <v>665</v>
      </c>
      <c r="B42">
        <v>1</v>
      </c>
      <c r="C42">
        <v>3</v>
      </c>
      <c r="D42" t="s">
        <v>1092</v>
      </c>
      <c r="E42" s="4">
        <f>LEN(D42)</f>
        <v>27</v>
      </c>
      <c r="F42" t="s">
        <v>24</v>
      </c>
      <c r="G42">
        <v>20</v>
      </c>
      <c r="H42">
        <v>1</v>
      </c>
      <c r="I42">
        <v>0</v>
      </c>
      <c r="J42" t="s">
        <v>1093</v>
      </c>
      <c r="K42">
        <v>7.9249999999999998</v>
      </c>
      <c r="M42" s="6" t="str">
        <f t="shared" si="0"/>
        <v/>
      </c>
      <c r="N42" s="7" t="str">
        <f t="shared" si="2"/>
        <v/>
      </c>
      <c r="O42" t="str">
        <f t="shared" si="1"/>
        <v>ST</v>
      </c>
      <c r="P42" s="4" t="str">
        <f>LEFT(L42,1)</f>
        <v/>
      </c>
      <c r="Q42" t="s">
        <v>20</v>
      </c>
      <c r="U42" s="3" t="s">
        <v>1249</v>
      </c>
      <c r="V42" s="2">
        <v>17</v>
      </c>
      <c r="W42" s="2">
        <v>5</v>
      </c>
      <c r="X42" s="2">
        <v>22</v>
      </c>
      <c r="Z42" t="str">
        <f t="shared" si="6"/>
        <v>&gt;60</v>
      </c>
      <c r="AA42" s="5">
        <f t="shared" si="4"/>
        <v>0.22727272727272727</v>
      </c>
      <c r="AB42">
        <f t="shared" si="7"/>
        <v>22</v>
      </c>
    </row>
    <row r="43" spans="1:28" hidden="1" x14ac:dyDescent="0.25">
      <c r="A43">
        <v>828</v>
      </c>
      <c r="B43">
        <v>1</v>
      </c>
      <c r="C43">
        <v>2</v>
      </c>
      <c r="D43" t="s">
        <v>633</v>
      </c>
      <c r="E43" s="4">
        <f>LEN(D43)</f>
        <v>21</v>
      </c>
      <c r="F43" t="s">
        <v>24</v>
      </c>
      <c r="G43">
        <v>1</v>
      </c>
      <c r="H43">
        <v>0</v>
      </c>
      <c r="I43">
        <v>2</v>
      </c>
      <c r="J43" t="s">
        <v>632</v>
      </c>
      <c r="K43">
        <v>37.004199999999997</v>
      </c>
      <c r="M43" s="6" t="str">
        <f t="shared" si="0"/>
        <v/>
      </c>
      <c r="N43" s="7" t="str">
        <f t="shared" si="2"/>
        <v/>
      </c>
      <c r="O43" t="str">
        <f t="shared" si="1"/>
        <v>S.</v>
      </c>
      <c r="P43" s="4" t="str">
        <f>LEFT(L43,1)</f>
        <v/>
      </c>
      <c r="Q43" t="s">
        <v>17</v>
      </c>
      <c r="U43" s="3" t="s">
        <v>80</v>
      </c>
      <c r="V43" s="2">
        <v>424</v>
      </c>
      <c r="W43" s="2">
        <v>290</v>
      </c>
      <c r="X43" s="2">
        <v>714</v>
      </c>
    </row>
    <row r="44" spans="1:28" x14ac:dyDescent="0.25">
      <c r="A44">
        <v>545</v>
      </c>
      <c r="B44">
        <v>0</v>
      </c>
      <c r="C44">
        <v>1</v>
      </c>
      <c r="D44" t="s">
        <v>292</v>
      </c>
      <c r="E44" s="4">
        <f>LEN(D44)</f>
        <v>26</v>
      </c>
      <c r="F44" t="s">
        <v>24</v>
      </c>
      <c r="G44">
        <v>50</v>
      </c>
      <c r="H44">
        <v>1</v>
      </c>
      <c r="I44">
        <v>0</v>
      </c>
      <c r="J44" t="s">
        <v>286</v>
      </c>
      <c r="K44">
        <v>106.425</v>
      </c>
      <c r="L44" t="s">
        <v>293</v>
      </c>
      <c r="M44" s="6" t="str">
        <f t="shared" si="0"/>
        <v>86</v>
      </c>
      <c r="N44" s="7">
        <f t="shared" si="2"/>
        <v>86</v>
      </c>
      <c r="O44" t="str">
        <f t="shared" si="1"/>
        <v>PC</v>
      </c>
      <c r="P44" s="4" t="str">
        <f>LEFT(L44,1)</f>
        <v>C</v>
      </c>
      <c r="Q44" t="s">
        <v>17</v>
      </c>
    </row>
    <row r="45" spans="1:28" hidden="1" x14ac:dyDescent="0.25">
      <c r="A45">
        <v>174</v>
      </c>
      <c r="B45">
        <v>0</v>
      </c>
      <c r="C45">
        <v>3</v>
      </c>
      <c r="D45" t="s">
        <v>766</v>
      </c>
      <c r="E45" s="4">
        <f>LEN(D45)</f>
        <v>25</v>
      </c>
      <c r="F45" t="s">
        <v>24</v>
      </c>
      <c r="G45">
        <v>21</v>
      </c>
      <c r="H45">
        <v>0</v>
      </c>
      <c r="I45">
        <v>0</v>
      </c>
      <c r="J45" t="s">
        <v>767</v>
      </c>
      <c r="K45">
        <v>7.9249999999999998</v>
      </c>
      <c r="M45" s="6" t="str">
        <f t="shared" si="0"/>
        <v/>
      </c>
      <c r="N45" s="7" t="str">
        <f t="shared" si="2"/>
        <v/>
      </c>
      <c r="O45" t="str">
        <f t="shared" si="1"/>
        <v>ST</v>
      </c>
      <c r="P45" s="4" t="str">
        <f>LEFT(L45,1)</f>
        <v/>
      </c>
      <c r="Q45" t="s">
        <v>20</v>
      </c>
    </row>
    <row r="46" spans="1:28" hidden="1" x14ac:dyDescent="0.25">
      <c r="A46">
        <v>244</v>
      </c>
      <c r="B46">
        <v>0</v>
      </c>
      <c r="C46">
        <v>3</v>
      </c>
      <c r="D46" t="s">
        <v>811</v>
      </c>
      <c r="E46" s="4">
        <f>LEN(D46)</f>
        <v>29</v>
      </c>
      <c r="F46" t="s">
        <v>24</v>
      </c>
      <c r="G46">
        <v>22</v>
      </c>
      <c r="H46">
        <v>0</v>
      </c>
      <c r="I46">
        <v>0</v>
      </c>
      <c r="J46" t="s">
        <v>812</v>
      </c>
      <c r="K46">
        <v>7.125</v>
      </c>
      <c r="M46" s="6" t="str">
        <f t="shared" si="0"/>
        <v/>
      </c>
      <c r="N46" s="7" t="str">
        <f t="shared" si="2"/>
        <v/>
      </c>
      <c r="O46" t="str">
        <f t="shared" si="1"/>
        <v>ST</v>
      </c>
      <c r="P46" s="4" t="str">
        <f>LEFT(L46,1)</f>
        <v/>
      </c>
      <c r="Q46" t="s">
        <v>20</v>
      </c>
    </row>
    <row r="47" spans="1:28" hidden="1" x14ac:dyDescent="0.25">
      <c r="A47">
        <v>538</v>
      </c>
      <c r="B47">
        <v>1</v>
      </c>
      <c r="C47">
        <v>1</v>
      </c>
      <c r="D47" t="s">
        <v>285</v>
      </c>
      <c r="E47" s="4">
        <f>LEN(D47)</f>
        <v>19</v>
      </c>
      <c r="F47" t="s">
        <v>14</v>
      </c>
      <c r="G47">
        <v>30</v>
      </c>
      <c r="H47">
        <v>0</v>
      </c>
      <c r="I47">
        <v>0</v>
      </c>
      <c r="J47" t="s">
        <v>286</v>
      </c>
      <c r="K47">
        <v>106.425</v>
      </c>
      <c r="M47" s="6" t="str">
        <f t="shared" si="0"/>
        <v/>
      </c>
      <c r="N47" s="7" t="str">
        <f t="shared" si="2"/>
        <v/>
      </c>
      <c r="O47" t="str">
        <f t="shared" si="1"/>
        <v>PC</v>
      </c>
      <c r="P47" s="4" t="str">
        <f>LEFT(L47,1)</f>
        <v/>
      </c>
      <c r="Q47" t="s">
        <v>17</v>
      </c>
    </row>
    <row r="48" spans="1:28" hidden="1" x14ac:dyDescent="0.25">
      <c r="A48">
        <v>434</v>
      </c>
      <c r="B48">
        <v>0</v>
      </c>
      <c r="C48">
        <v>3</v>
      </c>
      <c r="D48" t="s">
        <v>937</v>
      </c>
      <c r="E48" s="4">
        <f>LEN(D48)</f>
        <v>26</v>
      </c>
      <c r="F48" t="s">
        <v>24</v>
      </c>
      <c r="G48">
        <v>17</v>
      </c>
      <c r="H48">
        <v>0</v>
      </c>
      <c r="I48">
        <v>0</v>
      </c>
      <c r="J48" t="s">
        <v>938</v>
      </c>
      <c r="K48">
        <v>7.125</v>
      </c>
      <c r="M48" s="6" t="str">
        <f t="shared" si="0"/>
        <v/>
      </c>
      <c r="N48" s="7" t="str">
        <f t="shared" si="2"/>
        <v/>
      </c>
      <c r="O48" t="str">
        <f t="shared" si="1"/>
        <v>ST</v>
      </c>
      <c r="P48" s="4" t="str">
        <f>LEFT(L48,1)</f>
        <v/>
      </c>
      <c r="Q48" t="s">
        <v>20</v>
      </c>
      <c r="U48" s="1" t="s">
        <v>21</v>
      </c>
      <c r="V48" s="1" t="s">
        <v>22</v>
      </c>
    </row>
    <row r="49" spans="1:28" hidden="1" x14ac:dyDescent="0.25">
      <c r="A49">
        <v>591</v>
      </c>
      <c r="B49">
        <v>0</v>
      </c>
      <c r="C49">
        <v>3</v>
      </c>
      <c r="D49" t="s">
        <v>1041</v>
      </c>
      <c r="E49" s="4">
        <f>LEN(D49)</f>
        <v>20</v>
      </c>
      <c r="F49" t="s">
        <v>24</v>
      </c>
      <c r="G49">
        <v>35</v>
      </c>
      <c r="H49">
        <v>0</v>
      </c>
      <c r="I49">
        <v>0</v>
      </c>
      <c r="J49" t="s">
        <v>1042</v>
      </c>
      <c r="K49">
        <v>7.125</v>
      </c>
      <c r="M49" s="6" t="str">
        <f t="shared" si="0"/>
        <v/>
      </c>
      <c r="N49" s="7" t="str">
        <f t="shared" si="2"/>
        <v/>
      </c>
      <c r="O49" t="str">
        <f t="shared" si="1"/>
        <v>ST</v>
      </c>
      <c r="P49" s="4" t="str">
        <f>LEFT(L49,1)</f>
        <v/>
      </c>
      <c r="Q49" t="s">
        <v>20</v>
      </c>
      <c r="U49" s="1" t="s">
        <v>26</v>
      </c>
      <c r="V49">
        <v>0</v>
      </c>
      <c r="W49">
        <v>1</v>
      </c>
      <c r="X49" t="s">
        <v>80</v>
      </c>
      <c r="Y49" s="1"/>
      <c r="Z49" t="s">
        <v>121</v>
      </c>
      <c r="AB49" t="s">
        <v>28</v>
      </c>
    </row>
    <row r="50" spans="1:28" x14ac:dyDescent="0.25">
      <c r="A50">
        <v>326</v>
      </c>
      <c r="B50">
        <v>1</v>
      </c>
      <c r="C50">
        <v>1</v>
      </c>
      <c r="D50" t="s">
        <v>210</v>
      </c>
      <c r="E50" s="4">
        <f>LEN(D50)</f>
        <v>24</v>
      </c>
      <c r="F50" t="s">
        <v>14</v>
      </c>
      <c r="G50">
        <v>36</v>
      </c>
      <c r="H50">
        <v>0</v>
      </c>
      <c r="I50">
        <v>0</v>
      </c>
      <c r="J50" t="s">
        <v>178</v>
      </c>
      <c r="K50">
        <v>135.63329999999999</v>
      </c>
      <c r="L50" t="s">
        <v>211</v>
      </c>
      <c r="M50" s="6" t="str">
        <f t="shared" si="0"/>
        <v>32</v>
      </c>
      <c r="N50" s="7">
        <f t="shared" si="2"/>
        <v>32</v>
      </c>
      <c r="O50" t="str">
        <f t="shared" si="1"/>
        <v>PC</v>
      </c>
      <c r="P50" s="4" t="str">
        <f>LEFT(L50,1)</f>
        <v>C</v>
      </c>
      <c r="Q50" t="s">
        <v>17</v>
      </c>
      <c r="U50" s="3">
        <v>0</v>
      </c>
      <c r="V50" s="2">
        <v>398</v>
      </c>
      <c r="W50" s="2">
        <v>210</v>
      </c>
      <c r="X50" s="2">
        <v>608</v>
      </c>
      <c r="Z50">
        <f t="shared" si="6"/>
        <v>0</v>
      </c>
      <c r="AA50" s="5">
        <f t="shared" si="4"/>
        <v>0.34539473684210525</v>
      </c>
      <c r="AB50">
        <f t="shared" si="7"/>
        <v>608</v>
      </c>
    </row>
    <row r="51" spans="1:28" hidden="1" x14ac:dyDescent="0.25">
      <c r="A51">
        <v>374</v>
      </c>
      <c r="B51">
        <v>0</v>
      </c>
      <c r="C51">
        <v>1</v>
      </c>
      <c r="D51" t="s">
        <v>230</v>
      </c>
      <c r="E51" s="4">
        <f>LEN(D51)</f>
        <v>19</v>
      </c>
      <c r="F51" t="s">
        <v>24</v>
      </c>
      <c r="G51">
        <v>22</v>
      </c>
      <c r="H51">
        <v>0</v>
      </c>
      <c r="I51">
        <v>0</v>
      </c>
      <c r="J51" t="s">
        <v>178</v>
      </c>
      <c r="K51">
        <v>135.63329999999999</v>
      </c>
      <c r="M51" s="6" t="str">
        <f t="shared" si="0"/>
        <v/>
      </c>
      <c r="N51" s="7" t="str">
        <f t="shared" si="2"/>
        <v/>
      </c>
      <c r="O51" t="str">
        <f t="shared" si="1"/>
        <v>PC</v>
      </c>
      <c r="P51" s="4" t="str">
        <f>LEFT(L51,1)</f>
        <v/>
      </c>
      <c r="Q51" t="s">
        <v>17</v>
      </c>
      <c r="U51" s="3">
        <v>1</v>
      </c>
      <c r="V51" s="2">
        <v>97</v>
      </c>
      <c r="W51" s="2">
        <v>112</v>
      </c>
      <c r="X51" s="2">
        <v>209</v>
      </c>
      <c r="Z51">
        <f t="shared" si="6"/>
        <v>1</v>
      </c>
      <c r="AA51" s="5">
        <f t="shared" si="4"/>
        <v>0.53588516746411485</v>
      </c>
      <c r="AB51">
        <f t="shared" si="7"/>
        <v>209</v>
      </c>
    </row>
    <row r="52" spans="1:28" hidden="1" x14ac:dyDescent="0.25">
      <c r="A52">
        <v>415</v>
      </c>
      <c r="B52">
        <v>1</v>
      </c>
      <c r="C52">
        <v>3</v>
      </c>
      <c r="D52" t="s">
        <v>919</v>
      </c>
      <c r="E52" s="4">
        <f>LEN(D52)</f>
        <v>25</v>
      </c>
      <c r="F52" t="s">
        <v>24</v>
      </c>
      <c r="G52">
        <v>44</v>
      </c>
      <c r="H52">
        <v>0</v>
      </c>
      <c r="I52">
        <v>0</v>
      </c>
      <c r="J52" t="s">
        <v>920</v>
      </c>
      <c r="K52">
        <v>7.9249999999999998</v>
      </c>
      <c r="M52" s="6" t="str">
        <f t="shared" si="0"/>
        <v/>
      </c>
      <c r="N52" s="7" t="str">
        <f t="shared" si="2"/>
        <v/>
      </c>
      <c r="O52" t="str">
        <f t="shared" si="1"/>
        <v>ST</v>
      </c>
      <c r="P52" s="4" t="str">
        <f>LEFT(L52,1)</f>
        <v/>
      </c>
      <c r="Q52" t="s">
        <v>20</v>
      </c>
      <c r="U52" s="3">
        <v>2</v>
      </c>
      <c r="V52" s="2">
        <v>15</v>
      </c>
      <c r="W52" s="2">
        <v>13</v>
      </c>
      <c r="X52" s="2">
        <v>28</v>
      </c>
      <c r="Z52">
        <f t="shared" si="6"/>
        <v>2</v>
      </c>
      <c r="AA52" s="5">
        <f t="shared" si="4"/>
        <v>0.4642857142857143</v>
      </c>
      <c r="AB52">
        <f t="shared" si="7"/>
        <v>28</v>
      </c>
    </row>
    <row r="53" spans="1:28" x14ac:dyDescent="0.25">
      <c r="A53">
        <v>98</v>
      </c>
      <c r="B53">
        <v>1</v>
      </c>
      <c r="C53">
        <v>1</v>
      </c>
      <c r="D53" t="s">
        <v>86</v>
      </c>
      <c r="E53" s="4">
        <f>LEN(D53)</f>
        <v>31</v>
      </c>
      <c r="F53" t="s">
        <v>24</v>
      </c>
      <c r="G53">
        <v>23</v>
      </c>
      <c r="H53">
        <v>0</v>
      </c>
      <c r="I53">
        <v>1</v>
      </c>
      <c r="J53" t="s">
        <v>87</v>
      </c>
      <c r="K53">
        <v>63.3583</v>
      </c>
      <c r="L53" t="s">
        <v>88</v>
      </c>
      <c r="M53" s="6" t="str">
        <f t="shared" si="0"/>
        <v xml:space="preserve">10 </v>
      </c>
      <c r="N53" s="7">
        <f t="shared" si="2"/>
        <v>10</v>
      </c>
      <c r="O53" t="str">
        <f t="shared" si="1"/>
        <v>PC</v>
      </c>
      <c r="P53" s="4" t="str">
        <f>LEFT(L53,1)</f>
        <v>D</v>
      </c>
      <c r="Q53" t="s">
        <v>17</v>
      </c>
      <c r="U53" s="3">
        <v>3</v>
      </c>
      <c r="V53" s="2">
        <v>12</v>
      </c>
      <c r="W53" s="2">
        <v>4</v>
      </c>
      <c r="X53" s="2">
        <v>16</v>
      </c>
      <c r="Z53">
        <f t="shared" si="6"/>
        <v>3</v>
      </c>
      <c r="AA53" s="5">
        <f t="shared" si="4"/>
        <v>0.25</v>
      </c>
      <c r="AB53">
        <f t="shared" si="7"/>
        <v>16</v>
      </c>
    </row>
    <row r="54" spans="1:28" x14ac:dyDescent="0.25">
      <c r="A54">
        <v>308</v>
      </c>
      <c r="B54">
        <v>1</v>
      </c>
      <c r="C54">
        <v>1</v>
      </c>
      <c r="D54" t="s">
        <v>195</v>
      </c>
      <c r="E54" s="4">
        <f>LEN(D54)</f>
        <v>82</v>
      </c>
      <c r="F54" t="s">
        <v>14</v>
      </c>
      <c r="G54">
        <v>17</v>
      </c>
      <c r="H54">
        <v>1</v>
      </c>
      <c r="I54">
        <v>0</v>
      </c>
      <c r="J54" t="s">
        <v>196</v>
      </c>
      <c r="K54">
        <v>108.9</v>
      </c>
      <c r="L54" t="s">
        <v>197</v>
      </c>
      <c r="M54" s="6" t="str">
        <f t="shared" si="0"/>
        <v>65</v>
      </c>
      <c r="N54" s="7">
        <f t="shared" si="2"/>
        <v>65</v>
      </c>
      <c r="O54" t="str">
        <f t="shared" si="1"/>
        <v>PC</v>
      </c>
      <c r="P54" s="4" t="str">
        <f>LEFT(L54,1)</f>
        <v>C</v>
      </c>
      <c r="Q54" t="s">
        <v>17</v>
      </c>
      <c r="U54" s="3">
        <v>4</v>
      </c>
      <c r="V54" s="2">
        <v>15</v>
      </c>
      <c r="W54" s="2">
        <v>3</v>
      </c>
      <c r="X54" s="2">
        <v>18</v>
      </c>
      <c r="Z54">
        <f t="shared" si="6"/>
        <v>4</v>
      </c>
      <c r="AA54" s="5">
        <f t="shared" si="4"/>
        <v>0.16666666666666666</v>
      </c>
      <c r="AB54">
        <f t="shared" si="7"/>
        <v>18</v>
      </c>
    </row>
    <row r="55" spans="1:28" x14ac:dyDescent="0.25">
      <c r="A55">
        <v>506</v>
      </c>
      <c r="B55">
        <v>0</v>
      </c>
      <c r="C55">
        <v>1</v>
      </c>
      <c r="D55" t="s">
        <v>272</v>
      </c>
      <c r="E55" s="4">
        <f>LEN(D55)</f>
        <v>42</v>
      </c>
      <c r="F55" t="s">
        <v>24</v>
      </c>
      <c r="G55">
        <v>18</v>
      </c>
      <c r="H55">
        <v>1</v>
      </c>
      <c r="I55">
        <v>0</v>
      </c>
      <c r="J55" t="s">
        <v>196</v>
      </c>
      <c r="K55">
        <v>108.9</v>
      </c>
      <c r="L55" t="s">
        <v>197</v>
      </c>
      <c r="M55" s="6" t="str">
        <f t="shared" si="0"/>
        <v>65</v>
      </c>
      <c r="N55" s="7">
        <f t="shared" si="2"/>
        <v>65</v>
      </c>
      <c r="O55" t="str">
        <f t="shared" si="1"/>
        <v>PC</v>
      </c>
      <c r="P55" s="4" t="str">
        <f>LEFT(L55,1)</f>
        <v>C</v>
      </c>
      <c r="Q55" t="s">
        <v>17</v>
      </c>
      <c r="U55" s="3">
        <v>5</v>
      </c>
      <c r="V55" s="2">
        <v>5</v>
      </c>
      <c r="W55" s="2"/>
      <c r="X55" s="2">
        <v>5</v>
      </c>
      <c r="Z55">
        <f t="shared" si="6"/>
        <v>5</v>
      </c>
      <c r="AA55" s="5">
        <f t="shared" si="4"/>
        <v>0</v>
      </c>
      <c r="AB55">
        <f t="shared" si="7"/>
        <v>5</v>
      </c>
    </row>
    <row r="56" spans="1:28" hidden="1" x14ac:dyDescent="0.25">
      <c r="A56">
        <v>158</v>
      </c>
      <c r="B56">
        <v>0</v>
      </c>
      <c r="C56">
        <v>3</v>
      </c>
      <c r="D56" t="s">
        <v>755</v>
      </c>
      <c r="E56" s="4">
        <f>LEN(D56)</f>
        <v>15</v>
      </c>
      <c r="F56" t="s">
        <v>24</v>
      </c>
      <c r="G56">
        <v>30</v>
      </c>
      <c r="H56">
        <v>0</v>
      </c>
      <c r="I56">
        <v>0</v>
      </c>
      <c r="J56" t="s">
        <v>756</v>
      </c>
      <c r="K56">
        <v>8.0500000000000007</v>
      </c>
      <c r="M56" s="6" t="str">
        <f t="shared" si="0"/>
        <v/>
      </c>
      <c r="N56" s="7" t="str">
        <f t="shared" si="2"/>
        <v/>
      </c>
      <c r="O56" t="str">
        <f t="shared" si="1"/>
        <v>SO</v>
      </c>
      <c r="P56" s="4" t="str">
        <f>LEFT(L56,1)</f>
        <v/>
      </c>
      <c r="Q56" t="s">
        <v>20</v>
      </c>
      <c r="U56" s="3">
        <v>8</v>
      </c>
      <c r="V56" s="2">
        <v>7</v>
      </c>
      <c r="W56" s="2"/>
      <c r="X56" s="2">
        <v>7</v>
      </c>
      <c r="Z56">
        <f t="shared" si="6"/>
        <v>8</v>
      </c>
      <c r="AA56" s="5">
        <f t="shared" si="4"/>
        <v>0</v>
      </c>
      <c r="AB56">
        <f t="shared" si="7"/>
        <v>7</v>
      </c>
    </row>
    <row r="57" spans="1:28" hidden="1" x14ac:dyDescent="0.25">
      <c r="A57">
        <v>558</v>
      </c>
      <c r="B57">
        <v>0</v>
      </c>
      <c r="C57">
        <v>1</v>
      </c>
      <c r="D57" t="s">
        <v>23</v>
      </c>
      <c r="E57" s="4">
        <f>LEN(D57)</f>
        <v>19</v>
      </c>
      <c r="F57" t="s">
        <v>24</v>
      </c>
      <c r="H57">
        <v>0</v>
      </c>
      <c r="I57">
        <v>0</v>
      </c>
      <c r="J57" t="s">
        <v>25</v>
      </c>
      <c r="K57">
        <v>227.52500000000001</v>
      </c>
      <c r="M57" s="6" t="str">
        <f t="shared" si="0"/>
        <v/>
      </c>
      <c r="N57" s="7" t="str">
        <f t="shared" si="2"/>
        <v/>
      </c>
      <c r="O57" t="str">
        <f t="shared" si="1"/>
        <v>PC</v>
      </c>
      <c r="P57" s="4" t="str">
        <f>LEFT(L57,1)</f>
        <v/>
      </c>
      <c r="Q57" t="s">
        <v>17</v>
      </c>
      <c r="U57" s="3" t="s">
        <v>80</v>
      </c>
      <c r="V57" s="2">
        <v>549</v>
      </c>
      <c r="W57" s="2">
        <v>342</v>
      </c>
      <c r="X57" s="2">
        <v>891</v>
      </c>
    </row>
    <row r="58" spans="1:28" hidden="1" x14ac:dyDescent="0.25">
      <c r="A58">
        <v>221</v>
      </c>
      <c r="B58">
        <v>1</v>
      </c>
      <c r="C58">
        <v>3</v>
      </c>
      <c r="D58" t="s">
        <v>796</v>
      </c>
      <c r="E58" s="4">
        <f>LEN(D58)</f>
        <v>30</v>
      </c>
      <c r="F58" t="s">
        <v>24</v>
      </c>
      <c r="G58">
        <v>16</v>
      </c>
      <c r="H58">
        <v>0</v>
      </c>
      <c r="I58">
        <v>0</v>
      </c>
      <c r="J58" t="s">
        <v>797</v>
      </c>
      <c r="K58">
        <v>8.0500000000000007</v>
      </c>
      <c r="M58" s="6" t="str">
        <f t="shared" si="0"/>
        <v/>
      </c>
      <c r="N58" s="7" t="str">
        <f t="shared" si="2"/>
        <v/>
      </c>
      <c r="O58" t="str">
        <f t="shared" si="1"/>
        <v>SO</v>
      </c>
      <c r="P58" s="4" t="str">
        <f>LEFT(L58,1)</f>
        <v/>
      </c>
      <c r="Q58" t="s">
        <v>20</v>
      </c>
    </row>
    <row r="59" spans="1:28" hidden="1" x14ac:dyDescent="0.25">
      <c r="A59">
        <v>381</v>
      </c>
      <c r="B59">
        <v>1</v>
      </c>
      <c r="C59">
        <v>1</v>
      </c>
      <c r="D59" t="s">
        <v>233</v>
      </c>
      <c r="E59" s="4">
        <f>LEN(D59)</f>
        <v>21</v>
      </c>
      <c r="F59" t="s">
        <v>14</v>
      </c>
      <c r="G59">
        <v>42</v>
      </c>
      <c r="H59">
        <v>0</v>
      </c>
      <c r="I59">
        <v>0</v>
      </c>
      <c r="J59" t="s">
        <v>25</v>
      </c>
      <c r="K59">
        <v>227.52500000000001</v>
      </c>
      <c r="M59" s="6" t="str">
        <f t="shared" si="0"/>
        <v/>
      </c>
      <c r="N59" s="7" t="str">
        <f t="shared" si="2"/>
        <v/>
      </c>
      <c r="O59" t="str">
        <f t="shared" si="1"/>
        <v>PC</v>
      </c>
      <c r="P59" s="4" t="str">
        <f>LEFT(L59,1)</f>
        <v/>
      </c>
      <c r="Q59" t="s">
        <v>17</v>
      </c>
    </row>
    <row r="60" spans="1:28" hidden="1" x14ac:dyDescent="0.25">
      <c r="A60">
        <v>88</v>
      </c>
      <c r="B60">
        <v>0</v>
      </c>
      <c r="C60">
        <v>3</v>
      </c>
      <c r="D60" t="s">
        <v>931</v>
      </c>
      <c r="E60" s="4">
        <f>LEN(D60)</f>
        <v>29</v>
      </c>
      <c r="F60" t="s">
        <v>24</v>
      </c>
      <c r="H60">
        <v>0</v>
      </c>
      <c r="I60">
        <v>0</v>
      </c>
      <c r="J60" t="s">
        <v>932</v>
      </c>
      <c r="K60">
        <v>8.0500000000000007</v>
      </c>
      <c r="M60" s="6" t="str">
        <f t="shared" si="0"/>
        <v/>
      </c>
      <c r="N60" s="7" t="str">
        <f t="shared" si="2"/>
        <v/>
      </c>
      <c r="O60" t="str">
        <f t="shared" si="1"/>
        <v>SO</v>
      </c>
      <c r="P60" s="4" t="str">
        <f>LEFT(L60,1)</f>
        <v/>
      </c>
      <c r="Q60" t="s">
        <v>20</v>
      </c>
    </row>
    <row r="61" spans="1:28" x14ac:dyDescent="0.25">
      <c r="A61">
        <v>701</v>
      </c>
      <c r="B61">
        <v>1</v>
      </c>
      <c r="C61">
        <v>1</v>
      </c>
      <c r="D61" t="s">
        <v>352</v>
      </c>
      <c r="E61" s="4">
        <f>LEN(D61)</f>
        <v>49</v>
      </c>
      <c r="F61" t="s">
        <v>14</v>
      </c>
      <c r="G61">
        <v>18</v>
      </c>
      <c r="H61">
        <v>1</v>
      </c>
      <c r="I61">
        <v>0</v>
      </c>
      <c r="J61" t="s">
        <v>25</v>
      </c>
      <c r="K61">
        <v>227.52500000000001</v>
      </c>
      <c r="L61" t="s">
        <v>353</v>
      </c>
      <c r="M61" s="6" t="str">
        <f t="shared" si="0"/>
        <v xml:space="preserve">62 </v>
      </c>
      <c r="N61" s="7">
        <f t="shared" si="2"/>
        <v>62</v>
      </c>
      <c r="O61" t="str">
        <f t="shared" si="1"/>
        <v>PC</v>
      </c>
      <c r="P61" s="4" t="str">
        <f>LEFT(L61,1)</f>
        <v>C</v>
      </c>
      <c r="Q61" t="s">
        <v>17</v>
      </c>
    </row>
    <row r="62" spans="1:28" x14ac:dyDescent="0.25">
      <c r="A62">
        <v>717</v>
      </c>
      <c r="B62">
        <v>1</v>
      </c>
      <c r="C62">
        <v>1</v>
      </c>
      <c r="D62" t="s">
        <v>364</v>
      </c>
      <c r="E62" s="4">
        <f>LEN(D62)</f>
        <v>29</v>
      </c>
      <c r="F62" t="s">
        <v>14</v>
      </c>
      <c r="G62">
        <v>38</v>
      </c>
      <c r="H62">
        <v>0</v>
      </c>
      <c r="I62">
        <v>0</v>
      </c>
      <c r="J62" t="s">
        <v>25</v>
      </c>
      <c r="K62">
        <v>227.52500000000001</v>
      </c>
      <c r="L62" t="s">
        <v>365</v>
      </c>
      <c r="M62" s="6" t="str">
        <f t="shared" si="0"/>
        <v>45</v>
      </c>
      <c r="N62" s="7">
        <f t="shared" si="2"/>
        <v>45</v>
      </c>
      <c r="O62" t="str">
        <f t="shared" si="1"/>
        <v>PC</v>
      </c>
      <c r="P62" s="4" t="str">
        <f>LEFT(L62,1)</f>
        <v>C</v>
      </c>
      <c r="Q62" t="s">
        <v>17</v>
      </c>
      <c r="U62" s="1" t="s">
        <v>21</v>
      </c>
      <c r="V62" s="1" t="s">
        <v>22</v>
      </c>
    </row>
    <row r="63" spans="1:28" x14ac:dyDescent="0.25">
      <c r="A63">
        <v>836</v>
      </c>
      <c r="B63">
        <v>1</v>
      </c>
      <c r="C63">
        <v>1</v>
      </c>
      <c r="D63" t="s">
        <v>398</v>
      </c>
      <c r="E63" s="4">
        <f>LEN(D63)</f>
        <v>27</v>
      </c>
      <c r="F63" t="s">
        <v>14</v>
      </c>
      <c r="G63">
        <v>39</v>
      </c>
      <c r="H63">
        <v>1</v>
      </c>
      <c r="I63">
        <v>1</v>
      </c>
      <c r="J63" t="s">
        <v>399</v>
      </c>
      <c r="K63">
        <v>83.158299999999997</v>
      </c>
      <c r="L63" t="s">
        <v>400</v>
      </c>
      <c r="M63" s="6" t="str">
        <f t="shared" si="0"/>
        <v>49</v>
      </c>
      <c r="N63" s="7">
        <f t="shared" si="2"/>
        <v>49</v>
      </c>
      <c r="O63" t="str">
        <f t="shared" si="1"/>
        <v>PC</v>
      </c>
      <c r="P63" s="4" t="str">
        <f>LEFT(L63,1)</f>
        <v>E</v>
      </c>
      <c r="Q63" t="s">
        <v>17</v>
      </c>
      <c r="U63" s="1" t="s">
        <v>26</v>
      </c>
      <c r="V63">
        <v>0</v>
      </c>
      <c r="W63">
        <v>1</v>
      </c>
      <c r="X63" t="s">
        <v>80</v>
      </c>
      <c r="Y63" s="1"/>
      <c r="Z63" t="s">
        <v>97</v>
      </c>
      <c r="AB63" t="s">
        <v>28</v>
      </c>
    </row>
    <row r="64" spans="1:28" hidden="1" x14ac:dyDescent="0.25">
      <c r="A64">
        <v>259</v>
      </c>
      <c r="B64">
        <v>1</v>
      </c>
      <c r="C64">
        <v>1</v>
      </c>
      <c r="D64" t="s">
        <v>168</v>
      </c>
      <c r="E64" s="4">
        <f>LEN(D64)</f>
        <v>16</v>
      </c>
      <c r="F64" t="s">
        <v>14</v>
      </c>
      <c r="G64">
        <v>35</v>
      </c>
      <c r="H64">
        <v>0</v>
      </c>
      <c r="I64">
        <v>0</v>
      </c>
      <c r="J64" t="s">
        <v>169</v>
      </c>
      <c r="K64">
        <v>512.32920000000001</v>
      </c>
      <c r="M64" s="6" t="str">
        <f t="shared" si="0"/>
        <v/>
      </c>
      <c r="N64" s="7" t="str">
        <f t="shared" si="2"/>
        <v/>
      </c>
      <c r="O64" t="str">
        <f t="shared" si="1"/>
        <v>PC</v>
      </c>
      <c r="P64" s="4" t="str">
        <f>LEFT(L64,1)</f>
        <v/>
      </c>
      <c r="Q64" t="s">
        <v>17</v>
      </c>
      <c r="U64" s="3" t="s">
        <v>1258</v>
      </c>
      <c r="V64" s="2">
        <v>445</v>
      </c>
      <c r="W64" s="2">
        <v>233</v>
      </c>
      <c r="X64" s="2">
        <v>678</v>
      </c>
      <c r="Z64" t="str">
        <f t="shared" si="6"/>
        <v>0-0</v>
      </c>
      <c r="AA64" s="5">
        <f t="shared" si="4"/>
        <v>0.34365781710914456</v>
      </c>
      <c r="AB64">
        <f t="shared" si="7"/>
        <v>678</v>
      </c>
    </row>
    <row r="65" spans="1:28" x14ac:dyDescent="0.25">
      <c r="A65">
        <v>680</v>
      </c>
      <c r="B65">
        <v>1</v>
      </c>
      <c r="C65">
        <v>1</v>
      </c>
      <c r="D65" t="s">
        <v>342</v>
      </c>
      <c r="E65" s="4">
        <f>LEN(D65)</f>
        <v>34</v>
      </c>
      <c r="F65" t="s">
        <v>24</v>
      </c>
      <c r="G65">
        <v>36</v>
      </c>
      <c r="H65">
        <v>0</v>
      </c>
      <c r="I65">
        <v>1</v>
      </c>
      <c r="J65" t="s">
        <v>169</v>
      </c>
      <c r="K65">
        <v>512.32920000000001</v>
      </c>
      <c r="L65" t="s">
        <v>343</v>
      </c>
      <c r="M65" s="6" t="str">
        <f t="shared" si="0"/>
        <v xml:space="preserve">51 </v>
      </c>
      <c r="N65" s="7">
        <f t="shared" si="2"/>
        <v>51</v>
      </c>
      <c r="O65" t="str">
        <f t="shared" si="1"/>
        <v>PC</v>
      </c>
      <c r="P65" s="4" t="str">
        <f>LEFT(L65,1)</f>
        <v>B</v>
      </c>
      <c r="Q65" t="s">
        <v>17</v>
      </c>
      <c r="U65" s="3" t="s">
        <v>1259</v>
      </c>
      <c r="V65" s="2">
        <v>53</v>
      </c>
      <c r="W65" s="2">
        <v>65</v>
      </c>
      <c r="X65" s="2">
        <v>118</v>
      </c>
      <c r="Z65" t="str">
        <f t="shared" si="6"/>
        <v>1-1</v>
      </c>
      <c r="AA65" s="5">
        <f t="shared" si="4"/>
        <v>0.55084745762711862</v>
      </c>
      <c r="AB65">
        <f t="shared" si="7"/>
        <v>118</v>
      </c>
    </row>
    <row r="66" spans="1:28" hidden="1" x14ac:dyDescent="0.25">
      <c r="A66">
        <v>564</v>
      </c>
      <c r="B66">
        <v>0</v>
      </c>
      <c r="C66">
        <v>3</v>
      </c>
      <c r="D66" t="s">
        <v>958</v>
      </c>
      <c r="E66" s="4">
        <f>LEN(D66)</f>
        <v>17</v>
      </c>
      <c r="F66" t="s">
        <v>24</v>
      </c>
      <c r="H66">
        <v>0</v>
      </c>
      <c r="I66">
        <v>0</v>
      </c>
      <c r="J66" t="s">
        <v>959</v>
      </c>
      <c r="K66">
        <v>8.0500000000000007</v>
      </c>
      <c r="M66" s="6" t="str">
        <f t="shared" si="0"/>
        <v/>
      </c>
      <c r="N66" s="7" t="str">
        <f t="shared" si="2"/>
        <v/>
      </c>
      <c r="O66" t="str">
        <f t="shared" si="1"/>
        <v>SO</v>
      </c>
      <c r="P66" s="4" t="str">
        <f>LEFT(L66,1)</f>
        <v/>
      </c>
      <c r="Q66" t="s">
        <v>20</v>
      </c>
      <c r="U66" s="3" t="s">
        <v>1260</v>
      </c>
      <c r="V66" s="2">
        <v>42</v>
      </c>
      <c r="W66" s="2">
        <v>43</v>
      </c>
      <c r="X66" s="2">
        <v>85</v>
      </c>
      <c r="Z66" t="str">
        <f t="shared" si="6"/>
        <v>2-3</v>
      </c>
      <c r="AA66" s="5">
        <f t="shared" si="4"/>
        <v>0.50588235294117645</v>
      </c>
      <c r="AB66">
        <f t="shared" si="7"/>
        <v>85</v>
      </c>
    </row>
    <row r="67" spans="1:28" hidden="1" x14ac:dyDescent="0.25">
      <c r="A67">
        <v>885</v>
      </c>
      <c r="B67">
        <v>0</v>
      </c>
      <c r="C67">
        <v>3</v>
      </c>
      <c r="D67" t="s">
        <v>1232</v>
      </c>
      <c r="E67" s="4">
        <f>LEN(D67)</f>
        <v>22</v>
      </c>
      <c r="F67" t="s">
        <v>24</v>
      </c>
      <c r="G67">
        <v>25</v>
      </c>
      <c r="H67">
        <v>0</v>
      </c>
      <c r="I67">
        <v>0</v>
      </c>
      <c r="J67" t="s">
        <v>1233</v>
      </c>
      <c r="K67">
        <v>7.05</v>
      </c>
      <c r="M67" s="6" t="str">
        <f t="shared" ref="M67:M130" si="8">IF(LEN(L67)&gt;3,RIGHT((LEFT(L67,4)),3),IF(LEN(L67)=3,RIGHT(L67,2),RIGHT(L67,1)))</f>
        <v/>
      </c>
      <c r="N67" s="7" t="str">
        <f t="shared" si="2"/>
        <v/>
      </c>
      <c r="O67" t="str">
        <f t="shared" ref="O67:O130" si="9">LEFT(J67,2)</f>
        <v>SO</v>
      </c>
      <c r="P67" s="4" t="str">
        <f>LEFT(L67,1)</f>
        <v/>
      </c>
      <c r="Q67" t="s">
        <v>20</v>
      </c>
      <c r="U67" s="3" t="s">
        <v>1261</v>
      </c>
      <c r="V67" s="2">
        <v>9</v>
      </c>
      <c r="W67" s="2">
        <v>1</v>
      </c>
      <c r="X67" s="2">
        <v>10</v>
      </c>
      <c r="Z67" t="str">
        <f t="shared" si="6"/>
        <v>&gt;3</v>
      </c>
      <c r="AA67" s="5">
        <f t="shared" si="4"/>
        <v>0.1</v>
      </c>
      <c r="AB67">
        <f t="shared" si="7"/>
        <v>10</v>
      </c>
    </row>
    <row r="68" spans="1:28" hidden="1" x14ac:dyDescent="0.25">
      <c r="A68">
        <v>492</v>
      </c>
      <c r="B68">
        <v>0</v>
      </c>
      <c r="C68">
        <v>3</v>
      </c>
      <c r="D68" t="s">
        <v>981</v>
      </c>
      <c r="E68" s="4">
        <f>LEN(D68)</f>
        <v>19</v>
      </c>
      <c r="F68" t="s">
        <v>24</v>
      </c>
      <c r="G68">
        <v>21</v>
      </c>
      <c r="H68">
        <v>0</v>
      </c>
      <c r="I68">
        <v>0</v>
      </c>
      <c r="J68" t="s">
        <v>982</v>
      </c>
      <c r="K68">
        <v>7.25</v>
      </c>
      <c r="M68" s="6" t="str">
        <f t="shared" si="8"/>
        <v/>
      </c>
      <c r="N68" s="7" t="str">
        <f t="shared" ref="N68:N131" si="10">IF(LEN(M68)&gt;1, M68+0,"")</f>
        <v/>
      </c>
      <c r="O68" t="str">
        <f t="shared" si="9"/>
        <v>SO</v>
      </c>
      <c r="P68" s="4" t="str">
        <f>LEFT(L68,1)</f>
        <v/>
      </c>
      <c r="Q68" t="s">
        <v>20</v>
      </c>
      <c r="U68" s="3" t="s">
        <v>80</v>
      </c>
      <c r="V68" s="2">
        <v>549</v>
      </c>
      <c r="W68" s="2">
        <v>342</v>
      </c>
      <c r="X68" s="2">
        <v>891</v>
      </c>
    </row>
    <row r="69" spans="1:28" hidden="1" x14ac:dyDescent="0.25">
      <c r="A69">
        <v>512</v>
      </c>
      <c r="B69">
        <v>0</v>
      </c>
      <c r="C69">
        <v>3</v>
      </c>
      <c r="D69" t="s">
        <v>954</v>
      </c>
      <c r="E69" s="4">
        <f>LEN(D69)</f>
        <v>17</v>
      </c>
      <c r="F69" t="s">
        <v>24</v>
      </c>
      <c r="H69">
        <v>0</v>
      </c>
      <c r="I69">
        <v>0</v>
      </c>
      <c r="J69" t="s">
        <v>955</v>
      </c>
      <c r="K69">
        <v>8.0500000000000007</v>
      </c>
      <c r="M69" s="6" t="str">
        <f t="shared" si="8"/>
        <v/>
      </c>
      <c r="N69" s="7" t="str">
        <f t="shared" si="10"/>
        <v/>
      </c>
      <c r="O69" t="str">
        <f t="shared" si="9"/>
        <v>SO</v>
      </c>
      <c r="P69" s="4" t="str">
        <f>LEFT(L69,1)</f>
        <v/>
      </c>
      <c r="Q69" t="s">
        <v>20</v>
      </c>
    </row>
    <row r="70" spans="1:28" hidden="1" x14ac:dyDescent="0.25">
      <c r="A70">
        <v>841</v>
      </c>
      <c r="B70">
        <v>0</v>
      </c>
      <c r="C70">
        <v>3</v>
      </c>
      <c r="D70" t="s">
        <v>1211</v>
      </c>
      <c r="E70" s="4">
        <f>LEN(D70)</f>
        <v>27</v>
      </c>
      <c r="F70" t="s">
        <v>24</v>
      </c>
      <c r="G70">
        <v>20</v>
      </c>
      <c r="H70">
        <v>0</v>
      </c>
      <c r="I70">
        <v>0</v>
      </c>
      <c r="J70" t="s">
        <v>1212</v>
      </c>
      <c r="K70">
        <v>7.9249999999999998</v>
      </c>
      <c r="M70" s="6" t="str">
        <f t="shared" si="8"/>
        <v/>
      </c>
      <c r="N70" s="7" t="str">
        <f t="shared" si="10"/>
        <v/>
      </c>
      <c r="O70" t="str">
        <f t="shared" si="9"/>
        <v>SO</v>
      </c>
      <c r="P70" s="4" t="str">
        <f>LEFT(L70,1)</f>
        <v/>
      </c>
      <c r="Q70" t="s">
        <v>20</v>
      </c>
    </row>
    <row r="71" spans="1:28" hidden="1" x14ac:dyDescent="0.25">
      <c r="A71">
        <v>762</v>
      </c>
      <c r="B71">
        <v>0</v>
      </c>
      <c r="C71">
        <v>3</v>
      </c>
      <c r="D71" t="s">
        <v>1153</v>
      </c>
      <c r="E71" s="4">
        <f>LEN(D71)</f>
        <v>30</v>
      </c>
      <c r="F71" t="s">
        <v>24</v>
      </c>
      <c r="G71">
        <v>41</v>
      </c>
      <c r="H71">
        <v>0</v>
      </c>
      <c r="I71">
        <v>0</v>
      </c>
      <c r="J71" t="s">
        <v>1154</v>
      </c>
      <c r="K71">
        <v>7.125</v>
      </c>
      <c r="M71" s="6" t="str">
        <f t="shared" si="8"/>
        <v/>
      </c>
      <c r="N71" s="7" t="str">
        <f t="shared" si="10"/>
        <v/>
      </c>
      <c r="O71" t="str">
        <f t="shared" si="9"/>
        <v>SO</v>
      </c>
      <c r="P71" s="4" t="str">
        <f>LEFT(L71,1)</f>
        <v/>
      </c>
      <c r="Q71" t="s">
        <v>20</v>
      </c>
    </row>
    <row r="72" spans="1:28" hidden="1" x14ac:dyDescent="0.25">
      <c r="A72">
        <v>565</v>
      </c>
      <c r="B72">
        <v>0</v>
      </c>
      <c r="C72">
        <v>3</v>
      </c>
      <c r="D72" t="s">
        <v>960</v>
      </c>
      <c r="E72" s="4">
        <f>LEN(D72)</f>
        <v>30</v>
      </c>
      <c r="F72" t="s">
        <v>14</v>
      </c>
      <c r="H72">
        <v>0</v>
      </c>
      <c r="I72">
        <v>0</v>
      </c>
      <c r="J72" t="s">
        <v>961</v>
      </c>
      <c r="K72">
        <v>8.0500000000000007</v>
      </c>
      <c r="M72" s="6" t="str">
        <f t="shared" si="8"/>
        <v/>
      </c>
      <c r="N72" s="7" t="str">
        <f t="shared" si="10"/>
        <v/>
      </c>
      <c r="O72" t="str">
        <f t="shared" si="9"/>
        <v>SO</v>
      </c>
      <c r="P72" s="4" t="str">
        <f>LEFT(L72,1)</f>
        <v/>
      </c>
      <c r="Q72" t="s">
        <v>20</v>
      </c>
    </row>
    <row r="73" spans="1:28" x14ac:dyDescent="0.25">
      <c r="A73">
        <v>430</v>
      </c>
      <c r="B73">
        <v>1</v>
      </c>
      <c r="C73">
        <v>3</v>
      </c>
      <c r="D73" t="s">
        <v>933</v>
      </c>
      <c r="E73" s="4">
        <f>LEN(D73)</f>
        <v>34</v>
      </c>
      <c r="F73" t="s">
        <v>24</v>
      </c>
      <c r="G73">
        <v>32</v>
      </c>
      <c r="H73">
        <v>0</v>
      </c>
      <c r="I73">
        <v>0</v>
      </c>
      <c r="J73" t="s">
        <v>934</v>
      </c>
      <c r="K73">
        <v>8.0500000000000007</v>
      </c>
      <c r="L73" t="s">
        <v>935</v>
      </c>
      <c r="M73" s="6" t="str">
        <f t="shared" si="8"/>
        <v>10</v>
      </c>
      <c r="N73" s="7">
        <f t="shared" si="10"/>
        <v>10</v>
      </c>
      <c r="O73" t="str">
        <f t="shared" si="9"/>
        <v>SO</v>
      </c>
      <c r="P73" s="4" t="str">
        <f>LEFT(L73,1)</f>
        <v>E</v>
      </c>
      <c r="Q73" t="s">
        <v>20</v>
      </c>
    </row>
    <row r="74" spans="1:28" hidden="1" x14ac:dyDescent="0.25">
      <c r="A74">
        <v>785</v>
      </c>
      <c r="B74">
        <v>0</v>
      </c>
      <c r="C74">
        <v>3</v>
      </c>
      <c r="D74" t="s">
        <v>1170</v>
      </c>
      <c r="E74" s="4">
        <f>LEN(D74)</f>
        <v>16</v>
      </c>
      <c r="F74" t="s">
        <v>24</v>
      </c>
      <c r="G74">
        <v>25</v>
      </c>
      <c r="H74">
        <v>0</v>
      </c>
      <c r="I74">
        <v>0</v>
      </c>
      <c r="J74" t="s">
        <v>1171</v>
      </c>
      <c r="K74">
        <v>7.05</v>
      </c>
      <c r="M74" s="6" t="str">
        <f t="shared" si="8"/>
        <v/>
      </c>
      <c r="N74" s="7" t="str">
        <f t="shared" si="10"/>
        <v/>
      </c>
      <c r="O74" t="str">
        <f t="shared" si="9"/>
        <v>SO</v>
      </c>
      <c r="P74" s="4" t="str">
        <f>LEFT(L74,1)</f>
        <v/>
      </c>
      <c r="Q74" t="s">
        <v>20</v>
      </c>
    </row>
    <row r="75" spans="1:28" hidden="1" x14ac:dyDescent="0.25">
      <c r="A75">
        <v>211</v>
      </c>
      <c r="B75">
        <v>0</v>
      </c>
      <c r="C75">
        <v>3</v>
      </c>
      <c r="D75" t="s">
        <v>789</v>
      </c>
      <c r="E75" s="4">
        <f>LEN(D75)</f>
        <v>14</v>
      </c>
      <c r="F75" t="s">
        <v>24</v>
      </c>
      <c r="G75">
        <v>24</v>
      </c>
      <c r="H75">
        <v>0</v>
      </c>
      <c r="I75">
        <v>0</v>
      </c>
      <c r="J75" t="s">
        <v>790</v>
      </c>
      <c r="K75">
        <v>7.05</v>
      </c>
      <c r="M75" s="6" t="str">
        <f t="shared" si="8"/>
        <v/>
      </c>
      <c r="N75" s="7" t="str">
        <f t="shared" si="10"/>
        <v/>
      </c>
      <c r="O75" t="str">
        <f t="shared" si="9"/>
        <v>SO</v>
      </c>
      <c r="P75" s="4" t="str">
        <f>LEFT(L75,1)</f>
        <v/>
      </c>
      <c r="Q75" t="s">
        <v>20</v>
      </c>
    </row>
    <row r="76" spans="1:28" x14ac:dyDescent="0.25">
      <c r="A76">
        <v>738</v>
      </c>
      <c r="B76">
        <v>1</v>
      </c>
      <c r="C76">
        <v>1</v>
      </c>
      <c r="D76" t="s">
        <v>369</v>
      </c>
      <c r="E76" s="4">
        <f>LEN(D76)</f>
        <v>22</v>
      </c>
      <c r="F76" t="s">
        <v>24</v>
      </c>
      <c r="G76">
        <v>35</v>
      </c>
      <c r="H76">
        <v>0</v>
      </c>
      <c r="I76">
        <v>0</v>
      </c>
      <c r="J76" t="s">
        <v>169</v>
      </c>
      <c r="K76">
        <v>512.32920000000001</v>
      </c>
      <c r="L76" t="s">
        <v>370</v>
      </c>
      <c r="M76" s="6" t="str">
        <f t="shared" si="8"/>
        <v>101</v>
      </c>
      <c r="N76" s="7">
        <f t="shared" si="10"/>
        <v>101</v>
      </c>
      <c r="O76" t="str">
        <f t="shared" si="9"/>
        <v>PC</v>
      </c>
      <c r="P76" s="4" t="str">
        <f>LEFT(L76,1)</f>
        <v>B</v>
      </c>
      <c r="Q76" t="s">
        <v>17</v>
      </c>
    </row>
    <row r="77" spans="1:28" x14ac:dyDescent="0.25">
      <c r="A77">
        <v>97</v>
      </c>
      <c r="B77">
        <v>0</v>
      </c>
      <c r="C77">
        <v>1</v>
      </c>
      <c r="D77" t="s">
        <v>83</v>
      </c>
      <c r="E77" s="4">
        <f>LEN(D77)</f>
        <v>25</v>
      </c>
      <c r="F77" t="s">
        <v>24</v>
      </c>
      <c r="G77">
        <v>71</v>
      </c>
      <c r="H77">
        <v>0</v>
      </c>
      <c r="I77">
        <v>0</v>
      </c>
      <c r="J77" t="s">
        <v>84</v>
      </c>
      <c r="K77">
        <v>34.654200000000003</v>
      </c>
      <c r="L77" t="s">
        <v>85</v>
      </c>
      <c r="M77" s="6" t="str">
        <f t="shared" si="8"/>
        <v>5</v>
      </c>
      <c r="N77" s="7" t="str">
        <f t="shared" si="10"/>
        <v/>
      </c>
      <c r="O77" t="str">
        <f t="shared" si="9"/>
        <v>PC</v>
      </c>
      <c r="P77" s="4" t="str">
        <f>LEFT(L77,1)</f>
        <v>A</v>
      </c>
      <c r="Q77" t="s">
        <v>17</v>
      </c>
      <c r="Y77" s="1"/>
    </row>
    <row r="78" spans="1:28" hidden="1" x14ac:dyDescent="0.25">
      <c r="A78">
        <v>364</v>
      </c>
      <c r="B78">
        <v>0</v>
      </c>
      <c r="C78">
        <v>3</v>
      </c>
      <c r="D78" t="s">
        <v>884</v>
      </c>
      <c r="E78" s="4">
        <f>LEN(D78)</f>
        <v>15</v>
      </c>
      <c r="F78" t="s">
        <v>24</v>
      </c>
      <c r="G78">
        <v>35</v>
      </c>
      <c r="H78">
        <v>0</v>
      </c>
      <c r="I78">
        <v>0</v>
      </c>
      <c r="J78" t="s">
        <v>885</v>
      </c>
      <c r="K78">
        <v>7.05</v>
      </c>
      <c r="M78" s="6" t="str">
        <f t="shared" si="8"/>
        <v/>
      </c>
      <c r="N78" s="7" t="str">
        <f t="shared" si="10"/>
        <v/>
      </c>
      <c r="O78" t="str">
        <f t="shared" si="9"/>
        <v>SO</v>
      </c>
      <c r="P78" s="4" t="str">
        <f>LEFT(L78,1)</f>
        <v/>
      </c>
      <c r="Q78" t="s">
        <v>20</v>
      </c>
    </row>
    <row r="79" spans="1:28" hidden="1" x14ac:dyDescent="0.25">
      <c r="A79">
        <v>132</v>
      </c>
      <c r="B79">
        <v>0</v>
      </c>
      <c r="C79">
        <v>3</v>
      </c>
      <c r="D79" t="s">
        <v>739</v>
      </c>
      <c r="E79" s="4">
        <f>LEN(D79)</f>
        <v>30</v>
      </c>
      <c r="F79" t="s">
        <v>24</v>
      </c>
      <c r="G79">
        <v>20</v>
      </c>
      <c r="H79">
        <v>0</v>
      </c>
      <c r="I79">
        <v>0</v>
      </c>
      <c r="J79" t="s">
        <v>740</v>
      </c>
      <c r="K79">
        <v>7.05</v>
      </c>
      <c r="M79" s="6" t="str">
        <f t="shared" si="8"/>
        <v/>
      </c>
      <c r="N79" s="7" t="str">
        <f t="shared" si="10"/>
        <v/>
      </c>
      <c r="O79" t="str">
        <f t="shared" si="9"/>
        <v>SO</v>
      </c>
      <c r="P79" s="4" t="str">
        <f>LEFT(L79,1)</f>
        <v/>
      </c>
      <c r="Q79" t="s">
        <v>20</v>
      </c>
    </row>
    <row r="80" spans="1:28" hidden="1" x14ac:dyDescent="0.25">
      <c r="A80">
        <v>296</v>
      </c>
      <c r="B80">
        <v>0</v>
      </c>
      <c r="C80">
        <v>1</v>
      </c>
      <c r="D80" t="s">
        <v>132</v>
      </c>
      <c r="E80" s="4">
        <f>LEN(D80)</f>
        <v>17</v>
      </c>
      <c r="F80" t="s">
        <v>24</v>
      </c>
      <c r="H80">
        <v>0</v>
      </c>
      <c r="I80">
        <v>0</v>
      </c>
      <c r="J80" t="s">
        <v>133</v>
      </c>
      <c r="K80">
        <v>27.720800000000001</v>
      </c>
      <c r="M80" s="6" t="str">
        <f t="shared" si="8"/>
        <v/>
      </c>
      <c r="N80" s="7" t="str">
        <f t="shared" si="10"/>
        <v/>
      </c>
      <c r="O80" t="str">
        <f t="shared" si="9"/>
        <v>PC</v>
      </c>
      <c r="P80" s="4" t="str">
        <f>LEFT(L80,1)</f>
        <v/>
      </c>
      <c r="Q80" t="s">
        <v>17</v>
      </c>
    </row>
    <row r="81" spans="1:17" hidden="1" x14ac:dyDescent="0.25">
      <c r="A81">
        <v>466</v>
      </c>
      <c r="B81">
        <v>0</v>
      </c>
      <c r="C81">
        <v>3</v>
      </c>
      <c r="D81" t="s">
        <v>956</v>
      </c>
      <c r="E81" s="4">
        <f>LEN(D81)</f>
        <v>31</v>
      </c>
      <c r="F81" t="s">
        <v>24</v>
      </c>
      <c r="G81">
        <v>38</v>
      </c>
      <c r="H81">
        <v>0</v>
      </c>
      <c r="I81">
        <v>0</v>
      </c>
      <c r="J81" t="s">
        <v>957</v>
      </c>
      <c r="K81">
        <v>7.05</v>
      </c>
      <c r="M81" s="6" t="str">
        <f t="shared" si="8"/>
        <v/>
      </c>
      <c r="N81" s="7" t="str">
        <f t="shared" si="10"/>
        <v/>
      </c>
      <c r="O81" t="str">
        <f t="shared" si="9"/>
        <v>SO</v>
      </c>
      <c r="P81" s="4" t="str">
        <f>LEFT(L81,1)</f>
        <v/>
      </c>
      <c r="Q81" t="s">
        <v>20</v>
      </c>
    </row>
    <row r="82" spans="1:17" x14ac:dyDescent="0.25">
      <c r="A82">
        <v>195</v>
      </c>
      <c r="B82">
        <v>1</v>
      </c>
      <c r="C82">
        <v>1</v>
      </c>
      <c r="D82" t="s">
        <v>145</v>
      </c>
      <c r="E82" s="4">
        <f>LEN(D82)</f>
        <v>41</v>
      </c>
      <c r="F82" t="s">
        <v>14</v>
      </c>
      <c r="G82">
        <v>44</v>
      </c>
      <c r="H82">
        <v>0</v>
      </c>
      <c r="I82">
        <v>0</v>
      </c>
      <c r="J82" t="s">
        <v>146</v>
      </c>
      <c r="K82">
        <v>27.720800000000001</v>
      </c>
      <c r="L82" t="s">
        <v>147</v>
      </c>
      <c r="M82" s="6" t="str">
        <f t="shared" si="8"/>
        <v>4</v>
      </c>
      <c r="N82" s="7" t="str">
        <f t="shared" si="10"/>
        <v/>
      </c>
      <c r="O82" t="str">
        <f t="shared" si="9"/>
        <v>PC</v>
      </c>
      <c r="P82" s="4" t="str">
        <f>LEFT(L82,1)</f>
        <v>B</v>
      </c>
      <c r="Q82" t="s">
        <v>17</v>
      </c>
    </row>
    <row r="83" spans="1:17" hidden="1" x14ac:dyDescent="0.25">
      <c r="A83">
        <v>612</v>
      </c>
      <c r="B83">
        <v>0</v>
      </c>
      <c r="C83">
        <v>3</v>
      </c>
      <c r="D83" t="s">
        <v>1202</v>
      </c>
      <c r="E83" s="4">
        <f>LEN(D83)</f>
        <v>21</v>
      </c>
      <c r="F83" t="s">
        <v>24</v>
      </c>
      <c r="H83">
        <v>0</v>
      </c>
      <c r="I83">
        <v>0</v>
      </c>
      <c r="J83" t="s">
        <v>1203</v>
      </c>
      <c r="K83">
        <v>7.05</v>
      </c>
      <c r="M83" s="6" t="str">
        <f t="shared" si="8"/>
        <v/>
      </c>
      <c r="N83" s="7" t="str">
        <f t="shared" si="10"/>
        <v/>
      </c>
      <c r="O83" t="str">
        <f t="shared" si="9"/>
        <v>SO</v>
      </c>
      <c r="P83" s="4" t="str">
        <f>LEFT(L83,1)</f>
        <v/>
      </c>
      <c r="Q83" t="s">
        <v>20</v>
      </c>
    </row>
    <row r="84" spans="1:17" hidden="1" x14ac:dyDescent="0.25">
      <c r="A84">
        <v>494</v>
      </c>
      <c r="B84">
        <v>0</v>
      </c>
      <c r="C84">
        <v>1</v>
      </c>
      <c r="D84" t="s">
        <v>265</v>
      </c>
      <c r="E84" s="4">
        <f>LEN(D84)</f>
        <v>23</v>
      </c>
      <c r="F84" t="s">
        <v>24</v>
      </c>
      <c r="G84">
        <v>71</v>
      </c>
      <c r="H84">
        <v>0</v>
      </c>
      <c r="I84">
        <v>0</v>
      </c>
      <c r="J84" t="s">
        <v>266</v>
      </c>
      <c r="K84">
        <v>49.504199999999997</v>
      </c>
      <c r="M84" s="6" t="str">
        <f t="shared" si="8"/>
        <v/>
      </c>
      <c r="N84" s="7" t="str">
        <f t="shared" si="10"/>
        <v/>
      </c>
      <c r="O84" t="str">
        <f t="shared" si="9"/>
        <v>PC</v>
      </c>
      <c r="P84" s="4" t="str">
        <f>LEFT(L84,1)</f>
        <v/>
      </c>
      <c r="Q84" t="s">
        <v>17</v>
      </c>
    </row>
    <row r="85" spans="1:17" x14ac:dyDescent="0.25">
      <c r="A85">
        <v>312</v>
      </c>
      <c r="B85">
        <v>1</v>
      </c>
      <c r="C85">
        <v>1</v>
      </c>
      <c r="D85" t="s">
        <v>203</v>
      </c>
      <c r="E85" s="4">
        <f>LEN(D85)</f>
        <v>26</v>
      </c>
      <c r="F85" t="s">
        <v>14</v>
      </c>
      <c r="G85">
        <v>18</v>
      </c>
      <c r="H85">
        <v>2</v>
      </c>
      <c r="I85">
        <v>2</v>
      </c>
      <c r="J85" t="s">
        <v>204</v>
      </c>
      <c r="K85">
        <v>262.375</v>
      </c>
      <c r="L85" t="s">
        <v>205</v>
      </c>
      <c r="M85" s="6" t="str">
        <f t="shared" si="8"/>
        <v xml:space="preserve">57 </v>
      </c>
      <c r="N85" s="7">
        <f t="shared" si="10"/>
        <v>57</v>
      </c>
      <c r="O85" t="str">
        <f t="shared" si="9"/>
        <v>PC</v>
      </c>
      <c r="P85" s="4" t="str">
        <f>LEFT(L85,1)</f>
        <v>B</v>
      </c>
      <c r="Q85" t="s">
        <v>17</v>
      </c>
    </row>
    <row r="86" spans="1:17" x14ac:dyDescent="0.25">
      <c r="A86">
        <v>743</v>
      </c>
      <c r="B86">
        <v>1</v>
      </c>
      <c r="C86">
        <v>1</v>
      </c>
      <c r="D86" t="s">
        <v>373</v>
      </c>
      <c r="E86" s="4">
        <f>LEN(D86)</f>
        <v>37</v>
      </c>
      <c r="F86" t="s">
        <v>14</v>
      </c>
      <c r="G86">
        <v>21</v>
      </c>
      <c r="H86">
        <v>2</v>
      </c>
      <c r="I86">
        <v>2</v>
      </c>
      <c r="J86" t="s">
        <v>204</v>
      </c>
      <c r="K86">
        <v>262.375</v>
      </c>
      <c r="L86" t="s">
        <v>205</v>
      </c>
      <c r="M86" s="6" t="str">
        <f t="shared" si="8"/>
        <v xml:space="preserve">57 </v>
      </c>
      <c r="N86" s="7">
        <f t="shared" si="10"/>
        <v>57</v>
      </c>
      <c r="O86" t="str">
        <f t="shared" si="9"/>
        <v>PC</v>
      </c>
      <c r="P86" s="4" t="str">
        <f>LEFT(L86,1)</f>
        <v>B</v>
      </c>
      <c r="Q86" t="s">
        <v>17</v>
      </c>
    </row>
    <row r="87" spans="1:17" hidden="1" x14ac:dyDescent="0.25">
      <c r="A87">
        <v>85</v>
      </c>
      <c r="B87">
        <v>1</v>
      </c>
      <c r="C87">
        <v>2</v>
      </c>
      <c r="D87" t="s">
        <v>446</v>
      </c>
      <c r="E87" s="4">
        <f>LEN(D87)</f>
        <v>19</v>
      </c>
      <c r="F87" t="s">
        <v>14</v>
      </c>
      <c r="G87">
        <v>17</v>
      </c>
      <c r="H87">
        <v>0</v>
      </c>
      <c r="I87">
        <v>0</v>
      </c>
      <c r="J87" t="s">
        <v>447</v>
      </c>
      <c r="K87">
        <v>10.5</v>
      </c>
      <c r="M87" s="6" t="str">
        <f t="shared" si="8"/>
        <v/>
      </c>
      <c r="N87" s="7" t="str">
        <f t="shared" si="10"/>
        <v/>
      </c>
      <c r="O87" t="str">
        <f t="shared" si="9"/>
        <v>SO</v>
      </c>
      <c r="P87" s="4" t="str">
        <f>LEFT(L87,1)</f>
        <v/>
      </c>
      <c r="Q87" t="s">
        <v>20</v>
      </c>
    </row>
    <row r="88" spans="1:17" hidden="1" x14ac:dyDescent="0.25">
      <c r="A88">
        <v>240</v>
      </c>
      <c r="B88">
        <v>0</v>
      </c>
      <c r="C88">
        <v>2</v>
      </c>
      <c r="D88" t="s">
        <v>495</v>
      </c>
      <c r="E88" s="4">
        <f>LEN(D88)</f>
        <v>22</v>
      </c>
      <c r="F88" t="s">
        <v>24</v>
      </c>
      <c r="G88">
        <v>33</v>
      </c>
      <c r="H88">
        <v>0</v>
      </c>
      <c r="I88">
        <v>0</v>
      </c>
      <c r="J88" t="s">
        <v>496</v>
      </c>
      <c r="K88">
        <v>12.275</v>
      </c>
      <c r="M88" s="6" t="str">
        <f t="shared" si="8"/>
        <v/>
      </c>
      <c r="N88" s="7" t="str">
        <f t="shared" si="10"/>
        <v/>
      </c>
      <c r="O88" t="str">
        <f t="shared" si="9"/>
        <v>SC</v>
      </c>
      <c r="P88" s="4" t="str">
        <f>LEFT(L88,1)</f>
        <v/>
      </c>
      <c r="Q88" t="s">
        <v>20</v>
      </c>
    </row>
    <row r="89" spans="1:17" hidden="1" x14ac:dyDescent="0.25">
      <c r="A89">
        <v>65</v>
      </c>
      <c r="B89">
        <v>0</v>
      </c>
      <c r="C89">
        <v>1</v>
      </c>
      <c r="D89" t="s">
        <v>126</v>
      </c>
      <c r="E89" s="4">
        <f>LEN(D89)</f>
        <v>21</v>
      </c>
      <c r="F89" t="s">
        <v>24</v>
      </c>
      <c r="H89">
        <v>0</v>
      </c>
      <c r="I89">
        <v>0</v>
      </c>
      <c r="J89" t="s">
        <v>127</v>
      </c>
      <c r="K89">
        <v>27.720800000000001</v>
      </c>
      <c r="M89" s="6" t="str">
        <f t="shared" si="8"/>
        <v/>
      </c>
      <c r="N89" s="7" t="str">
        <f t="shared" si="10"/>
        <v/>
      </c>
      <c r="O89" t="str">
        <f t="shared" si="9"/>
        <v>PC</v>
      </c>
      <c r="P89" s="4" t="str">
        <f>LEFT(L89,1)</f>
        <v/>
      </c>
      <c r="Q89" t="s">
        <v>17</v>
      </c>
    </row>
    <row r="90" spans="1:17" hidden="1" x14ac:dyDescent="0.25">
      <c r="A90">
        <v>376</v>
      </c>
      <c r="B90">
        <v>1</v>
      </c>
      <c r="C90">
        <v>1</v>
      </c>
      <c r="D90" t="s">
        <v>53</v>
      </c>
      <c r="E90" s="4">
        <f>LEN(D90)</f>
        <v>37</v>
      </c>
      <c r="F90" t="s">
        <v>14</v>
      </c>
      <c r="H90">
        <v>1</v>
      </c>
      <c r="I90">
        <v>0</v>
      </c>
      <c r="J90" t="s">
        <v>54</v>
      </c>
      <c r="K90">
        <v>82.1708</v>
      </c>
      <c r="M90" s="6" t="str">
        <f t="shared" si="8"/>
        <v/>
      </c>
      <c r="N90" s="7" t="str">
        <f t="shared" si="10"/>
        <v/>
      </c>
      <c r="O90" t="str">
        <f t="shared" si="9"/>
        <v>PC</v>
      </c>
      <c r="P90" s="4" t="str">
        <f>LEFT(L90,1)</f>
        <v/>
      </c>
      <c r="Q90" t="s">
        <v>17</v>
      </c>
    </row>
    <row r="91" spans="1:17" hidden="1" x14ac:dyDescent="0.25">
      <c r="A91">
        <v>35</v>
      </c>
      <c r="B91">
        <v>0</v>
      </c>
      <c r="C91">
        <v>1</v>
      </c>
      <c r="D91" t="s">
        <v>57</v>
      </c>
      <c r="E91" s="4">
        <f>LEN(D91)</f>
        <v>23</v>
      </c>
      <c r="F91" t="s">
        <v>24</v>
      </c>
      <c r="G91">
        <v>28</v>
      </c>
      <c r="H91">
        <v>1</v>
      </c>
      <c r="I91">
        <v>0</v>
      </c>
      <c r="J91" t="s">
        <v>54</v>
      </c>
      <c r="K91">
        <v>82.1708</v>
      </c>
      <c r="M91" s="6" t="str">
        <f t="shared" si="8"/>
        <v/>
      </c>
      <c r="N91" s="7" t="str">
        <f t="shared" si="10"/>
        <v/>
      </c>
      <c r="O91" t="str">
        <f t="shared" si="9"/>
        <v>PC</v>
      </c>
      <c r="P91" s="4" t="str">
        <f>LEFT(L91,1)</f>
        <v/>
      </c>
      <c r="Q91" t="s">
        <v>17</v>
      </c>
    </row>
    <row r="92" spans="1:17" hidden="1" x14ac:dyDescent="0.25">
      <c r="A92">
        <v>433</v>
      </c>
      <c r="B92">
        <v>1</v>
      </c>
      <c r="C92">
        <v>2</v>
      </c>
      <c r="D92" t="s">
        <v>547</v>
      </c>
      <c r="E92" s="4">
        <f>LEN(D92)</f>
        <v>51</v>
      </c>
      <c r="F92" t="s">
        <v>14</v>
      </c>
      <c r="G92">
        <v>42</v>
      </c>
      <c r="H92">
        <v>1</v>
      </c>
      <c r="I92">
        <v>0</v>
      </c>
      <c r="J92" t="s">
        <v>548</v>
      </c>
      <c r="K92">
        <v>26</v>
      </c>
      <c r="M92" s="6" t="str">
        <f t="shared" si="8"/>
        <v/>
      </c>
      <c r="N92" s="7" t="str">
        <f t="shared" si="10"/>
        <v/>
      </c>
      <c r="O92" t="str">
        <f t="shared" si="9"/>
        <v>SC</v>
      </c>
      <c r="P92" s="4" t="str">
        <f>LEFT(L92,1)</f>
        <v/>
      </c>
      <c r="Q92" t="s">
        <v>20</v>
      </c>
    </row>
    <row r="93" spans="1:17" hidden="1" x14ac:dyDescent="0.25">
      <c r="A93">
        <v>595</v>
      </c>
      <c r="B93">
        <v>0</v>
      </c>
      <c r="C93">
        <v>2</v>
      </c>
      <c r="D93" t="s">
        <v>583</v>
      </c>
      <c r="E93" s="4">
        <f>LEN(D93)</f>
        <v>23</v>
      </c>
      <c r="F93" t="s">
        <v>24</v>
      </c>
      <c r="G93">
        <v>37</v>
      </c>
      <c r="H93">
        <v>1</v>
      </c>
      <c r="I93">
        <v>0</v>
      </c>
      <c r="J93" t="s">
        <v>584</v>
      </c>
      <c r="K93">
        <v>26</v>
      </c>
      <c r="M93" s="6" t="str">
        <f t="shared" si="8"/>
        <v/>
      </c>
      <c r="N93" s="7" t="str">
        <f t="shared" si="10"/>
        <v/>
      </c>
      <c r="O93" t="str">
        <f t="shared" si="9"/>
        <v>SC</v>
      </c>
      <c r="P93" s="4" t="str">
        <f>LEFT(L93,1)</f>
        <v/>
      </c>
      <c r="Q93" t="s">
        <v>20</v>
      </c>
    </row>
    <row r="94" spans="1:17" hidden="1" x14ac:dyDescent="0.25">
      <c r="A94">
        <v>571</v>
      </c>
      <c r="B94">
        <v>1</v>
      </c>
      <c r="C94">
        <v>2</v>
      </c>
      <c r="D94" t="s">
        <v>577</v>
      </c>
      <c r="E94" s="4">
        <f>LEN(D94)</f>
        <v>18</v>
      </c>
      <c r="F94" t="s">
        <v>24</v>
      </c>
      <c r="G94">
        <v>62</v>
      </c>
      <c r="H94">
        <v>0</v>
      </c>
      <c r="I94">
        <v>0</v>
      </c>
      <c r="J94" t="s">
        <v>578</v>
      </c>
      <c r="K94">
        <v>10.5</v>
      </c>
      <c r="M94" s="6" t="str">
        <f t="shared" si="8"/>
        <v/>
      </c>
      <c r="N94" s="7" t="str">
        <f t="shared" si="10"/>
        <v/>
      </c>
      <c r="O94" t="str">
        <f t="shared" si="9"/>
        <v>S.</v>
      </c>
      <c r="P94" s="4" t="str">
        <f>LEFT(L94,1)</f>
        <v/>
      </c>
      <c r="Q94" t="s">
        <v>20</v>
      </c>
    </row>
    <row r="95" spans="1:17" hidden="1" x14ac:dyDescent="0.25">
      <c r="A95">
        <v>514</v>
      </c>
      <c r="B95">
        <v>1</v>
      </c>
      <c r="C95">
        <v>1</v>
      </c>
      <c r="D95" t="s">
        <v>276</v>
      </c>
      <c r="E95" s="4">
        <f>LEN(D95)</f>
        <v>46</v>
      </c>
      <c r="F95" t="s">
        <v>14</v>
      </c>
      <c r="G95">
        <v>54</v>
      </c>
      <c r="H95">
        <v>1</v>
      </c>
      <c r="I95">
        <v>0</v>
      </c>
      <c r="J95" t="s">
        <v>277</v>
      </c>
      <c r="K95">
        <v>59.4</v>
      </c>
      <c r="M95" s="6" t="str">
        <f t="shared" si="8"/>
        <v/>
      </c>
      <c r="N95" s="7" t="str">
        <f t="shared" si="10"/>
        <v/>
      </c>
      <c r="O95" t="str">
        <f t="shared" si="9"/>
        <v>PC</v>
      </c>
      <c r="P95" s="4" t="str">
        <f>LEFT(L95,1)</f>
        <v/>
      </c>
      <c r="Q95" t="s">
        <v>17</v>
      </c>
    </row>
    <row r="96" spans="1:17" hidden="1" x14ac:dyDescent="0.25">
      <c r="A96">
        <v>31</v>
      </c>
      <c r="B96">
        <v>0</v>
      </c>
      <c r="C96">
        <v>1</v>
      </c>
      <c r="D96" t="s">
        <v>51</v>
      </c>
      <c r="E96" s="4">
        <f>LEN(D96)</f>
        <v>24</v>
      </c>
      <c r="F96" t="s">
        <v>24</v>
      </c>
      <c r="G96">
        <v>40</v>
      </c>
      <c r="H96">
        <v>0</v>
      </c>
      <c r="I96">
        <v>0</v>
      </c>
      <c r="J96" t="s">
        <v>52</v>
      </c>
      <c r="K96">
        <v>27.720800000000001</v>
      </c>
      <c r="M96" s="6" t="str">
        <f t="shared" si="8"/>
        <v/>
      </c>
      <c r="N96" s="7" t="str">
        <f t="shared" si="10"/>
        <v/>
      </c>
      <c r="O96" t="str">
        <f t="shared" si="9"/>
        <v>PC</v>
      </c>
      <c r="P96" s="4" t="str">
        <f>LEFT(L96,1)</f>
        <v/>
      </c>
      <c r="Q96" t="s">
        <v>17</v>
      </c>
    </row>
    <row r="97" spans="1:28" hidden="1" x14ac:dyDescent="0.25">
      <c r="A97">
        <v>68</v>
      </c>
      <c r="B97">
        <v>0</v>
      </c>
      <c r="C97">
        <v>3</v>
      </c>
      <c r="D97" t="s">
        <v>698</v>
      </c>
      <c r="E97" s="4">
        <f>LEN(D97)</f>
        <v>24</v>
      </c>
      <c r="F97" t="s">
        <v>24</v>
      </c>
      <c r="G97">
        <v>19</v>
      </c>
      <c r="H97">
        <v>0</v>
      </c>
      <c r="I97">
        <v>0</v>
      </c>
      <c r="J97" t="s">
        <v>699</v>
      </c>
      <c r="K97">
        <v>8.1583000000000006</v>
      </c>
      <c r="M97" s="6" t="str">
        <f t="shared" si="8"/>
        <v/>
      </c>
      <c r="N97" s="7" t="str">
        <f t="shared" si="10"/>
        <v/>
      </c>
      <c r="O97" t="str">
        <f t="shared" si="9"/>
        <v>S.</v>
      </c>
      <c r="P97" s="4" t="str">
        <f>LEFT(L97,1)</f>
        <v/>
      </c>
      <c r="Q97" t="s">
        <v>20</v>
      </c>
    </row>
    <row r="98" spans="1:28" hidden="1" x14ac:dyDescent="0.25">
      <c r="A98">
        <v>151</v>
      </c>
      <c r="B98">
        <v>0</v>
      </c>
      <c r="C98">
        <v>2</v>
      </c>
      <c r="D98" t="s">
        <v>467</v>
      </c>
      <c r="E98" s="4">
        <f>LEN(D98)</f>
        <v>26</v>
      </c>
      <c r="F98" t="s">
        <v>24</v>
      </c>
      <c r="G98">
        <v>51</v>
      </c>
      <c r="H98">
        <v>0</v>
      </c>
      <c r="I98">
        <v>0</v>
      </c>
      <c r="J98" t="s">
        <v>468</v>
      </c>
      <c r="K98">
        <v>12.525</v>
      </c>
      <c r="M98" s="6" t="str">
        <f t="shared" si="8"/>
        <v/>
      </c>
      <c r="N98" s="7" t="str">
        <f t="shared" si="10"/>
        <v/>
      </c>
      <c r="O98" t="str">
        <f t="shared" si="9"/>
        <v>S.</v>
      </c>
      <c r="P98" s="4" t="str">
        <f>LEFT(L98,1)</f>
        <v/>
      </c>
      <c r="Q98" t="s">
        <v>20</v>
      </c>
    </row>
    <row r="99" spans="1:28" hidden="1" x14ac:dyDescent="0.25">
      <c r="A99">
        <v>794</v>
      </c>
      <c r="B99">
        <v>0</v>
      </c>
      <c r="C99">
        <v>1</v>
      </c>
      <c r="D99" t="s">
        <v>115</v>
      </c>
      <c r="E99" s="4">
        <f>LEN(D99)</f>
        <v>24</v>
      </c>
      <c r="F99" t="s">
        <v>24</v>
      </c>
      <c r="H99">
        <v>0</v>
      </c>
      <c r="I99">
        <v>0</v>
      </c>
      <c r="J99" t="s">
        <v>116</v>
      </c>
      <c r="K99">
        <v>30.695799999999998</v>
      </c>
      <c r="M99" s="6" t="str">
        <f t="shared" si="8"/>
        <v/>
      </c>
      <c r="N99" s="7" t="str">
        <f t="shared" si="10"/>
        <v/>
      </c>
      <c r="O99" t="str">
        <f t="shared" si="9"/>
        <v>PC</v>
      </c>
      <c r="P99" s="4" t="str">
        <f>LEFT(L99,1)</f>
        <v/>
      </c>
      <c r="Q99" t="s">
        <v>17</v>
      </c>
    </row>
    <row r="100" spans="1:28" x14ac:dyDescent="0.25">
      <c r="A100">
        <v>2</v>
      </c>
      <c r="B100">
        <v>1</v>
      </c>
      <c r="C100">
        <v>1</v>
      </c>
      <c r="D100" t="s">
        <v>13</v>
      </c>
      <c r="E100" s="4">
        <f>LEN(D100)</f>
        <v>51</v>
      </c>
      <c r="F100" t="s">
        <v>14</v>
      </c>
      <c r="G100">
        <v>38</v>
      </c>
      <c r="H100">
        <v>1</v>
      </c>
      <c r="I100">
        <v>0</v>
      </c>
      <c r="J100" t="s">
        <v>15</v>
      </c>
      <c r="K100">
        <v>71.283299999999997</v>
      </c>
      <c r="L100" t="s">
        <v>16</v>
      </c>
      <c r="M100" s="6" t="str">
        <f t="shared" si="8"/>
        <v>85</v>
      </c>
      <c r="N100" s="7">
        <f t="shared" si="10"/>
        <v>85</v>
      </c>
      <c r="O100" t="str">
        <f t="shared" si="9"/>
        <v>PC</v>
      </c>
      <c r="P100" s="4" t="str">
        <f>LEFT(L100,1)</f>
        <v>C</v>
      </c>
      <c r="Q100" t="s">
        <v>17</v>
      </c>
    </row>
    <row r="101" spans="1:28" hidden="1" x14ac:dyDescent="0.25">
      <c r="A101">
        <v>156</v>
      </c>
      <c r="B101">
        <v>0</v>
      </c>
      <c r="C101">
        <v>1</v>
      </c>
      <c r="D101" t="s">
        <v>117</v>
      </c>
      <c r="E101" s="4">
        <f>LEN(D101)</f>
        <v>27</v>
      </c>
      <c r="F101" t="s">
        <v>24</v>
      </c>
      <c r="G101">
        <v>51</v>
      </c>
      <c r="H101">
        <v>0</v>
      </c>
      <c r="I101">
        <v>1</v>
      </c>
      <c r="J101" t="s">
        <v>118</v>
      </c>
      <c r="K101">
        <v>61.379199999999997</v>
      </c>
      <c r="M101" s="6" t="str">
        <f t="shared" si="8"/>
        <v/>
      </c>
      <c r="N101" s="7" t="str">
        <f t="shared" si="10"/>
        <v/>
      </c>
      <c r="O101" t="str">
        <f t="shared" si="9"/>
        <v>PC</v>
      </c>
      <c r="P101" s="4" t="str">
        <f>LEFT(L101,1)</f>
        <v/>
      </c>
      <c r="Q101" t="s">
        <v>17</v>
      </c>
    </row>
    <row r="102" spans="1:28" hidden="1" x14ac:dyDescent="0.25">
      <c r="A102">
        <v>73</v>
      </c>
      <c r="B102">
        <v>0</v>
      </c>
      <c r="C102">
        <v>2</v>
      </c>
      <c r="D102" t="s">
        <v>443</v>
      </c>
      <c r="E102" s="4">
        <f>LEN(D102)</f>
        <v>20</v>
      </c>
      <c r="F102" t="s">
        <v>24</v>
      </c>
      <c r="G102">
        <v>21</v>
      </c>
      <c r="H102">
        <v>0</v>
      </c>
      <c r="I102">
        <v>0</v>
      </c>
      <c r="J102" t="s">
        <v>444</v>
      </c>
      <c r="K102">
        <v>73.5</v>
      </c>
      <c r="M102" s="6" t="str">
        <f t="shared" si="8"/>
        <v/>
      </c>
      <c r="N102" s="7" t="str">
        <f t="shared" si="10"/>
        <v/>
      </c>
      <c r="O102" t="str">
        <f t="shared" si="9"/>
        <v>S.</v>
      </c>
      <c r="P102" s="4" t="str">
        <f>LEFT(L102,1)</f>
        <v/>
      </c>
      <c r="Q102" t="s">
        <v>20</v>
      </c>
    </row>
    <row r="103" spans="1:28" x14ac:dyDescent="0.25">
      <c r="A103">
        <v>274</v>
      </c>
      <c r="B103">
        <v>0</v>
      </c>
      <c r="C103">
        <v>1</v>
      </c>
      <c r="D103" t="s">
        <v>180</v>
      </c>
      <c r="E103" s="4">
        <f>LEN(D103)</f>
        <v>21</v>
      </c>
      <c r="F103" t="s">
        <v>24</v>
      </c>
      <c r="G103">
        <v>37</v>
      </c>
      <c r="H103">
        <v>0</v>
      </c>
      <c r="I103">
        <v>1</v>
      </c>
      <c r="J103" t="s">
        <v>181</v>
      </c>
      <c r="K103">
        <v>29.7</v>
      </c>
      <c r="L103" t="s">
        <v>182</v>
      </c>
      <c r="M103" s="6" t="str">
        <f t="shared" si="8"/>
        <v>118</v>
      </c>
      <c r="N103" s="7">
        <f t="shared" si="10"/>
        <v>118</v>
      </c>
      <c r="O103" t="str">
        <f t="shared" si="9"/>
        <v>PC</v>
      </c>
      <c r="P103" s="4" t="str">
        <f>LEFT(L103,1)</f>
        <v>C</v>
      </c>
      <c r="Q103" t="s">
        <v>17</v>
      </c>
      <c r="U103" s="1" t="s">
        <v>21</v>
      </c>
      <c r="V103" s="1" t="s">
        <v>22</v>
      </c>
    </row>
    <row r="104" spans="1:28" x14ac:dyDescent="0.25">
      <c r="A104">
        <v>178</v>
      </c>
      <c r="B104">
        <v>0</v>
      </c>
      <c r="C104">
        <v>1</v>
      </c>
      <c r="D104" t="s">
        <v>134</v>
      </c>
      <c r="E104" s="4">
        <f>LEN(D104)</f>
        <v>26</v>
      </c>
      <c r="F104" t="s">
        <v>14</v>
      </c>
      <c r="G104">
        <v>50</v>
      </c>
      <c r="H104">
        <v>0</v>
      </c>
      <c r="I104">
        <v>0</v>
      </c>
      <c r="J104" t="s">
        <v>135</v>
      </c>
      <c r="K104">
        <v>28.712499999999999</v>
      </c>
      <c r="L104" t="s">
        <v>136</v>
      </c>
      <c r="M104" s="6" t="str">
        <f t="shared" si="8"/>
        <v>49</v>
      </c>
      <c r="N104" s="7">
        <f t="shared" si="10"/>
        <v>49</v>
      </c>
      <c r="O104" t="str">
        <f t="shared" si="9"/>
        <v>PC</v>
      </c>
      <c r="P104" s="4" t="str">
        <f>LEFT(L104,1)</f>
        <v>C</v>
      </c>
      <c r="Q104" t="s">
        <v>17</v>
      </c>
      <c r="U104" s="1" t="s">
        <v>26</v>
      </c>
      <c r="V104">
        <v>0</v>
      </c>
      <c r="W104">
        <v>1</v>
      </c>
      <c r="X104" t="s">
        <v>80</v>
      </c>
      <c r="Z104" t="s">
        <v>11</v>
      </c>
      <c r="AB104" t="s">
        <v>28</v>
      </c>
    </row>
    <row r="105" spans="1:28" x14ac:dyDescent="0.25">
      <c r="A105">
        <v>140</v>
      </c>
      <c r="B105">
        <v>0</v>
      </c>
      <c r="C105">
        <v>1</v>
      </c>
      <c r="D105" t="s">
        <v>109</v>
      </c>
      <c r="E105" s="4">
        <f>LEN(D105)</f>
        <v>18</v>
      </c>
      <c r="F105" t="s">
        <v>24</v>
      </c>
      <c r="G105">
        <v>24</v>
      </c>
      <c r="H105">
        <v>0</v>
      </c>
      <c r="I105">
        <v>0</v>
      </c>
      <c r="J105" t="s">
        <v>110</v>
      </c>
      <c r="K105">
        <v>79.2</v>
      </c>
      <c r="L105" t="s">
        <v>111</v>
      </c>
      <c r="M105" s="6" t="str">
        <f t="shared" si="8"/>
        <v>86</v>
      </c>
      <c r="N105" s="7">
        <f t="shared" si="10"/>
        <v>86</v>
      </c>
      <c r="O105" t="str">
        <f t="shared" si="9"/>
        <v>PC</v>
      </c>
      <c r="P105" s="4" t="str">
        <f>LEFT(L105,1)</f>
        <v>B</v>
      </c>
      <c r="Q105" t="s">
        <v>17</v>
      </c>
      <c r="U105" s="3" t="s">
        <v>43</v>
      </c>
      <c r="V105" s="2">
        <v>8</v>
      </c>
      <c r="W105" s="2">
        <v>7</v>
      </c>
      <c r="X105" s="2">
        <v>15</v>
      </c>
      <c r="Z105" t="str">
        <f t="shared" ref="Z105:Z123" si="11">U105</f>
        <v>A</v>
      </c>
      <c r="AA105" s="5">
        <f t="shared" ref="AA70:AA133" si="12">W105/(X105)</f>
        <v>0.46666666666666667</v>
      </c>
      <c r="AB105">
        <f t="shared" ref="AB105:AB123" si="13">X105</f>
        <v>15</v>
      </c>
    </row>
    <row r="106" spans="1:28" hidden="1" x14ac:dyDescent="0.25">
      <c r="A106">
        <v>386</v>
      </c>
      <c r="B106">
        <v>0</v>
      </c>
      <c r="C106">
        <v>2</v>
      </c>
      <c r="D106" t="s">
        <v>533</v>
      </c>
      <c r="E106" s="4">
        <f>LEN(D106)</f>
        <v>25</v>
      </c>
      <c r="F106" t="s">
        <v>24</v>
      </c>
      <c r="G106">
        <v>18</v>
      </c>
      <c r="H106">
        <v>0</v>
      </c>
      <c r="I106">
        <v>0</v>
      </c>
      <c r="J106" t="s">
        <v>444</v>
      </c>
      <c r="K106">
        <v>73.5</v>
      </c>
      <c r="M106" s="6" t="str">
        <f t="shared" si="8"/>
        <v/>
      </c>
      <c r="N106" s="7" t="str">
        <f t="shared" si="10"/>
        <v/>
      </c>
      <c r="O106" t="str">
        <f t="shared" si="9"/>
        <v>S.</v>
      </c>
      <c r="P106" s="4" t="str">
        <f>LEFT(L106,1)</f>
        <v/>
      </c>
      <c r="Q106" t="s">
        <v>20</v>
      </c>
      <c r="U106" s="3" t="s">
        <v>40</v>
      </c>
      <c r="V106" s="2">
        <v>12</v>
      </c>
      <c r="W106" s="2">
        <v>35</v>
      </c>
      <c r="X106" s="2">
        <v>47</v>
      </c>
      <c r="Z106" t="str">
        <f t="shared" si="11"/>
        <v>B</v>
      </c>
      <c r="AA106" s="5">
        <f t="shared" si="12"/>
        <v>0.74468085106382975</v>
      </c>
      <c r="AB106">
        <f t="shared" si="13"/>
        <v>47</v>
      </c>
    </row>
    <row r="107" spans="1:28" x14ac:dyDescent="0.25">
      <c r="A107">
        <v>790</v>
      </c>
      <c r="B107">
        <v>0</v>
      </c>
      <c r="C107">
        <v>1</v>
      </c>
      <c r="D107" t="s">
        <v>386</v>
      </c>
      <c r="E107" s="4">
        <f>LEN(D107)</f>
        <v>24</v>
      </c>
      <c r="F107" t="s">
        <v>24</v>
      </c>
      <c r="G107">
        <v>46</v>
      </c>
      <c r="H107">
        <v>0</v>
      </c>
      <c r="I107">
        <v>0</v>
      </c>
      <c r="J107" t="s">
        <v>110</v>
      </c>
      <c r="K107">
        <v>79.2</v>
      </c>
      <c r="L107" t="s">
        <v>387</v>
      </c>
      <c r="M107" s="6" t="str">
        <f t="shared" si="8"/>
        <v xml:space="preserve">82 </v>
      </c>
      <c r="N107" s="7">
        <f t="shared" si="10"/>
        <v>82</v>
      </c>
      <c r="O107" t="str">
        <f t="shared" si="9"/>
        <v>PC</v>
      </c>
      <c r="P107" s="4" t="str">
        <f>LEFT(L107,1)</f>
        <v>B</v>
      </c>
      <c r="Q107" t="s">
        <v>17</v>
      </c>
      <c r="U107" s="3" t="s">
        <v>17</v>
      </c>
      <c r="V107" s="2">
        <v>24</v>
      </c>
      <c r="W107" s="2">
        <v>35</v>
      </c>
      <c r="X107" s="2">
        <v>59</v>
      </c>
      <c r="Z107" t="str">
        <f t="shared" si="11"/>
        <v>C</v>
      </c>
      <c r="AA107" s="5">
        <f t="shared" si="12"/>
        <v>0.59322033898305082</v>
      </c>
      <c r="AB107">
        <f t="shared" si="13"/>
        <v>59</v>
      </c>
    </row>
    <row r="108" spans="1:28" x14ac:dyDescent="0.25">
      <c r="A108">
        <v>413</v>
      </c>
      <c r="B108">
        <v>1</v>
      </c>
      <c r="C108">
        <v>1</v>
      </c>
      <c r="D108" t="s">
        <v>238</v>
      </c>
      <c r="E108" s="4">
        <f>LEN(D108)</f>
        <v>22</v>
      </c>
      <c r="F108" t="s">
        <v>14</v>
      </c>
      <c r="G108">
        <v>33</v>
      </c>
      <c r="H108">
        <v>1</v>
      </c>
      <c r="I108">
        <v>0</v>
      </c>
      <c r="J108">
        <v>19928</v>
      </c>
      <c r="K108">
        <v>90</v>
      </c>
      <c r="L108" t="s">
        <v>160</v>
      </c>
      <c r="M108" s="6" t="str">
        <f t="shared" si="8"/>
        <v>78</v>
      </c>
      <c r="N108" s="7">
        <f t="shared" si="10"/>
        <v>78</v>
      </c>
      <c r="O108" t="str">
        <f t="shared" si="9"/>
        <v>19</v>
      </c>
      <c r="P108" s="4" t="str">
        <f>LEFT(L108,1)</f>
        <v>C</v>
      </c>
      <c r="Q108" t="s">
        <v>161</v>
      </c>
      <c r="U108" s="3" t="s">
        <v>62</v>
      </c>
      <c r="V108" s="2">
        <v>8</v>
      </c>
      <c r="W108" s="2">
        <v>25</v>
      </c>
      <c r="X108" s="2">
        <v>33</v>
      </c>
      <c r="Z108" t="str">
        <f t="shared" si="11"/>
        <v>D</v>
      </c>
      <c r="AA108" s="5">
        <f t="shared" si="12"/>
        <v>0.75757575757575757</v>
      </c>
      <c r="AB108">
        <f t="shared" si="13"/>
        <v>33</v>
      </c>
    </row>
    <row r="109" spans="1:28" hidden="1" x14ac:dyDescent="0.25">
      <c r="A109">
        <v>121</v>
      </c>
      <c r="B109">
        <v>0</v>
      </c>
      <c r="C109">
        <v>2</v>
      </c>
      <c r="D109" t="s">
        <v>451</v>
      </c>
      <c r="E109" s="4">
        <f>LEN(D109)</f>
        <v>27</v>
      </c>
      <c r="F109" t="s">
        <v>24</v>
      </c>
      <c r="G109">
        <v>21</v>
      </c>
      <c r="H109">
        <v>2</v>
      </c>
      <c r="I109">
        <v>0</v>
      </c>
      <c r="J109" t="s">
        <v>444</v>
      </c>
      <c r="K109">
        <v>73.5</v>
      </c>
      <c r="M109" s="6" t="str">
        <f t="shared" si="8"/>
        <v/>
      </c>
      <c r="N109" s="7" t="str">
        <f t="shared" si="10"/>
        <v/>
      </c>
      <c r="O109" t="str">
        <f t="shared" si="9"/>
        <v>S.</v>
      </c>
      <c r="P109" s="4" t="str">
        <f>LEFT(L109,1)</f>
        <v/>
      </c>
      <c r="Q109" t="s">
        <v>20</v>
      </c>
      <c r="U109" s="3" t="s">
        <v>31</v>
      </c>
      <c r="V109" s="2">
        <v>8</v>
      </c>
      <c r="W109" s="2">
        <v>24</v>
      </c>
      <c r="X109" s="2">
        <v>32</v>
      </c>
      <c r="Z109" t="str">
        <f t="shared" si="11"/>
        <v>E</v>
      </c>
      <c r="AA109" s="5">
        <f t="shared" si="12"/>
        <v>0.75</v>
      </c>
      <c r="AB109">
        <f t="shared" si="13"/>
        <v>32</v>
      </c>
    </row>
    <row r="110" spans="1:28" hidden="1" x14ac:dyDescent="0.25">
      <c r="A110">
        <v>656</v>
      </c>
      <c r="B110">
        <v>0</v>
      </c>
      <c r="C110">
        <v>2</v>
      </c>
      <c r="D110" t="s">
        <v>594</v>
      </c>
      <c r="E110" s="4">
        <f>LEN(D110)</f>
        <v>25</v>
      </c>
      <c r="F110" t="s">
        <v>24</v>
      </c>
      <c r="G110">
        <v>24</v>
      </c>
      <c r="H110">
        <v>2</v>
      </c>
      <c r="I110">
        <v>0</v>
      </c>
      <c r="J110" t="s">
        <v>444</v>
      </c>
      <c r="K110">
        <v>73.5</v>
      </c>
      <c r="M110" s="6" t="str">
        <f t="shared" si="8"/>
        <v/>
      </c>
      <c r="N110" s="7" t="str">
        <f t="shared" si="10"/>
        <v/>
      </c>
      <c r="O110" t="str">
        <f t="shared" si="9"/>
        <v>S.</v>
      </c>
      <c r="P110" s="4" t="str">
        <f>LEFT(L110,1)</f>
        <v/>
      </c>
      <c r="Q110" t="s">
        <v>20</v>
      </c>
      <c r="U110" s="3" t="s">
        <v>185</v>
      </c>
      <c r="V110" s="2">
        <v>5</v>
      </c>
      <c r="W110" s="2">
        <v>8</v>
      </c>
      <c r="X110" s="2">
        <v>13</v>
      </c>
      <c r="Z110" t="str">
        <f t="shared" si="11"/>
        <v>F</v>
      </c>
      <c r="AA110" s="5">
        <f t="shared" si="12"/>
        <v>0.61538461538461542</v>
      </c>
      <c r="AB110">
        <f t="shared" si="13"/>
        <v>13</v>
      </c>
    </row>
    <row r="111" spans="1:28" hidden="1" x14ac:dyDescent="0.25">
      <c r="A111">
        <v>666</v>
      </c>
      <c r="B111">
        <v>0</v>
      </c>
      <c r="C111">
        <v>2</v>
      </c>
      <c r="D111" t="s">
        <v>596</v>
      </c>
      <c r="E111" s="4">
        <f>LEN(D111)</f>
        <v>18</v>
      </c>
      <c r="F111" t="s">
        <v>24</v>
      </c>
      <c r="G111">
        <v>32</v>
      </c>
      <c r="H111">
        <v>2</v>
      </c>
      <c r="I111">
        <v>0</v>
      </c>
      <c r="J111" t="s">
        <v>444</v>
      </c>
      <c r="K111">
        <v>73.5</v>
      </c>
      <c r="M111" s="6" t="str">
        <f t="shared" si="8"/>
        <v/>
      </c>
      <c r="N111" s="7" t="str">
        <f t="shared" si="10"/>
        <v/>
      </c>
      <c r="O111" t="str">
        <f t="shared" si="9"/>
        <v>S.</v>
      </c>
      <c r="P111" s="4" t="str">
        <f>LEFT(L111,1)</f>
        <v/>
      </c>
      <c r="Q111" t="s">
        <v>20</v>
      </c>
      <c r="U111" s="3" t="s">
        <v>187</v>
      </c>
      <c r="V111" s="2">
        <v>2</v>
      </c>
      <c r="W111" s="2">
        <v>2</v>
      </c>
      <c r="X111" s="2">
        <v>4</v>
      </c>
      <c r="Z111" t="str">
        <f t="shared" si="11"/>
        <v>G</v>
      </c>
      <c r="AA111" s="5">
        <f t="shared" si="12"/>
        <v>0.5</v>
      </c>
      <c r="AB111">
        <f t="shared" si="13"/>
        <v>4</v>
      </c>
    </row>
    <row r="112" spans="1:28" hidden="1" x14ac:dyDescent="0.25">
      <c r="A112">
        <v>649</v>
      </c>
      <c r="B112">
        <v>0</v>
      </c>
      <c r="C112">
        <v>3</v>
      </c>
      <c r="D112" t="s">
        <v>1128</v>
      </c>
      <c r="E112" s="4">
        <f>LEN(D112)</f>
        <v>18</v>
      </c>
      <c r="F112" t="s">
        <v>24</v>
      </c>
      <c r="H112">
        <v>0</v>
      </c>
      <c r="I112">
        <v>0</v>
      </c>
      <c r="J112" t="s">
        <v>1129</v>
      </c>
      <c r="K112">
        <v>7.55</v>
      </c>
      <c r="M112" s="6" t="str">
        <f t="shared" si="8"/>
        <v/>
      </c>
      <c r="N112" s="7" t="str">
        <f t="shared" si="10"/>
        <v/>
      </c>
      <c r="O112" t="str">
        <f t="shared" si="9"/>
        <v>S.</v>
      </c>
      <c r="P112" s="4" t="str">
        <f>LEFT(L112,1)</f>
        <v/>
      </c>
      <c r="Q112" t="s">
        <v>20</v>
      </c>
      <c r="U112" s="3" t="s">
        <v>190</v>
      </c>
      <c r="V112" s="2">
        <v>1</v>
      </c>
      <c r="W112" s="2"/>
      <c r="X112" s="2">
        <v>1</v>
      </c>
      <c r="Z112" t="str">
        <f t="shared" si="11"/>
        <v>T</v>
      </c>
      <c r="AA112" s="5">
        <f t="shared" si="12"/>
        <v>0</v>
      </c>
      <c r="AB112">
        <f t="shared" si="13"/>
        <v>1</v>
      </c>
    </row>
    <row r="113" spans="1:28" x14ac:dyDescent="0.25">
      <c r="A113">
        <v>773</v>
      </c>
      <c r="B113">
        <v>0</v>
      </c>
      <c r="C113">
        <v>2</v>
      </c>
      <c r="D113" t="s">
        <v>621</v>
      </c>
      <c r="E113" s="4">
        <f>LEN(D113)</f>
        <v>17</v>
      </c>
      <c r="F113" t="s">
        <v>14</v>
      </c>
      <c r="G113">
        <v>57</v>
      </c>
      <c r="H113">
        <v>0</v>
      </c>
      <c r="I113">
        <v>0</v>
      </c>
      <c r="J113" t="s">
        <v>622</v>
      </c>
      <c r="K113">
        <v>10.5</v>
      </c>
      <c r="L113" t="s">
        <v>623</v>
      </c>
      <c r="M113" s="6" t="str">
        <f t="shared" si="8"/>
        <v>77</v>
      </c>
      <c r="N113" s="7">
        <f t="shared" si="10"/>
        <v>77</v>
      </c>
      <c r="O113" t="str">
        <f t="shared" si="9"/>
        <v>S.</v>
      </c>
      <c r="P113" s="4" t="str">
        <f>LEFT(L113,1)</f>
        <v>E</v>
      </c>
      <c r="Q113" t="s">
        <v>20</v>
      </c>
      <c r="U113" s="3" t="s">
        <v>80</v>
      </c>
      <c r="V113" s="2">
        <v>68</v>
      </c>
      <c r="W113" s="2">
        <v>136</v>
      </c>
      <c r="X113" s="2">
        <v>204</v>
      </c>
    </row>
    <row r="114" spans="1:28" hidden="1" x14ac:dyDescent="0.25">
      <c r="A114">
        <v>257</v>
      </c>
      <c r="B114">
        <v>1</v>
      </c>
      <c r="C114">
        <v>1</v>
      </c>
      <c r="D114" t="s">
        <v>55</v>
      </c>
      <c r="E114" s="4">
        <f>LEN(D114)</f>
        <v>30</v>
      </c>
      <c r="F114" t="s">
        <v>14</v>
      </c>
      <c r="H114">
        <v>0</v>
      </c>
      <c r="I114">
        <v>0</v>
      </c>
      <c r="J114" t="s">
        <v>56</v>
      </c>
      <c r="K114">
        <v>79.2</v>
      </c>
      <c r="M114" s="6" t="str">
        <f t="shared" si="8"/>
        <v/>
      </c>
      <c r="N114" s="7" t="str">
        <f t="shared" si="10"/>
        <v/>
      </c>
      <c r="O114" t="str">
        <f t="shared" si="9"/>
        <v>PC</v>
      </c>
      <c r="P114" s="4" t="str">
        <f>LEFT(L114,1)</f>
        <v/>
      </c>
      <c r="Q114" t="s">
        <v>17</v>
      </c>
    </row>
    <row r="115" spans="1:28" hidden="1" x14ac:dyDescent="0.25">
      <c r="A115">
        <v>842</v>
      </c>
      <c r="B115">
        <v>0</v>
      </c>
      <c r="C115">
        <v>2</v>
      </c>
      <c r="D115" t="s">
        <v>636</v>
      </c>
      <c r="E115" s="4">
        <f>LEN(D115)</f>
        <v>24</v>
      </c>
      <c r="F115" t="s">
        <v>24</v>
      </c>
      <c r="G115">
        <v>16</v>
      </c>
      <c r="H115">
        <v>0</v>
      </c>
      <c r="I115">
        <v>0</v>
      </c>
      <c r="J115" t="s">
        <v>622</v>
      </c>
      <c r="K115">
        <v>10.5</v>
      </c>
      <c r="M115" s="6" t="str">
        <f t="shared" si="8"/>
        <v/>
      </c>
      <c r="N115" s="7" t="str">
        <f t="shared" si="10"/>
        <v/>
      </c>
      <c r="O115" t="str">
        <f t="shared" si="9"/>
        <v>S.</v>
      </c>
      <c r="P115" s="4" t="str">
        <f>LEFT(L115,1)</f>
        <v/>
      </c>
      <c r="Q115" t="s">
        <v>20</v>
      </c>
    </row>
    <row r="116" spans="1:28" x14ac:dyDescent="0.25">
      <c r="A116">
        <v>53</v>
      </c>
      <c r="B116">
        <v>1</v>
      </c>
      <c r="C116">
        <v>1</v>
      </c>
      <c r="D116" t="s">
        <v>59</v>
      </c>
      <c r="E116" s="4">
        <f>LEN(D116)</f>
        <v>40</v>
      </c>
      <c r="F116" t="s">
        <v>14</v>
      </c>
      <c r="G116">
        <v>49</v>
      </c>
      <c r="H116">
        <v>1</v>
      </c>
      <c r="I116">
        <v>0</v>
      </c>
      <c r="J116" t="s">
        <v>60</v>
      </c>
      <c r="K116">
        <v>76.729200000000006</v>
      </c>
      <c r="L116" t="s">
        <v>61</v>
      </c>
      <c r="M116" s="6" t="str">
        <f t="shared" si="8"/>
        <v>33</v>
      </c>
      <c r="N116" s="7">
        <f t="shared" si="10"/>
        <v>33</v>
      </c>
      <c r="O116" t="str">
        <f t="shared" si="9"/>
        <v>PC</v>
      </c>
      <c r="P116" s="4" t="str">
        <f>LEFT(L116,1)</f>
        <v>D</v>
      </c>
      <c r="Q116" t="s">
        <v>17</v>
      </c>
    </row>
    <row r="117" spans="1:28" x14ac:dyDescent="0.25">
      <c r="A117">
        <v>646</v>
      </c>
      <c r="B117">
        <v>1</v>
      </c>
      <c r="C117">
        <v>1</v>
      </c>
      <c r="D117" t="s">
        <v>331</v>
      </c>
      <c r="E117" s="4">
        <f>LEN(D117)</f>
        <v>25</v>
      </c>
      <c r="F117" t="s">
        <v>24</v>
      </c>
      <c r="G117">
        <v>48</v>
      </c>
      <c r="H117">
        <v>1</v>
      </c>
      <c r="I117">
        <v>0</v>
      </c>
      <c r="J117" t="s">
        <v>60</v>
      </c>
      <c r="K117">
        <v>76.729200000000006</v>
      </c>
      <c r="L117" t="s">
        <v>61</v>
      </c>
      <c r="M117" s="6" t="str">
        <f t="shared" si="8"/>
        <v>33</v>
      </c>
      <c r="N117" s="7">
        <f t="shared" si="10"/>
        <v>33</v>
      </c>
      <c r="O117" t="str">
        <f t="shared" si="9"/>
        <v>PC</v>
      </c>
      <c r="P117" s="4" t="str">
        <f>LEFT(L117,1)</f>
        <v>D</v>
      </c>
      <c r="Q117" t="s">
        <v>17</v>
      </c>
    </row>
    <row r="118" spans="1:28" hidden="1" x14ac:dyDescent="0.25">
      <c r="A118">
        <v>46</v>
      </c>
      <c r="B118">
        <v>0</v>
      </c>
      <c r="C118">
        <v>3</v>
      </c>
      <c r="D118" t="s">
        <v>923</v>
      </c>
      <c r="E118" s="4">
        <f>LEN(D118)</f>
        <v>24</v>
      </c>
      <c r="F118" t="s">
        <v>24</v>
      </c>
      <c r="H118">
        <v>0</v>
      </c>
      <c r="I118">
        <v>0</v>
      </c>
      <c r="J118" t="s">
        <v>924</v>
      </c>
      <c r="K118">
        <v>8.0500000000000007</v>
      </c>
      <c r="M118" s="6" t="str">
        <f t="shared" si="8"/>
        <v/>
      </c>
      <c r="N118" s="7" t="str">
        <f t="shared" si="10"/>
        <v/>
      </c>
      <c r="O118" t="str">
        <f t="shared" si="9"/>
        <v>S.</v>
      </c>
      <c r="P118" s="4" t="str">
        <f>LEFT(L118,1)</f>
        <v/>
      </c>
      <c r="Q118" t="s">
        <v>20</v>
      </c>
    </row>
    <row r="119" spans="1:28" x14ac:dyDescent="0.25">
      <c r="A119">
        <v>11</v>
      </c>
      <c r="B119">
        <v>1</v>
      </c>
      <c r="C119">
        <v>3</v>
      </c>
      <c r="D119" t="s">
        <v>661</v>
      </c>
      <c r="E119" s="4">
        <f>LEN(D119)</f>
        <v>31</v>
      </c>
      <c r="F119" t="s">
        <v>14</v>
      </c>
      <c r="G119">
        <v>4</v>
      </c>
      <c r="H119">
        <v>1</v>
      </c>
      <c r="I119">
        <v>1</v>
      </c>
      <c r="J119" t="s">
        <v>662</v>
      </c>
      <c r="K119">
        <v>16.7</v>
      </c>
      <c r="L119" t="s">
        <v>663</v>
      </c>
      <c r="M119" s="6" t="str">
        <f t="shared" si="8"/>
        <v>6</v>
      </c>
      <c r="N119" s="7" t="str">
        <f t="shared" si="10"/>
        <v/>
      </c>
      <c r="O119" t="str">
        <f t="shared" si="9"/>
        <v>PP</v>
      </c>
      <c r="P119" s="4" t="str">
        <f>LEFT(L119,1)</f>
        <v>G</v>
      </c>
      <c r="Q119" t="s">
        <v>20</v>
      </c>
      <c r="U119" s="1" t="s">
        <v>21</v>
      </c>
      <c r="V119" s="1" t="s">
        <v>22</v>
      </c>
    </row>
    <row r="120" spans="1:28" x14ac:dyDescent="0.25">
      <c r="A120">
        <v>395</v>
      </c>
      <c r="B120">
        <v>1</v>
      </c>
      <c r="C120">
        <v>3</v>
      </c>
      <c r="D120" t="s">
        <v>904</v>
      </c>
      <c r="E120" s="4">
        <f>LEN(D120)</f>
        <v>51</v>
      </c>
      <c r="F120" t="s">
        <v>14</v>
      </c>
      <c r="G120">
        <v>24</v>
      </c>
      <c r="H120">
        <v>0</v>
      </c>
      <c r="I120">
        <v>2</v>
      </c>
      <c r="J120" t="s">
        <v>662</v>
      </c>
      <c r="K120">
        <v>16.7</v>
      </c>
      <c r="L120" t="s">
        <v>663</v>
      </c>
      <c r="M120" s="6" t="str">
        <f t="shared" si="8"/>
        <v>6</v>
      </c>
      <c r="N120" s="7" t="str">
        <f t="shared" si="10"/>
        <v/>
      </c>
      <c r="O120" t="str">
        <f t="shared" si="9"/>
        <v>PP</v>
      </c>
      <c r="P120" s="4" t="str">
        <f>LEFT(L120,1)</f>
        <v>G</v>
      </c>
      <c r="Q120" t="s">
        <v>20</v>
      </c>
      <c r="U120" s="1" t="s">
        <v>26</v>
      </c>
      <c r="V120">
        <v>0</v>
      </c>
      <c r="W120">
        <v>1</v>
      </c>
      <c r="X120" t="s">
        <v>80</v>
      </c>
      <c r="Z120" t="s">
        <v>12</v>
      </c>
      <c r="AB120" t="s">
        <v>28</v>
      </c>
    </row>
    <row r="121" spans="1:28" x14ac:dyDescent="0.25">
      <c r="A121">
        <v>682</v>
      </c>
      <c r="B121">
        <v>1</v>
      </c>
      <c r="C121">
        <v>1</v>
      </c>
      <c r="D121" t="s">
        <v>344</v>
      </c>
      <c r="E121" s="4">
        <f>LEN(D121)</f>
        <v>18</v>
      </c>
      <c r="F121" t="s">
        <v>24</v>
      </c>
      <c r="G121">
        <v>27</v>
      </c>
      <c r="H121">
        <v>0</v>
      </c>
      <c r="I121">
        <v>0</v>
      </c>
      <c r="J121" t="s">
        <v>60</v>
      </c>
      <c r="K121">
        <v>76.729200000000006</v>
      </c>
      <c r="L121" t="s">
        <v>345</v>
      </c>
      <c r="M121" s="6" t="str">
        <f t="shared" si="8"/>
        <v>49</v>
      </c>
      <c r="N121" s="7">
        <f t="shared" si="10"/>
        <v>49</v>
      </c>
      <c r="O121" t="str">
        <f t="shared" si="9"/>
        <v>PC</v>
      </c>
      <c r="P121" s="4" t="str">
        <f>LEFT(L121,1)</f>
        <v>D</v>
      </c>
      <c r="Q121" t="s">
        <v>17</v>
      </c>
      <c r="U121" s="3" t="s">
        <v>17</v>
      </c>
      <c r="V121" s="2">
        <v>75</v>
      </c>
      <c r="W121" s="2">
        <v>93</v>
      </c>
      <c r="X121" s="2">
        <v>168</v>
      </c>
      <c r="Z121" t="str">
        <f t="shared" si="11"/>
        <v>C</v>
      </c>
      <c r="AA121" s="5">
        <f t="shared" si="12"/>
        <v>0.5535714285714286</v>
      </c>
      <c r="AB121">
        <f t="shared" si="13"/>
        <v>168</v>
      </c>
    </row>
    <row r="122" spans="1:28" x14ac:dyDescent="0.25">
      <c r="A122">
        <v>32</v>
      </c>
      <c r="B122">
        <v>1</v>
      </c>
      <c r="C122">
        <v>1</v>
      </c>
      <c r="D122" t="s">
        <v>37</v>
      </c>
      <c r="E122" s="4">
        <f>LEN(D122)</f>
        <v>46</v>
      </c>
      <c r="F122" t="s">
        <v>14</v>
      </c>
      <c r="H122">
        <v>1</v>
      </c>
      <c r="I122">
        <v>0</v>
      </c>
      <c r="J122" t="s">
        <v>38</v>
      </c>
      <c r="K122">
        <v>146.52080000000001</v>
      </c>
      <c r="L122" t="s">
        <v>39</v>
      </c>
      <c r="M122" s="6" t="str">
        <f t="shared" si="8"/>
        <v>78</v>
      </c>
      <c r="N122" s="7">
        <f t="shared" si="10"/>
        <v>78</v>
      </c>
      <c r="O122" t="str">
        <f t="shared" si="9"/>
        <v>PC</v>
      </c>
      <c r="P122" s="4" t="str">
        <f>LEFT(L122,1)</f>
        <v>B</v>
      </c>
      <c r="Q122" t="s">
        <v>17</v>
      </c>
      <c r="U122" s="3" t="s">
        <v>161</v>
      </c>
      <c r="V122" s="2">
        <v>47</v>
      </c>
      <c r="W122" s="2">
        <v>30</v>
      </c>
      <c r="X122" s="2">
        <v>77</v>
      </c>
      <c r="Z122" t="str">
        <f t="shared" si="11"/>
        <v>Q</v>
      </c>
      <c r="AA122" s="5">
        <f t="shared" si="12"/>
        <v>0.38961038961038963</v>
      </c>
      <c r="AB122">
        <f t="shared" si="13"/>
        <v>77</v>
      </c>
    </row>
    <row r="123" spans="1:28" hidden="1" x14ac:dyDescent="0.25">
      <c r="A123">
        <v>226</v>
      </c>
      <c r="B123">
        <v>0</v>
      </c>
      <c r="C123">
        <v>3</v>
      </c>
      <c r="D123" t="s">
        <v>800</v>
      </c>
      <c r="E123" s="4">
        <f>LEN(D123)</f>
        <v>28</v>
      </c>
      <c r="F123" t="s">
        <v>24</v>
      </c>
      <c r="G123">
        <v>22</v>
      </c>
      <c r="H123">
        <v>0</v>
      </c>
      <c r="I123">
        <v>0</v>
      </c>
      <c r="J123" t="s">
        <v>801</v>
      </c>
      <c r="K123">
        <v>9.35</v>
      </c>
      <c r="M123" s="6" t="str">
        <f t="shared" si="8"/>
        <v/>
      </c>
      <c r="N123" s="7" t="str">
        <f t="shared" si="10"/>
        <v/>
      </c>
      <c r="O123" t="str">
        <f t="shared" si="9"/>
        <v>PP</v>
      </c>
      <c r="P123" s="4" t="str">
        <f>LEFT(L123,1)</f>
        <v/>
      </c>
      <c r="Q123" t="s">
        <v>20</v>
      </c>
      <c r="U123" s="3" t="s">
        <v>20</v>
      </c>
      <c r="V123" s="2">
        <v>427</v>
      </c>
      <c r="W123" s="2">
        <v>217</v>
      </c>
      <c r="X123" s="2">
        <v>644</v>
      </c>
      <c r="Z123" t="str">
        <f t="shared" si="11"/>
        <v>S</v>
      </c>
      <c r="AA123" s="5">
        <f t="shared" si="12"/>
        <v>0.33695652173913043</v>
      </c>
      <c r="AB123">
        <f t="shared" si="13"/>
        <v>644</v>
      </c>
    </row>
    <row r="124" spans="1:28" x14ac:dyDescent="0.25">
      <c r="A124">
        <v>196</v>
      </c>
      <c r="B124">
        <v>1</v>
      </c>
      <c r="C124">
        <v>1</v>
      </c>
      <c r="D124" t="s">
        <v>148</v>
      </c>
      <c r="E124" s="4">
        <f>LEN(D124)</f>
        <v>20</v>
      </c>
      <c r="F124" t="s">
        <v>14</v>
      </c>
      <c r="G124">
        <v>58</v>
      </c>
      <c r="H124">
        <v>0</v>
      </c>
      <c r="I124">
        <v>0</v>
      </c>
      <c r="J124" t="s">
        <v>38</v>
      </c>
      <c r="K124">
        <v>146.52080000000001</v>
      </c>
      <c r="L124" t="s">
        <v>149</v>
      </c>
      <c r="M124" s="6" t="str">
        <f t="shared" si="8"/>
        <v>80</v>
      </c>
      <c r="N124" s="7">
        <f t="shared" si="10"/>
        <v>80</v>
      </c>
      <c r="O124" t="str">
        <f t="shared" si="9"/>
        <v>PC</v>
      </c>
      <c r="P124" s="4" t="str">
        <f>LEFT(L124,1)</f>
        <v>B</v>
      </c>
      <c r="Q124" t="s">
        <v>17</v>
      </c>
      <c r="U124" s="3" t="s">
        <v>80</v>
      </c>
      <c r="V124" s="2">
        <v>549</v>
      </c>
      <c r="W124" s="2">
        <v>340</v>
      </c>
      <c r="X124" s="2">
        <v>889</v>
      </c>
      <c r="AA124" s="5">
        <f t="shared" si="12"/>
        <v>0.38245219347581555</v>
      </c>
    </row>
    <row r="125" spans="1:28" x14ac:dyDescent="0.25">
      <c r="A125">
        <v>270</v>
      </c>
      <c r="B125">
        <v>1</v>
      </c>
      <c r="C125">
        <v>1</v>
      </c>
      <c r="D125" t="s">
        <v>177</v>
      </c>
      <c r="E125" s="4">
        <f>LEN(D125)</f>
        <v>22</v>
      </c>
      <c r="F125" t="s">
        <v>14</v>
      </c>
      <c r="G125">
        <v>35</v>
      </c>
      <c r="H125">
        <v>0</v>
      </c>
      <c r="I125">
        <v>0</v>
      </c>
      <c r="J125" t="s">
        <v>178</v>
      </c>
      <c r="K125">
        <v>135.63329999999999</v>
      </c>
      <c r="L125" t="s">
        <v>179</v>
      </c>
      <c r="M125" s="6" t="str">
        <f t="shared" si="8"/>
        <v>99</v>
      </c>
      <c r="N125" s="7">
        <f t="shared" si="10"/>
        <v>99</v>
      </c>
      <c r="O125" t="str">
        <f t="shared" si="9"/>
        <v>PC</v>
      </c>
      <c r="P125" s="4" t="str">
        <f>LEFT(L125,1)</f>
        <v>C</v>
      </c>
      <c r="Q125" t="s">
        <v>20</v>
      </c>
    </row>
    <row r="126" spans="1:28" hidden="1" x14ac:dyDescent="0.25">
      <c r="A126">
        <v>335</v>
      </c>
      <c r="B126">
        <v>1</v>
      </c>
      <c r="C126">
        <v>1</v>
      </c>
      <c r="D126" t="s">
        <v>44</v>
      </c>
      <c r="E126" s="4">
        <f>LEN(D126)</f>
        <v>50</v>
      </c>
      <c r="F126" t="s">
        <v>14</v>
      </c>
      <c r="H126">
        <v>1</v>
      </c>
      <c r="I126">
        <v>0</v>
      </c>
      <c r="J126" t="s">
        <v>45</v>
      </c>
      <c r="K126">
        <v>133.65</v>
      </c>
      <c r="M126" s="6" t="str">
        <f t="shared" si="8"/>
        <v/>
      </c>
      <c r="N126" s="7" t="str">
        <f t="shared" si="10"/>
        <v/>
      </c>
      <c r="O126" t="str">
        <f t="shared" si="9"/>
        <v>PC</v>
      </c>
      <c r="P126" s="4" t="str">
        <f>LEFT(L126,1)</f>
        <v/>
      </c>
      <c r="Q126" t="s">
        <v>20</v>
      </c>
    </row>
    <row r="127" spans="1:28" x14ac:dyDescent="0.25">
      <c r="A127">
        <v>119</v>
      </c>
      <c r="B127">
        <v>0</v>
      </c>
      <c r="C127">
        <v>1</v>
      </c>
      <c r="D127" t="s">
        <v>98</v>
      </c>
      <c r="E127" s="4">
        <f>LEN(D127)</f>
        <v>24</v>
      </c>
      <c r="F127" t="s">
        <v>24</v>
      </c>
      <c r="G127">
        <v>24</v>
      </c>
      <c r="H127">
        <v>0</v>
      </c>
      <c r="I127">
        <v>1</v>
      </c>
      <c r="J127" t="s">
        <v>99</v>
      </c>
      <c r="K127">
        <v>247.52080000000001</v>
      </c>
      <c r="L127" t="s">
        <v>100</v>
      </c>
      <c r="M127" s="6" t="str">
        <f t="shared" si="8"/>
        <v xml:space="preserve">58 </v>
      </c>
      <c r="N127" s="7">
        <f t="shared" si="10"/>
        <v>58</v>
      </c>
      <c r="O127" t="str">
        <f t="shared" si="9"/>
        <v>PC</v>
      </c>
      <c r="P127" s="4" t="str">
        <f>LEFT(L127,1)</f>
        <v>B</v>
      </c>
      <c r="Q127" t="s">
        <v>17</v>
      </c>
    </row>
    <row r="128" spans="1:28" hidden="1" x14ac:dyDescent="0.25">
      <c r="A128">
        <v>661</v>
      </c>
      <c r="B128">
        <v>1</v>
      </c>
      <c r="C128">
        <v>1</v>
      </c>
      <c r="D128" t="s">
        <v>336</v>
      </c>
      <c r="E128" s="4">
        <f>LEN(D128)</f>
        <v>29</v>
      </c>
      <c r="F128" t="s">
        <v>24</v>
      </c>
      <c r="G128">
        <v>50</v>
      </c>
      <c r="H128">
        <v>2</v>
      </c>
      <c r="I128">
        <v>0</v>
      </c>
      <c r="J128" t="s">
        <v>45</v>
      </c>
      <c r="K128">
        <v>133.65</v>
      </c>
      <c r="M128" s="6" t="str">
        <f t="shared" si="8"/>
        <v/>
      </c>
      <c r="N128" s="7" t="str">
        <f t="shared" si="10"/>
        <v/>
      </c>
      <c r="O128" t="str">
        <f t="shared" si="9"/>
        <v>PC</v>
      </c>
      <c r="P128" s="4" t="str">
        <f>LEFT(L128,1)</f>
        <v/>
      </c>
      <c r="Q128" t="s">
        <v>20</v>
      </c>
    </row>
    <row r="129" spans="1:28" x14ac:dyDescent="0.25">
      <c r="A129">
        <v>854</v>
      </c>
      <c r="B129">
        <v>1</v>
      </c>
      <c r="C129">
        <v>1</v>
      </c>
      <c r="D129" t="s">
        <v>402</v>
      </c>
      <c r="E129" s="4">
        <f>LEN(D129)</f>
        <v>25</v>
      </c>
      <c r="F129" t="s">
        <v>14</v>
      </c>
      <c r="G129">
        <v>16</v>
      </c>
      <c r="H129">
        <v>0</v>
      </c>
      <c r="I129">
        <v>1</v>
      </c>
      <c r="J129" t="s">
        <v>403</v>
      </c>
      <c r="K129">
        <v>39.4</v>
      </c>
      <c r="L129" t="s">
        <v>404</v>
      </c>
      <c r="M129" s="6" t="str">
        <f t="shared" si="8"/>
        <v>28</v>
      </c>
      <c r="N129" s="7">
        <f t="shared" si="10"/>
        <v>28</v>
      </c>
      <c r="O129" t="str">
        <f t="shared" si="9"/>
        <v>PC</v>
      </c>
      <c r="P129" s="4" t="str">
        <f>LEFT(L129,1)</f>
        <v>D</v>
      </c>
      <c r="Q129" t="s">
        <v>20</v>
      </c>
      <c r="U129" s="1" t="s">
        <v>21</v>
      </c>
      <c r="V129" s="1" t="s">
        <v>22</v>
      </c>
    </row>
    <row r="130" spans="1:28" x14ac:dyDescent="0.25">
      <c r="A130">
        <v>300</v>
      </c>
      <c r="B130">
        <v>1</v>
      </c>
      <c r="C130">
        <v>1</v>
      </c>
      <c r="D130" t="s">
        <v>193</v>
      </c>
      <c r="E130" s="4">
        <f>LEN(D130)</f>
        <v>47</v>
      </c>
      <c r="F130" t="s">
        <v>14</v>
      </c>
      <c r="G130">
        <v>50</v>
      </c>
      <c r="H130">
        <v>0</v>
      </c>
      <c r="I130">
        <v>1</v>
      </c>
      <c r="J130" t="s">
        <v>99</v>
      </c>
      <c r="K130">
        <v>247.52080000000001</v>
      </c>
      <c r="L130" t="s">
        <v>100</v>
      </c>
      <c r="M130" s="6" t="str">
        <f t="shared" si="8"/>
        <v xml:space="preserve">58 </v>
      </c>
      <c r="N130" s="7">
        <f t="shared" si="10"/>
        <v>58</v>
      </c>
      <c r="O130" t="str">
        <f t="shared" si="9"/>
        <v>PC</v>
      </c>
      <c r="P130" s="4" t="str">
        <f>LEFT(L130,1)</f>
        <v>B</v>
      </c>
      <c r="Q130" t="s">
        <v>17</v>
      </c>
      <c r="U130" s="1" t="s">
        <v>26</v>
      </c>
      <c r="V130">
        <v>0</v>
      </c>
      <c r="W130">
        <v>1</v>
      </c>
      <c r="X130" t="s">
        <v>80</v>
      </c>
      <c r="Y130" s="1"/>
      <c r="Z130" t="s">
        <v>1250</v>
      </c>
      <c r="AB130" t="s">
        <v>28</v>
      </c>
    </row>
    <row r="131" spans="1:28" x14ac:dyDescent="0.25">
      <c r="A131">
        <v>868</v>
      </c>
      <c r="B131">
        <v>0</v>
      </c>
      <c r="C131">
        <v>1</v>
      </c>
      <c r="D131" t="s">
        <v>410</v>
      </c>
      <c r="E131" s="4">
        <f>LEN(D131)</f>
        <v>36</v>
      </c>
      <c r="F131" t="s">
        <v>24</v>
      </c>
      <c r="G131">
        <v>31</v>
      </c>
      <c r="H131">
        <v>0</v>
      </c>
      <c r="I131">
        <v>0</v>
      </c>
      <c r="J131" t="s">
        <v>411</v>
      </c>
      <c r="K131">
        <v>50.495800000000003</v>
      </c>
      <c r="L131" t="s">
        <v>412</v>
      </c>
      <c r="M131" s="6" t="str">
        <f t="shared" ref="M131:M194" si="14">IF(LEN(L131)&gt;3,RIGHT((LEFT(L131,4)),3),IF(LEN(L131)=3,RIGHT(L131,2),RIGHT(L131,1)))</f>
        <v>24</v>
      </c>
      <c r="N131" s="7">
        <f t="shared" si="10"/>
        <v>24</v>
      </c>
      <c r="O131" t="str">
        <f t="shared" ref="O131:O194" si="15">LEFT(J131,2)</f>
        <v>PC</v>
      </c>
      <c r="P131" s="4" t="str">
        <f>LEFT(L131,1)</f>
        <v>A</v>
      </c>
      <c r="Q131" t="s">
        <v>20</v>
      </c>
      <c r="U131" s="3" t="s">
        <v>1251</v>
      </c>
      <c r="V131" s="2">
        <v>26</v>
      </c>
      <c r="W131" s="2">
        <v>2</v>
      </c>
      <c r="X131" s="2">
        <v>28</v>
      </c>
      <c r="Z131" t="str">
        <f t="shared" ref="Z131:Z137" si="16">U131</f>
        <v>&lt;7</v>
      </c>
      <c r="AA131" s="5">
        <f t="shared" si="12"/>
        <v>7.1428571428571425E-2</v>
      </c>
      <c r="AB131">
        <f t="shared" ref="AB131:AB137" si="17">X131</f>
        <v>28</v>
      </c>
    </row>
    <row r="132" spans="1:28" x14ac:dyDescent="0.25">
      <c r="A132">
        <v>269</v>
      </c>
      <c r="B132">
        <v>1</v>
      </c>
      <c r="C132">
        <v>1</v>
      </c>
      <c r="D132" t="s">
        <v>174</v>
      </c>
      <c r="E132" s="4">
        <f>LEN(D132)</f>
        <v>45</v>
      </c>
      <c r="F132" t="s">
        <v>14</v>
      </c>
      <c r="G132">
        <v>58</v>
      </c>
      <c r="H132">
        <v>0</v>
      </c>
      <c r="I132">
        <v>1</v>
      </c>
      <c r="J132" t="s">
        <v>175</v>
      </c>
      <c r="K132">
        <v>153.46250000000001</v>
      </c>
      <c r="L132" t="s">
        <v>176</v>
      </c>
      <c r="M132" s="6" t="str">
        <f t="shared" si="14"/>
        <v>125</v>
      </c>
      <c r="N132" s="7">
        <f t="shared" ref="N132:N195" si="18">IF(LEN(M132)&gt;1, M132+0,"")</f>
        <v>125</v>
      </c>
      <c r="O132" t="str">
        <f t="shared" si="15"/>
        <v>PC</v>
      </c>
      <c r="P132" s="4" t="str">
        <f>LEFT(L132,1)</f>
        <v>C</v>
      </c>
      <c r="Q132" t="s">
        <v>20</v>
      </c>
      <c r="U132" s="3" t="s">
        <v>1252</v>
      </c>
      <c r="V132" s="2">
        <v>266</v>
      </c>
      <c r="W132" s="2">
        <v>79</v>
      </c>
      <c r="X132" s="2">
        <v>345</v>
      </c>
      <c r="Z132" t="str">
        <f t="shared" si="16"/>
        <v>7-12</v>
      </c>
      <c r="AA132" s="5">
        <f t="shared" si="12"/>
        <v>0.22898550724637681</v>
      </c>
      <c r="AB132">
        <f t="shared" si="17"/>
        <v>345</v>
      </c>
    </row>
    <row r="133" spans="1:28" x14ac:dyDescent="0.25">
      <c r="A133">
        <v>333</v>
      </c>
      <c r="B133">
        <v>0</v>
      </c>
      <c r="C133">
        <v>1</v>
      </c>
      <c r="D133" t="s">
        <v>215</v>
      </c>
      <c r="E133" s="4">
        <f>LEN(D133)</f>
        <v>25</v>
      </c>
      <c r="F133" t="s">
        <v>24</v>
      </c>
      <c r="G133">
        <v>38</v>
      </c>
      <c r="H133">
        <v>0</v>
      </c>
      <c r="I133">
        <v>1</v>
      </c>
      <c r="J133" t="s">
        <v>175</v>
      </c>
      <c r="K133">
        <v>153.46250000000001</v>
      </c>
      <c r="L133" t="s">
        <v>216</v>
      </c>
      <c r="M133" s="6" t="str">
        <f t="shared" si="14"/>
        <v>91</v>
      </c>
      <c r="N133" s="7">
        <f t="shared" si="18"/>
        <v>91</v>
      </c>
      <c r="O133" t="str">
        <f t="shared" si="15"/>
        <v>PC</v>
      </c>
      <c r="P133" s="4" t="str">
        <f>LEFT(L133,1)</f>
        <v>C</v>
      </c>
      <c r="Q133" t="s">
        <v>20</v>
      </c>
      <c r="U133" s="3" t="s">
        <v>1237</v>
      </c>
      <c r="V133" s="2">
        <v>72</v>
      </c>
      <c r="W133" s="2">
        <v>51</v>
      </c>
      <c r="X133" s="2">
        <v>123</v>
      </c>
      <c r="Z133" t="str">
        <f t="shared" si="16"/>
        <v>12-17</v>
      </c>
      <c r="AA133" s="5">
        <f t="shared" si="12"/>
        <v>0.41463414634146339</v>
      </c>
      <c r="AB133">
        <f t="shared" si="17"/>
        <v>123</v>
      </c>
    </row>
    <row r="134" spans="1:28" x14ac:dyDescent="0.25">
      <c r="A134">
        <v>610</v>
      </c>
      <c r="B134">
        <v>1</v>
      </c>
      <c r="C134">
        <v>1</v>
      </c>
      <c r="D134" t="s">
        <v>319</v>
      </c>
      <c r="E134" s="4">
        <f>LEN(D134)</f>
        <v>25</v>
      </c>
      <c r="F134" t="s">
        <v>14</v>
      </c>
      <c r="G134">
        <v>40</v>
      </c>
      <c r="H134">
        <v>0</v>
      </c>
      <c r="I134">
        <v>0</v>
      </c>
      <c r="J134" t="s">
        <v>175</v>
      </c>
      <c r="K134">
        <v>153.46250000000001</v>
      </c>
      <c r="L134" t="s">
        <v>176</v>
      </c>
      <c r="M134" s="6" t="str">
        <f t="shared" si="14"/>
        <v>125</v>
      </c>
      <c r="N134" s="7">
        <f t="shared" si="18"/>
        <v>125</v>
      </c>
      <c r="O134" t="str">
        <f t="shared" si="15"/>
        <v>PC</v>
      </c>
      <c r="P134" s="4" t="str">
        <f>LEFT(L134,1)</f>
        <v>C</v>
      </c>
      <c r="Q134" t="s">
        <v>20</v>
      </c>
      <c r="U134" s="3" t="s">
        <v>1253</v>
      </c>
      <c r="V134" s="2">
        <v>22</v>
      </c>
      <c r="W134" s="2">
        <v>17</v>
      </c>
      <c r="X134" s="2">
        <v>39</v>
      </c>
      <c r="Z134" t="str">
        <f t="shared" si="16"/>
        <v>17-22</v>
      </c>
      <c r="AA134" s="5">
        <f t="shared" ref="AA134:AA197" si="19">W134/(X134)</f>
        <v>0.4358974358974359</v>
      </c>
      <c r="AB134">
        <f t="shared" si="17"/>
        <v>39</v>
      </c>
    </row>
    <row r="135" spans="1:28" x14ac:dyDescent="0.25">
      <c r="A135">
        <v>310</v>
      </c>
      <c r="B135">
        <v>1</v>
      </c>
      <c r="C135">
        <v>1</v>
      </c>
      <c r="D135" t="s">
        <v>198</v>
      </c>
      <c r="E135" s="4">
        <f>LEN(D135)</f>
        <v>30</v>
      </c>
      <c r="F135" t="s">
        <v>14</v>
      </c>
      <c r="G135">
        <v>30</v>
      </c>
      <c r="H135">
        <v>0</v>
      </c>
      <c r="I135">
        <v>0</v>
      </c>
      <c r="J135" t="s">
        <v>199</v>
      </c>
      <c r="K135">
        <v>56.929200000000002</v>
      </c>
      <c r="L135" t="s">
        <v>200</v>
      </c>
      <c r="M135" s="6" t="str">
        <f t="shared" si="14"/>
        <v>36</v>
      </c>
      <c r="N135" s="7">
        <f t="shared" si="18"/>
        <v>36</v>
      </c>
      <c r="O135" t="str">
        <f t="shared" si="15"/>
        <v>PC</v>
      </c>
      <c r="P135" s="4" t="str">
        <f>LEFT(L135,1)</f>
        <v>E</v>
      </c>
      <c r="Q135" t="s">
        <v>17</v>
      </c>
      <c r="U135" s="3" t="s">
        <v>1254</v>
      </c>
      <c r="V135" s="2">
        <v>42</v>
      </c>
      <c r="W135" s="2">
        <v>45</v>
      </c>
      <c r="X135" s="2">
        <v>87</v>
      </c>
      <c r="Z135" t="str">
        <f t="shared" si="16"/>
        <v>22-27</v>
      </c>
      <c r="AA135" s="5">
        <f t="shared" si="19"/>
        <v>0.51724137931034486</v>
      </c>
      <c r="AB135">
        <f t="shared" si="17"/>
        <v>87</v>
      </c>
    </row>
    <row r="136" spans="1:28" x14ac:dyDescent="0.25">
      <c r="A136">
        <v>528</v>
      </c>
      <c r="B136">
        <v>0</v>
      </c>
      <c r="C136">
        <v>1</v>
      </c>
      <c r="D136" t="s">
        <v>34</v>
      </c>
      <c r="E136" s="4">
        <f>LEN(D136)</f>
        <v>18</v>
      </c>
      <c r="F136" t="s">
        <v>24</v>
      </c>
      <c r="H136">
        <v>0</v>
      </c>
      <c r="I136">
        <v>0</v>
      </c>
      <c r="J136" t="s">
        <v>35</v>
      </c>
      <c r="K136">
        <v>221.7792</v>
      </c>
      <c r="L136" t="s">
        <v>36</v>
      </c>
      <c r="M136" s="6" t="str">
        <f t="shared" si="14"/>
        <v>95</v>
      </c>
      <c r="N136" s="7">
        <f t="shared" si="18"/>
        <v>95</v>
      </c>
      <c r="O136" t="str">
        <f t="shared" si="15"/>
        <v>PC</v>
      </c>
      <c r="P136" s="4" t="str">
        <f>LEFT(L136,1)</f>
        <v>C</v>
      </c>
      <c r="Q136" t="s">
        <v>20</v>
      </c>
      <c r="U136" s="3" t="s">
        <v>1255</v>
      </c>
      <c r="V136" s="2">
        <v>36</v>
      </c>
      <c r="W136" s="2">
        <v>22</v>
      </c>
      <c r="X136" s="2">
        <v>58</v>
      </c>
      <c r="Z136" t="str">
        <f t="shared" si="16"/>
        <v>27-32</v>
      </c>
      <c r="AA136" s="5">
        <f t="shared" si="19"/>
        <v>0.37931034482758619</v>
      </c>
      <c r="AB136">
        <f t="shared" si="17"/>
        <v>58</v>
      </c>
    </row>
    <row r="137" spans="1:28" x14ac:dyDescent="0.25">
      <c r="A137">
        <v>708</v>
      </c>
      <c r="B137">
        <v>1</v>
      </c>
      <c r="C137">
        <v>1</v>
      </c>
      <c r="D137" t="s">
        <v>357</v>
      </c>
      <c r="E137" s="4">
        <f>LEN(D137)</f>
        <v>33</v>
      </c>
      <c r="F137" t="s">
        <v>24</v>
      </c>
      <c r="G137">
        <v>42</v>
      </c>
      <c r="H137">
        <v>0</v>
      </c>
      <c r="I137">
        <v>0</v>
      </c>
      <c r="J137" t="s">
        <v>358</v>
      </c>
      <c r="K137">
        <v>26.287500000000001</v>
      </c>
      <c r="L137" t="s">
        <v>356</v>
      </c>
      <c r="M137" s="6" t="str">
        <f t="shared" si="14"/>
        <v>24</v>
      </c>
      <c r="N137" s="7">
        <f t="shared" si="18"/>
        <v>24</v>
      </c>
      <c r="O137" t="str">
        <f t="shared" si="15"/>
        <v>PC</v>
      </c>
      <c r="P137" s="4" t="str">
        <f>LEFT(L137,1)</f>
        <v>E</v>
      </c>
      <c r="Q137" t="s">
        <v>20</v>
      </c>
      <c r="U137" s="3" t="s">
        <v>1256</v>
      </c>
      <c r="V137" s="2">
        <v>10</v>
      </c>
      <c r="W137" s="2">
        <v>3</v>
      </c>
      <c r="X137" s="2">
        <v>13</v>
      </c>
      <c r="Z137" t="str">
        <f t="shared" si="16"/>
        <v>32-37</v>
      </c>
      <c r="AA137" s="5">
        <f t="shared" si="19"/>
        <v>0.23076923076923078</v>
      </c>
      <c r="AB137">
        <f t="shared" si="17"/>
        <v>13</v>
      </c>
    </row>
    <row r="138" spans="1:28" x14ac:dyDescent="0.25">
      <c r="A138">
        <v>600</v>
      </c>
      <c r="B138">
        <v>1</v>
      </c>
      <c r="C138">
        <v>1</v>
      </c>
      <c r="D138" t="s">
        <v>315</v>
      </c>
      <c r="E138" s="4">
        <f>LEN(D138)</f>
        <v>44</v>
      </c>
      <c r="F138" t="s">
        <v>24</v>
      </c>
      <c r="G138">
        <v>49</v>
      </c>
      <c r="H138">
        <v>1</v>
      </c>
      <c r="I138">
        <v>0</v>
      </c>
      <c r="J138" t="s">
        <v>199</v>
      </c>
      <c r="K138">
        <v>56.929200000000002</v>
      </c>
      <c r="L138" t="s">
        <v>316</v>
      </c>
      <c r="M138" s="6" t="str">
        <f t="shared" si="14"/>
        <v>20</v>
      </c>
      <c r="N138" s="7">
        <f t="shared" si="18"/>
        <v>20</v>
      </c>
      <c r="O138" t="str">
        <f t="shared" si="15"/>
        <v>PC</v>
      </c>
      <c r="P138" s="4" t="str">
        <f>LEFT(L138,1)</f>
        <v>A</v>
      </c>
      <c r="Q138" t="s">
        <v>17</v>
      </c>
      <c r="U138" s="3" t="s">
        <v>1257</v>
      </c>
      <c r="V138" s="2">
        <v>75</v>
      </c>
      <c r="W138" s="2">
        <v>123</v>
      </c>
      <c r="X138" s="2">
        <v>198</v>
      </c>
      <c r="Z138" t="str">
        <f t="shared" ref="Z138" si="20">U138</f>
        <v>&gt;37</v>
      </c>
      <c r="AA138" s="5">
        <f t="shared" si="19"/>
        <v>0.62121212121212122</v>
      </c>
      <c r="AB138">
        <f t="shared" ref="AB138" si="21">X138</f>
        <v>198</v>
      </c>
    </row>
    <row r="139" spans="1:28" x14ac:dyDescent="0.25">
      <c r="A139">
        <v>702</v>
      </c>
      <c r="B139">
        <v>1</v>
      </c>
      <c r="C139">
        <v>1</v>
      </c>
      <c r="D139" t="s">
        <v>354</v>
      </c>
      <c r="E139" s="4">
        <f>LEN(D139)</f>
        <v>32</v>
      </c>
      <c r="F139" t="s">
        <v>24</v>
      </c>
      <c r="G139">
        <v>35</v>
      </c>
      <c r="H139">
        <v>0</v>
      </c>
      <c r="I139">
        <v>0</v>
      </c>
      <c r="J139" t="s">
        <v>355</v>
      </c>
      <c r="K139">
        <v>26.287500000000001</v>
      </c>
      <c r="L139" t="s">
        <v>356</v>
      </c>
      <c r="M139" s="6" t="str">
        <f t="shared" si="14"/>
        <v>24</v>
      </c>
      <c r="N139" s="7">
        <f t="shared" si="18"/>
        <v>24</v>
      </c>
      <c r="O139" t="str">
        <f t="shared" si="15"/>
        <v>PC</v>
      </c>
      <c r="P139" s="4" t="str">
        <f>LEFT(L139,1)</f>
        <v>E</v>
      </c>
      <c r="Q139" t="s">
        <v>20</v>
      </c>
      <c r="U139" s="3" t="s">
        <v>80</v>
      </c>
      <c r="V139" s="2">
        <v>549</v>
      </c>
      <c r="W139" s="2">
        <v>342</v>
      </c>
      <c r="X139" s="2">
        <v>891</v>
      </c>
    </row>
    <row r="140" spans="1:28" x14ac:dyDescent="0.25">
      <c r="A140">
        <v>711</v>
      </c>
      <c r="B140">
        <v>1</v>
      </c>
      <c r="C140">
        <v>1</v>
      </c>
      <c r="D140" t="s">
        <v>360</v>
      </c>
      <c r="E140" s="4">
        <f>LEN(D140)</f>
        <v>48</v>
      </c>
      <c r="F140" t="s">
        <v>14</v>
      </c>
      <c r="G140">
        <v>24</v>
      </c>
      <c r="H140">
        <v>0</v>
      </c>
      <c r="I140">
        <v>0</v>
      </c>
      <c r="J140" t="s">
        <v>361</v>
      </c>
      <c r="K140">
        <v>49.504199999999997</v>
      </c>
      <c r="L140" t="s">
        <v>362</v>
      </c>
      <c r="M140" s="6" t="str">
        <f t="shared" si="14"/>
        <v>90</v>
      </c>
      <c r="N140" s="7">
        <f t="shared" si="18"/>
        <v>90</v>
      </c>
      <c r="O140" t="str">
        <f t="shared" si="15"/>
        <v>PC</v>
      </c>
      <c r="P140" s="4" t="str">
        <f>LEFT(L140,1)</f>
        <v>C</v>
      </c>
      <c r="Q140" t="s">
        <v>17</v>
      </c>
    </row>
    <row r="141" spans="1:28" x14ac:dyDescent="0.25">
      <c r="A141">
        <v>370</v>
      </c>
      <c r="B141">
        <v>1</v>
      </c>
      <c r="C141">
        <v>1</v>
      </c>
      <c r="D141" t="s">
        <v>225</v>
      </c>
      <c r="E141" s="4">
        <f>LEN(D141)</f>
        <v>29</v>
      </c>
      <c r="F141" t="s">
        <v>14</v>
      </c>
      <c r="G141">
        <v>24</v>
      </c>
      <c r="H141">
        <v>0</v>
      </c>
      <c r="I141">
        <v>0</v>
      </c>
      <c r="J141" t="s">
        <v>226</v>
      </c>
      <c r="K141">
        <v>69.3</v>
      </c>
      <c r="L141" t="s">
        <v>227</v>
      </c>
      <c r="M141" s="6" t="str">
        <f t="shared" si="14"/>
        <v>35</v>
      </c>
      <c r="N141" s="7">
        <f t="shared" si="18"/>
        <v>35</v>
      </c>
      <c r="O141" t="str">
        <f t="shared" si="15"/>
        <v>PC</v>
      </c>
      <c r="P141" s="4" t="str">
        <f>LEFT(L141,1)</f>
        <v>B</v>
      </c>
      <c r="Q141" t="s">
        <v>17</v>
      </c>
    </row>
    <row r="142" spans="1:28" x14ac:dyDescent="0.25">
      <c r="A142">
        <v>642</v>
      </c>
      <c r="B142">
        <v>1</v>
      </c>
      <c r="C142">
        <v>1</v>
      </c>
      <c r="D142" t="s">
        <v>330</v>
      </c>
      <c r="E142" s="4">
        <f>LEN(D142)</f>
        <v>20</v>
      </c>
      <c r="F142" t="s">
        <v>14</v>
      </c>
      <c r="G142">
        <v>24</v>
      </c>
      <c r="H142">
        <v>0</v>
      </c>
      <c r="I142">
        <v>0</v>
      </c>
      <c r="J142" t="s">
        <v>226</v>
      </c>
      <c r="K142">
        <v>69.3</v>
      </c>
      <c r="L142" t="s">
        <v>227</v>
      </c>
      <c r="M142" s="6" t="str">
        <f t="shared" si="14"/>
        <v>35</v>
      </c>
      <c r="N142" s="7">
        <f t="shared" si="18"/>
        <v>35</v>
      </c>
      <c r="O142" t="str">
        <f t="shared" si="15"/>
        <v>PC</v>
      </c>
      <c r="P142" s="4" t="str">
        <f>LEFT(L142,1)</f>
        <v>B</v>
      </c>
      <c r="Q142" t="s">
        <v>17</v>
      </c>
    </row>
    <row r="143" spans="1:28" x14ac:dyDescent="0.25">
      <c r="A143">
        <v>573</v>
      </c>
      <c r="B143">
        <v>1</v>
      </c>
      <c r="C143">
        <v>1</v>
      </c>
      <c r="D143" t="s">
        <v>303</v>
      </c>
      <c r="E143" s="4">
        <f>LEN(D143)</f>
        <v>32</v>
      </c>
      <c r="F143" t="s">
        <v>24</v>
      </c>
      <c r="G143">
        <v>36</v>
      </c>
      <c r="H143">
        <v>0</v>
      </c>
      <c r="I143">
        <v>0</v>
      </c>
      <c r="J143" t="s">
        <v>304</v>
      </c>
      <c r="K143">
        <v>26.387499999999999</v>
      </c>
      <c r="L143" t="s">
        <v>275</v>
      </c>
      <c r="M143" s="6" t="str">
        <f t="shared" si="14"/>
        <v>25</v>
      </c>
      <c r="N143" s="7">
        <f t="shared" si="18"/>
        <v>25</v>
      </c>
      <c r="O143" t="str">
        <f t="shared" si="15"/>
        <v>PC</v>
      </c>
      <c r="P143" s="4" t="str">
        <f>LEFT(L143,1)</f>
        <v>E</v>
      </c>
      <c r="Q143" t="s">
        <v>20</v>
      </c>
    </row>
    <row r="144" spans="1:28" hidden="1" x14ac:dyDescent="0.25">
      <c r="A144">
        <v>309</v>
      </c>
      <c r="B144">
        <v>0</v>
      </c>
      <c r="C144">
        <v>2</v>
      </c>
      <c r="D144" t="s">
        <v>508</v>
      </c>
      <c r="E144" s="4">
        <f>LEN(D144)</f>
        <v>19</v>
      </c>
      <c r="F144" t="s">
        <v>24</v>
      </c>
      <c r="G144">
        <v>30</v>
      </c>
      <c r="H144">
        <v>1</v>
      </c>
      <c r="I144">
        <v>0</v>
      </c>
      <c r="J144" t="s">
        <v>509</v>
      </c>
      <c r="K144">
        <v>24</v>
      </c>
      <c r="M144" s="6" t="str">
        <f t="shared" si="14"/>
        <v/>
      </c>
      <c r="N144" s="7" t="str">
        <f t="shared" si="18"/>
        <v/>
      </c>
      <c r="O144" t="str">
        <f t="shared" si="15"/>
        <v>P/</v>
      </c>
      <c r="P144" s="4" t="str">
        <f>LEFT(L144,1)</f>
        <v/>
      </c>
      <c r="Q144" t="s">
        <v>17</v>
      </c>
    </row>
    <row r="145" spans="1:35" x14ac:dyDescent="0.25">
      <c r="A145">
        <v>513</v>
      </c>
      <c r="B145">
        <v>1</v>
      </c>
      <c r="C145">
        <v>1</v>
      </c>
      <c r="D145" t="s">
        <v>273</v>
      </c>
      <c r="E145" s="4">
        <f>LEN(D145)</f>
        <v>25</v>
      </c>
      <c r="F145" t="s">
        <v>24</v>
      </c>
      <c r="G145">
        <v>36</v>
      </c>
      <c r="H145">
        <v>0</v>
      </c>
      <c r="I145">
        <v>0</v>
      </c>
      <c r="J145" t="s">
        <v>274</v>
      </c>
      <c r="K145">
        <v>26.287500000000001</v>
      </c>
      <c r="L145" t="s">
        <v>275</v>
      </c>
      <c r="M145" s="6" t="str">
        <f t="shared" si="14"/>
        <v>25</v>
      </c>
      <c r="N145" s="7">
        <f t="shared" si="18"/>
        <v>25</v>
      </c>
      <c r="O145" t="str">
        <f t="shared" si="15"/>
        <v>PC</v>
      </c>
      <c r="P145" s="4" t="str">
        <f>LEFT(L145,1)</f>
        <v>E</v>
      </c>
      <c r="Q145" t="s">
        <v>20</v>
      </c>
    </row>
    <row r="146" spans="1:35" hidden="1" x14ac:dyDescent="0.25">
      <c r="A146">
        <v>169</v>
      </c>
      <c r="B146">
        <v>0</v>
      </c>
      <c r="C146">
        <v>1</v>
      </c>
      <c r="D146" t="s">
        <v>142</v>
      </c>
      <c r="E146" s="4">
        <f>LEN(D146)</f>
        <v>19</v>
      </c>
      <c r="F146" t="s">
        <v>24</v>
      </c>
      <c r="H146">
        <v>0</v>
      </c>
      <c r="I146">
        <v>0</v>
      </c>
      <c r="J146" t="s">
        <v>143</v>
      </c>
      <c r="K146">
        <v>25.925000000000001</v>
      </c>
      <c r="M146" s="6" t="str">
        <f t="shared" si="14"/>
        <v/>
      </c>
      <c r="N146" s="7" t="str">
        <f t="shared" si="18"/>
        <v/>
      </c>
      <c r="O146" t="str">
        <f t="shared" si="15"/>
        <v>PC</v>
      </c>
      <c r="P146" s="4" t="str">
        <f>LEFT(L146,1)</f>
        <v/>
      </c>
      <c r="Q146" t="s">
        <v>20</v>
      </c>
    </row>
    <row r="147" spans="1:35" hidden="1" x14ac:dyDescent="0.25">
      <c r="A147">
        <v>875</v>
      </c>
      <c r="B147">
        <v>1</v>
      </c>
      <c r="C147">
        <v>2</v>
      </c>
      <c r="D147" t="s">
        <v>648</v>
      </c>
      <c r="E147" s="4">
        <f>LEN(D147)</f>
        <v>37</v>
      </c>
      <c r="F147" t="s">
        <v>14</v>
      </c>
      <c r="G147">
        <v>28</v>
      </c>
      <c r="H147">
        <v>1</v>
      </c>
      <c r="I147">
        <v>0</v>
      </c>
      <c r="J147" t="s">
        <v>509</v>
      </c>
      <c r="K147">
        <v>24</v>
      </c>
      <c r="M147" s="6" t="str">
        <f t="shared" si="14"/>
        <v/>
      </c>
      <c r="N147" s="7" t="str">
        <f t="shared" si="18"/>
        <v/>
      </c>
      <c r="O147" t="str">
        <f t="shared" si="15"/>
        <v>P/</v>
      </c>
      <c r="P147" s="4" t="str">
        <f>LEFT(L147,1)</f>
        <v/>
      </c>
      <c r="Q147" t="s">
        <v>17</v>
      </c>
    </row>
    <row r="148" spans="1:35" hidden="1" x14ac:dyDescent="0.25">
      <c r="A148">
        <v>180</v>
      </c>
      <c r="B148">
        <v>0</v>
      </c>
      <c r="C148">
        <v>3</v>
      </c>
      <c r="D148" t="s">
        <v>769</v>
      </c>
      <c r="E148" s="4">
        <f>LEN(D148)</f>
        <v>19</v>
      </c>
      <c r="F148" t="s">
        <v>24</v>
      </c>
      <c r="G148">
        <v>36</v>
      </c>
      <c r="H148">
        <v>0</v>
      </c>
      <c r="I148">
        <v>0</v>
      </c>
      <c r="J148" t="s">
        <v>770</v>
      </c>
      <c r="K148">
        <v>0</v>
      </c>
      <c r="M148" s="6" t="str">
        <f t="shared" si="14"/>
        <v/>
      </c>
      <c r="N148" s="7" t="str">
        <f t="shared" si="18"/>
        <v/>
      </c>
      <c r="O148" t="str">
        <f t="shared" si="15"/>
        <v>LI</v>
      </c>
      <c r="P148" s="4" t="str">
        <f>LEFT(L148,1)</f>
        <v/>
      </c>
      <c r="Q148" t="s">
        <v>20</v>
      </c>
    </row>
    <row r="149" spans="1:35" hidden="1" x14ac:dyDescent="0.25">
      <c r="A149">
        <v>692</v>
      </c>
      <c r="B149">
        <v>1</v>
      </c>
      <c r="C149">
        <v>3</v>
      </c>
      <c r="D149" t="s">
        <v>1109</v>
      </c>
      <c r="E149" s="4">
        <f>LEN(D149)</f>
        <v>18</v>
      </c>
      <c r="F149" t="s">
        <v>14</v>
      </c>
      <c r="G149">
        <v>4</v>
      </c>
      <c r="H149">
        <v>0</v>
      </c>
      <c r="I149">
        <v>1</v>
      </c>
      <c r="J149">
        <v>349256</v>
      </c>
      <c r="K149">
        <v>13.416700000000001</v>
      </c>
      <c r="M149" s="6" t="str">
        <f t="shared" si="14"/>
        <v/>
      </c>
      <c r="N149" s="7" t="str">
        <f t="shared" si="18"/>
        <v/>
      </c>
      <c r="O149" t="str">
        <f t="shared" si="15"/>
        <v>34</v>
      </c>
      <c r="P149" s="4" t="str">
        <f>LEFT(L149,1)</f>
        <v/>
      </c>
      <c r="Q149" t="s">
        <v>17</v>
      </c>
    </row>
    <row r="150" spans="1:35" hidden="1" x14ac:dyDescent="0.25">
      <c r="A150">
        <v>421</v>
      </c>
      <c r="B150">
        <v>0</v>
      </c>
      <c r="C150">
        <v>3</v>
      </c>
      <c r="D150" t="s">
        <v>999</v>
      </c>
      <c r="E150" s="4">
        <f>LEN(D150)</f>
        <v>22</v>
      </c>
      <c r="F150" t="s">
        <v>24</v>
      </c>
      <c r="H150">
        <v>0</v>
      </c>
      <c r="I150">
        <v>0</v>
      </c>
      <c r="J150">
        <v>349254</v>
      </c>
      <c r="K150">
        <v>7.8958000000000004</v>
      </c>
      <c r="M150" s="6" t="str">
        <f t="shared" si="14"/>
        <v/>
      </c>
      <c r="N150" s="7" t="str">
        <f t="shared" si="18"/>
        <v/>
      </c>
      <c r="O150" t="str">
        <f t="shared" si="15"/>
        <v>34</v>
      </c>
      <c r="P150" s="4" t="str">
        <f>LEFT(L150,1)</f>
        <v/>
      </c>
      <c r="Q150" t="s">
        <v>17</v>
      </c>
      <c r="U150" s="1" t="s">
        <v>21</v>
      </c>
      <c r="V150" s="1" t="s">
        <v>22</v>
      </c>
    </row>
    <row r="151" spans="1:35" hidden="1" x14ac:dyDescent="0.25">
      <c r="A151">
        <v>272</v>
      </c>
      <c r="B151">
        <v>1</v>
      </c>
      <c r="C151">
        <v>3</v>
      </c>
      <c r="D151" t="s">
        <v>829</v>
      </c>
      <c r="E151" s="4">
        <f>LEN(D151)</f>
        <v>28</v>
      </c>
      <c r="F151" t="s">
        <v>24</v>
      </c>
      <c r="G151">
        <v>25</v>
      </c>
      <c r="H151">
        <v>0</v>
      </c>
      <c r="I151">
        <v>0</v>
      </c>
      <c r="J151" t="s">
        <v>770</v>
      </c>
      <c r="K151">
        <v>0</v>
      </c>
      <c r="M151" s="6" t="str">
        <f t="shared" si="14"/>
        <v/>
      </c>
      <c r="N151" s="7" t="str">
        <f t="shared" si="18"/>
        <v/>
      </c>
      <c r="O151" t="str">
        <f t="shared" si="15"/>
        <v>LI</v>
      </c>
      <c r="P151" s="4" t="str">
        <f>LEFT(L151,1)</f>
        <v/>
      </c>
      <c r="Q151" t="s">
        <v>20</v>
      </c>
      <c r="U151" s="1" t="s">
        <v>26</v>
      </c>
      <c r="V151">
        <v>0</v>
      </c>
      <c r="W151">
        <v>1</v>
      </c>
      <c r="X151" t="s">
        <v>80</v>
      </c>
      <c r="Y151" s="1"/>
      <c r="Z151" t="s">
        <v>1263</v>
      </c>
      <c r="AA151" t="s">
        <v>27</v>
      </c>
      <c r="AB151" t="s">
        <v>28</v>
      </c>
      <c r="AG151" t="s">
        <v>1263</v>
      </c>
      <c r="AH151" t="s">
        <v>27</v>
      </c>
      <c r="AI151" t="s">
        <v>28</v>
      </c>
    </row>
    <row r="152" spans="1:35" hidden="1" x14ac:dyDescent="0.25">
      <c r="A152">
        <v>43</v>
      </c>
      <c r="B152">
        <v>0</v>
      </c>
      <c r="C152">
        <v>3</v>
      </c>
      <c r="D152" t="s">
        <v>976</v>
      </c>
      <c r="E152" s="4">
        <f>LEN(D152)</f>
        <v>19</v>
      </c>
      <c r="F152" t="s">
        <v>24</v>
      </c>
      <c r="H152">
        <v>0</v>
      </c>
      <c r="I152">
        <v>0</v>
      </c>
      <c r="J152">
        <v>349253</v>
      </c>
      <c r="K152">
        <v>7.8958000000000004</v>
      </c>
      <c r="M152" s="6" t="str">
        <f t="shared" si="14"/>
        <v/>
      </c>
      <c r="N152" s="7" t="str">
        <f t="shared" si="18"/>
        <v/>
      </c>
      <c r="O152" t="str">
        <f t="shared" si="15"/>
        <v>34</v>
      </c>
      <c r="P152" s="4" t="str">
        <f>LEFT(L152,1)</f>
        <v/>
      </c>
      <c r="Q152" t="s">
        <v>17</v>
      </c>
      <c r="U152" s="3">
        <v>22</v>
      </c>
      <c r="V152" s="2">
        <v>3</v>
      </c>
      <c r="W152" s="2">
        <v>2</v>
      </c>
      <c r="X152" s="2">
        <v>5</v>
      </c>
      <c r="Z152">
        <f t="shared" ref="Z152:Z202" si="22">U152</f>
        <v>22</v>
      </c>
      <c r="AA152" s="5">
        <f>W152/(X152)</f>
        <v>0.4</v>
      </c>
      <c r="AB152">
        <f t="shared" ref="AB152:AB202" si="23">X152</f>
        <v>5</v>
      </c>
      <c r="AG152">
        <v>10</v>
      </c>
      <c r="AH152" s="5">
        <v>0.66666666666666663</v>
      </c>
      <c r="AI152">
        <v>3</v>
      </c>
    </row>
    <row r="153" spans="1:35" hidden="1" x14ac:dyDescent="0.25">
      <c r="A153">
        <v>131</v>
      </c>
      <c r="B153">
        <v>0</v>
      </c>
      <c r="C153">
        <v>3</v>
      </c>
      <c r="D153" t="s">
        <v>738</v>
      </c>
      <c r="E153" s="4">
        <f>LEN(D153)</f>
        <v>20</v>
      </c>
      <c r="F153" t="s">
        <v>24</v>
      </c>
      <c r="G153">
        <v>33</v>
      </c>
      <c r="H153">
        <v>0</v>
      </c>
      <c r="I153">
        <v>0</v>
      </c>
      <c r="J153">
        <v>349241</v>
      </c>
      <c r="K153">
        <v>7.8958000000000004</v>
      </c>
      <c r="M153" s="6" t="str">
        <f t="shared" si="14"/>
        <v/>
      </c>
      <c r="N153" s="7" t="str">
        <f t="shared" si="18"/>
        <v/>
      </c>
      <c r="O153" t="str">
        <f t="shared" si="15"/>
        <v>34</v>
      </c>
      <c r="P153" s="4" t="str">
        <f>LEFT(L153,1)</f>
        <v/>
      </c>
      <c r="Q153" t="s">
        <v>17</v>
      </c>
      <c r="U153" s="3">
        <v>31</v>
      </c>
      <c r="V153" s="2">
        <v>1</v>
      </c>
      <c r="W153" s="2">
        <v>1</v>
      </c>
      <c r="X153" s="2">
        <v>2</v>
      </c>
      <c r="Z153">
        <f t="shared" si="22"/>
        <v>31</v>
      </c>
      <c r="AA153" s="5">
        <f t="shared" si="19"/>
        <v>0.5</v>
      </c>
      <c r="AB153">
        <f t="shared" si="23"/>
        <v>2</v>
      </c>
      <c r="AG153">
        <v>11</v>
      </c>
      <c r="AH153" s="5">
        <v>1</v>
      </c>
      <c r="AI153">
        <v>1</v>
      </c>
    </row>
    <row r="154" spans="1:35" hidden="1" x14ac:dyDescent="0.25">
      <c r="A154">
        <v>456</v>
      </c>
      <c r="B154">
        <v>1</v>
      </c>
      <c r="C154">
        <v>3</v>
      </c>
      <c r="D154" t="s">
        <v>948</v>
      </c>
      <c r="E154" s="4">
        <f>LEN(D154)</f>
        <v>18</v>
      </c>
      <c r="F154" t="s">
        <v>24</v>
      </c>
      <c r="G154">
        <v>29</v>
      </c>
      <c r="H154">
        <v>0</v>
      </c>
      <c r="I154">
        <v>0</v>
      </c>
      <c r="J154">
        <v>349240</v>
      </c>
      <c r="K154">
        <v>7.8958000000000004</v>
      </c>
      <c r="M154" s="6" t="str">
        <f t="shared" si="14"/>
        <v/>
      </c>
      <c r="N154" s="7" t="str">
        <f t="shared" si="18"/>
        <v/>
      </c>
      <c r="O154" t="str">
        <f t="shared" si="15"/>
        <v>34</v>
      </c>
      <c r="P154" s="4" t="str">
        <f>LEFT(L154,1)</f>
        <v/>
      </c>
      <c r="Q154" t="s">
        <v>17</v>
      </c>
      <c r="U154" s="3">
        <v>38</v>
      </c>
      <c r="V154" s="2">
        <v>3</v>
      </c>
      <c r="W154" s="2"/>
      <c r="X154" s="2">
        <v>3</v>
      </c>
      <c r="Z154">
        <f t="shared" si="22"/>
        <v>38</v>
      </c>
      <c r="AA154" s="5">
        <f t="shared" si="19"/>
        <v>0</v>
      </c>
      <c r="AB154">
        <f t="shared" si="23"/>
        <v>3</v>
      </c>
      <c r="AG154">
        <v>12</v>
      </c>
      <c r="AH154" s="5">
        <v>1</v>
      </c>
      <c r="AI154">
        <v>1</v>
      </c>
    </row>
    <row r="155" spans="1:35" hidden="1" x14ac:dyDescent="0.25">
      <c r="A155">
        <v>303</v>
      </c>
      <c r="B155">
        <v>0</v>
      </c>
      <c r="C155">
        <v>3</v>
      </c>
      <c r="D155" t="s">
        <v>853</v>
      </c>
      <c r="E155" s="4">
        <f>LEN(D155)</f>
        <v>31</v>
      </c>
      <c r="F155" t="s">
        <v>24</v>
      </c>
      <c r="G155">
        <v>19</v>
      </c>
      <c r="H155">
        <v>0</v>
      </c>
      <c r="I155">
        <v>0</v>
      </c>
      <c r="J155" t="s">
        <v>770</v>
      </c>
      <c r="K155">
        <v>0</v>
      </c>
      <c r="M155" s="6" t="str">
        <f t="shared" si="14"/>
        <v/>
      </c>
      <c r="N155" s="7" t="str">
        <f t="shared" si="18"/>
        <v/>
      </c>
      <c r="O155" t="str">
        <f t="shared" si="15"/>
        <v>LI</v>
      </c>
      <c r="P155" s="4" t="str">
        <f>LEFT(L155,1)</f>
        <v/>
      </c>
      <c r="Q155" t="s">
        <v>20</v>
      </c>
      <c r="U155" s="3">
        <v>28</v>
      </c>
      <c r="V155" s="2"/>
      <c r="W155" s="2">
        <v>3</v>
      </c>
      <c r="X155" s="2">
        <v>3</v>
      </c>
      <c r="Z155">
        <f t="shared" si="22"/>
        <v>28</v>
      </c>
      <c r="AA155" s="5">
        <f t="shared" si="19"/>
        <v>1</v>
      </c>
      <c r="AB155">
        <f t="shared" si="23"/>
        <v>3</v>
      </c>
      <c r="AG155">
        <v>14</v>
      </c>
      <c r="AH155" s="5">
        <v>0</v>
      </c>
      <c r="AI155">
        <v>1</v>
      </c>
    </row>
    <row r="156" spans="1:35" hidden="1" x14ac:dyDescent="0.25">
      <c r="A156">
        <v>286</v>
      </c>
      <c r="B156">
        <v>0</v>
      </c>
      <c r="C156">
        <v>3</v>
      </c>
      <c r="D156" t="s">
        <v>842</v>
      </c>
      <c r="E156" s="4">
        <f>LEN(D156)</f>
        <v>19</v>
      </c>
      <c r="F156" t="s">
        <v>24</v>
      </c>
      <c r="G156">
        <v>33</v>
      </c>
      <c r="H156">
        <v>0</v>
      </c>
      <c r="I156">
        <v>0</v>
      </c>
      <c r="J156">
        <v>349239</v>
      </c>
      <c r="K156">
        <v>8.6624999999999996</v>
      </c>
      <c r="M156" s="6" t="str">
        <f t="shared" si="14"/>
        <v/>
      </c>
      <c r="N156" s="7" t="str">
        <f t="shared" si="18"/>
        <v/>
      </c>
      <c r="O156" t="str">
        <f t="shared" si="15"/>
        <v>34</v>
      </c>
      <c r="P156" s="4" t="str">
        <f>LEFT(L156,1)</f>
        <v/>
      </c>
      <c r="Q156" t="s">
        <v>17</v>
      </c>
      <c r="U156" s="3">
        <v>86</v>
      </c>
      <c r="V156" s="2">
        <v>2</v>
      </c>
      <c r="W156" s="2"/>
      <c r="X156" s="2">
        <v>2</v>
      </c>
      <c r="Z156">
        <f t="shared" si="22"/>
        <v>86</v>
      </c>
      <c r="AA156" s="5">
        <f t="shared" si="19"/>
        <v>0</v>
      </c>
      <c r="AB156">
        <f t="shared" si="23"/>
        <v>2</v>
      </c>
      <c r="AG156">
        <v>15</v>
      </c>
      <c r="AH156" s="5">
        <v>1</v>
      </c>
      <c r="AI156">
        <v>1</v>
      </c>
    </row>
    <row r="157" spans="1:35" hidden="1" x14ac:dyDescent="0.25">
      <c r="A157">
        <v>598</v>
      </c>
      <c r="B157">
        <v>0</v>
      </c>
      <c r="C157">
        <v>3</v>
      </c>
      <c r="D157" t="s">
        <v>1048</v>
      </c>
      <c r="E157" s="4">
        <f>LEN(D157)</f>
        <v>19</v>
      </c>
      <c r="F157" t="s">
        <v>24</v>
      </c>
      <c r="G157">
        <v>49</v>
      </c>
      <c r="H157">
        <v>0</v>
      </c>
      <c r="I157">
        <v>0</v>
      </c>
      <c r="J157" t="s">
        <v>770</v>
      </c>
      <c r="K157">
        <v>0</v>
      </c>
      <c r="M157" s="6" t="str">
        <f t="shared" si="14"/>
        <v/>
      </c>
      <c r="N157" s="7" t="str">
        <f t="shared" si="18"/>
        <v/>
      </c>
      <c r="O157" t="str">
        <f t="shared" si="15"/>
        <v>LI</v>
      </c>
      <c r="P157" s="4" t="str">
        <f>LEFT(L157,1)</f>
        <v/>
      </c>
      <c r="Q157" t="s">
        <v>20</v>
      </c>
      <c r="U157" s="3">
        <v>32</v>
      </c>
      <c r="V157" s="2">
        <v>1</v>
      </c>
      <c r="W157" s="2">
        <v>1</v>
      </c>
      <c r="X157" s="2">
        <v>2</v>
      </c>
      <c r="Z157">
        <f t="shared" si="22"/>
        <v>32</v>
      </c>
      <c r="AA157" s="5">
        <f t="shared" si="19"/>
        <v>0.5</v>
      </c>
      <c r="AB157">
        <f t="shared" si="23"/>
        <v>2</v>
      </c>
      <c r="AG157">
        <v>16</v>
      </c>
      <c r="AH157" s="5">
        <v>1</v>
      </c>
      <c r="AI157">
        <v>1</v>
      </c>
    </row>
    <row r="158" spans="1:35" hidden="1" x14ac:dyDescent="0.25">
      <c r="A158">
        <v>155</v>
      </c>
      <c r="B158">
        <v>0</v>
      </c>
      <c r="C158">
        <v>3</v>
      </c>
      <c r="D158" t="s">
        <v>1133</v>
      </c>
      <c r="E158" s="4">
        <f>LEN(D158)</f>
        <v>21</v>
      </c>
      <c r="F158" t="s">
        <v>24</v>
      </c>
      <c r="H158">
        <v>0</v>
      </c>
      <c r="I158">
        <v>0</v>
      </c>
      <c r="J158" t="s">
        <v>1134</v>
      </c>
      <c r="K158">
        <v>7.3125</v>
      </c>
      <c r="M158" s="6" t="str">
        <f t="shared" si="14"/>
        <v/>
      </c>
      <c r="N158" s="7" t="str">
        <f t="shared" si="18"/>
        <v/>
      </c>
      <c r="O158" t="str">
        <f t="shared" si="15"/>
        <v>Fa</v>
      </c>
      <c r="P158" s="4" t="str">
        <f>LEFT(L158,1)</f>
        <v/>
      </c>
      <c r="Q158" t="s">
        <v>20</v>
      </c>
      <c r="U158" s="3">
        <v>10</v>
      </c>
      <c r="V158" s="2">
        <v>1</v>
      </c>
      <c r="W158" s="2">
        <v>2</v>
      </c>
      <c r="X158" s="2">
        <v>3</v>
      </c>
      <c r="Z158">
        <f t="shared" si="22"/>
        <v>10</v>
      </c>
      <c r="AA158" s="5">
        <f t="shared" si="19"/>
        <v>0.66666666666666663</v>
      </c>
      <c r="AB158">
        <f t="shared" si="23"/>
        <v>3</v>
      </c>
      <c r="AG158">
        <v>17</v>
      </c>
      <c r="AH158" s="5">
        <v>1</v>
      </c>
      <c r="AI158">
        <v>3</v>
      </c>
    </row>
    <row r="159" spans="1:35" hidden="1" x14ac:dyDescent="0.25">
      <c r="A159">
        <v>459</v>
      </c>
      <c r="B159">
        <v>1</v>
      </c>
      <c r="C159">
        <v>2</v>
      </c>
      <c r="D159" t="s">
        <v>556</v>
      </c>
      <c r="E159" s="4">
        <f>LEN(D159)</f>
        <v>19</v>
      </c>
      <c r="F159" t="s">
        <v>14</v>
      </c>
      <c r="G159">
        <v>50</v>
      </c>
      <c r="H159">
        <v>0</v>
      </c>
      <c r="I159">
        <v>0</v>
      </c>
      <c r="J159" t="s">
        <v>557</v>
      </c>
      <c r="K159">
        <v>10.5</v>
      </c>
      <c r="M159" s="6" t="str">
        <f t="shared" si="14"/>
        <v/>
      </c>
      <c r="N159" s="7" t="str">
        <f t="shared" si="18"/>
        <v/>
      </c>
      <c r="O159" t="str">
        <f t="shared" si="15"/>
        <v>F.</v>
      </c>
      <c r="P159" s="4" t="str">
        <f>LEFT(L159,1)</f>
        <v/>
      </c>
      <c r="Q159" t="s">
        <v>20</v>
      </c>
      <c r="U159" s="3">
        <v>65</v>
      </c>
      <c r="V159" s="2">
        <v>1</v>
      </c>
      <c r="W159" s="2">
        <v>1</v>
      </c>
      <c r="X159" s="2">
        <v>2</v>
      </c>
      <c r="Z159">
        <f t="shared" si="22"/>
        <v>65</v>
      </c>
      <c r="AA159" s="5">
        <f t="shared" si="19"/>
        <v>0.5</v>
      </c>
      <c r="AB159">
        <f t="shared" si="23"/>
        <v>2</v>
      </c>
      <c r="AG159">
        <v>18</v>
      </c>
      <c r="AH159" s="5">
        <v>1</v>
      </c>
      <c r="AI159">
        <v>2</v>
      </c>
    </row>
    <row r="160" spans="1:35" hidden="1" x14ac:dyDescent="0.25">
      <c r="A160">
        <v>315</v>
      </c>
      <c r="B160">
        <v>0</v>
      </c>
      <c r="C160">
        <v>2</v>
      </c>
      <c r="D160" t="s">
        <v>511</v>
      </c>
      <c r="E160" s="4">
        <f>LEN(D160)</f>
        <v>18</v>
      </c>
      <c r="F160" t="s">
        <v>24</v>
      </c>
      <c r="G160">
        <v>43</v>
      </c>
      <c r="H160">
        <v>1</v>
      </c>
      <c r="I160">
        <v>1</v>
      </c>
      <c r="J160" t="s">
        <v>512</v>
      </c>
      <c r="K160">
        <v>26.25</v>
      </c>
      <c r="M160" s="6" t="str">
        <f t="shared" si="14"/>
        <v/>
      </c>
      <c r="N160" s="7" t="str">
        <f t="shared" si="18"/>
        <v/>
      </c>
      <c r="O160" t="str">
        <f t="shared" si="15"/>
        <v>F.</v>
      </c>
      <c r="P160" s="4" t="str">
        <f>LEFT(L160,1)</f>
        <v/>
      </c>
      <c r="Q160" t="s">
        <v>20</v>
      </c>
      <c r="U160" s="3">
        <v>62</v>
      </c>
      <c r="V160" s="2"/>
      <c r="W160" s="2">
        <v>1</v>
      </c>
      <c r="X160" s="2">
        <v>1</v>
      </c>
      <c r="Z160">
        <f t="shared" si="22"/>
        <v>62</v>
      </c>
      <c r="AA160" s="5">
        <f t="shared" si="19"/>
        <v>1</v>
      </c>
      <c r="AB160">
        <f t="shared" si="23"/>
        <v>1</v>
      </c>
      <c r="AG160">
        <v>19</v>
      </c>
      <c r="AH160" s="5">
        <v>0.33333333333333331</v>
      </c>
      <c r="AI160">
        <v>3</v>
      </c>
    </row>
    <row r="161" spans="1:35" hidden="1" x14ac:dyDescent="0.25">
      <c r="A161">
        <v>441</v>
      </c>
      <c r="B161">
        <v>1</v>
      </c>
      <c r="C161">
        <v>2</v>
      </c>
      <c r="D161" t="s">
        <v>552</v>
      </c>
      <c r="E161" s="4">
        <f>LEN(D161)</f>
        <v>43</v>
      </c>
      <c r="F161" t="s">
        <v>14</v>
      </c>
      <c r="G161">
        <v>45</v>
      </c>
      <c r="H161">
        <v>1</v>
      </c>
      <c r="I161">
        <v>1</v>
      </c>
      <c r="J161" t="s">
        <v>512</v>
      </c>
      <c r="K161">
        <v>26.25</v>
      </c>
      <c r="M161" s="6" t="str">
        <f t="shared" si="14"/>
        <v/>
      </c>
      <c r="N161" s="7" t="str">
        <f t="shared" si="18"/>
        <v/>
      </c>
      <c r="O161" t="str">
        <f t="shared" si="15"/>
        <v>F.</v>
      </c>
      <c r="P161" s="4" t="str">
        <f>LEFT(L161,1)</f>
        <v/>
      </c>
      <c r="Q161" t="s">
        <v>20</v>
      </c>
      <c r="U161" s="3">
        <v>45</v>
      </c>
      <c r="V161" s="2"/>
      <c r="W161" s="2">
        <v>2</v>
      </c>
      <c r="X161" s="2">
        <v>2</v>
      </c>
      <c r="Z161">
        <f t="shared" si="22"/>
        <v>45</v>
      </c>
      <c r="AA161" s="5">
        <f t="shared" si="19"/>
        <v>1</v>
      </c>
      <c r="AB161">
        <f t="shared" si="23"/>
        <v>2</v>
      </c>
      <c r="AG161">
        <v>20</v>
      </c>
      <c r="AH161" s="5">
        <v>1</v>
      </c>
      <c r="AI161">
        <v>5</v>
      </c>
    </row>
    <row r="162" spans="1:35" hidden="1" x14ac:dyDescent="0.25">
      <c r="A162">
        <v>848</v>
      </c>
      <c r="B162">
        <v>0</v>
      </c>
      <c r="C162">
        <v>3</v>
      </c>
      <c r="D162" t="s">
        <v>1217</v>
      </c>
      <c r="E162" s="4">
        <f>LEN(D162)</f>
        <v>18</v>
      </c>
      <c r="F162" t="s">
        <v>24</v>
      </c>
      <c r="G162">
        <v>35</v>
      </c>
      <c r="H162">
        <v>0</v>
      </c>
      <c r="I162">
        <v>0</v>
      </c>
      <c r="J162">
        <v>349213</v>
      </c>
      <c r="K162">
        <v>7.8958000000000004</v>
      </c>
      <c r="M162" s="6" t="str">
        <f t="shared" si="14"/>
        <v/>
      </c>
      <c r="N162" s="7" t="str">
        <f t="shared" si="18"/>
        <v/>
      </c>
      <c r="O162" t="str">
        <f t="shared" si="15"/>
        <v>34</v>
      </c>
      <c r="P162" s="4" t="str">
        <f>LEFT(L162,1)</f>
        <v/>
      </c>
      <c r="Q162" t="s">
        <v>17</v>
      </c>
      <c r="U162" s="3">
        <v>49</v>
      </c>
      <c r="V162" s="2">
        <v>1</v>
      </c>
      <c r="W162" s="2">
        <v>4</v>
      </c>
      <c r="X162" s="2">
        <v>5</v>
      </c>
      <c r="Z162">
        <f t="shared" si="22"/>
        <v>49</v>
      </c>
      <c r="AA162" s="5">
        <f t="shared" si="19"/>
        <v>0.8</v>
      </c>
      <c r="AB162">
        <f t="shared" si="23"/>
        <v>5</v>
      </c>
      <c r="AG162">
        <v>21</v>
      </c>
      <c r="AH162" s="5">
        <v>1</v>
      </c>
      <c r="AI162">
        <v>1</v>
      </c>
    </row>
    <row r="163" spans="1:35" hidden="1" x14ac:dyDescent="0.25">
      <c r="A163">
        <v>10</v>
      </c>
      <c r="B163">
        <v>1</v>
      </c>
      <c r="C163">
        <v>2</v>
      </c>
      <c r="D163" t="s">
        <v>423</v>
      </c>
      <c r="E163" s="4">
        <f>LEN(D163)</f>
        <v>35</v>
      </c>
      <c r="F163" t="s">
        <v>14</v>
      </c>
      <c r="G163">
        <v>14</v>
      </c>
      <c r="H163">
        <v>1</v>
      </c>
      <c r="I163">
        <v>0</v>
      </c>
      <c r="J163">
        <v>237736</v>
      </c>
      <c r="K163">
        <v>30.070799999999998</v>
      </c>
      <c r="M163" s="6" t="str">
        <f t="shared" si="14"/>
        <v/>
      </c>
      <c r="N163" s="7" t="str">
        <f t="shared" si="18"/>
        <v/>
      </c>
      <c r="O163" t="str">
        <f t="shared" si="15"/>
        <v>23</v>
      </c>
      <c r="P163" s="4" t="str">
        <f>LEFT(L163,1)</f>
        <v/>
      </c>
      <c r="Q163" t="s">
        <v>17</v>
      </c>
      <c r="U163" s="3">
        <v>51</v>
      </c>
      <c r="V163" s="2">
        <v>1</v>
      </c>
      <c r="W163" s="2">
        <v>1</v>
      </c>
      <c r="X163" s="2">
        <v>2</v>
      </c>
      <c r="Z163">
        <f t="shared" si="22"/>
        <v>51</v>
      </c>
      <c r="AA163" s="5">
        <f t="shared" si="19"/>
        <v>0.5</v>
      </c>
      <c r="AB163">
        <f t="shared" si="23"/>
        <v>2</v>
      </c>
      <c r="AG163">
        <v>22</v>
      </c>
      <c r="AH163" s="5">
        <v>0.4</v>
      </c>
      <c r="AI163">
        <v>5</v>
      </c>
    </row>
    <row r="164" spans="1:35" hidden="1" x14ac:dyDescent="0.25">
      <c r="A164">
        <v>123</v>
      </c>
      <c r="B164">
        <v>0</v>
      </c>
      <c r="C164">
        <v>2</v>
      </c>
      <c r="D164" t="s">
        <v>452</v>
      </c>
      <c r="E164" s="4">
        <f>LEN(D164)</f>
        <v>20</v>
      </c>
      <c r="F164" t="s">
        <v>24</v>
      </c>
      <c r="G164">
        <v>32.5</v>
      </c>
      <c r="H164">
        <v>1</v>
      </c>
      <c r="I164">
        <v>0</v>
      </c>
      <c r="J164">
        <v>237736</v>
      </c>
      <c r="K164">
        <v>30.070799999999998</v>
      </c>
      <c r="M164" s="6" t="str">
        <f t="shared" si="14"/>
        <v/>
      </c>
      <c r="N164" s="7" t="str">
        <f t="shared" si="18"/>
        <v/>
      </c>
      <c r="O164" t="str">
        <f t="shared" si="15"/>
        <v>23</v>
      </c>
      <c r="P164" s="4" t="str">
        <f>LEFT(L164,1)</f>
        <v/>
      </c>
      <c r="Q164" t="s">
        <v>17</v>
      </c>
      <c r="U164" s="3">
        <v>101</v>
      </c>
      <c r="V164" s="2"/>
      <c r="W164" s="2">
        <v>5</v>
      </c>
      <c r="X164" s="2">
        <v>5</v>
      </c>
      <c r="Z164">
        <f t="shared" si="22"/>
        <v>101</v>
      </c>
      <c r="AA164" s="5">
        <f t="shared" si="19"/>
        <v>1</v>
      </c>
      <c r="AB164">
        <f t="shared" si="23"/>
        <v>5</v>
      </c>
      <c r="AG164">
        <v>23</v>
      </c>
      <c r="AH164" s="5">
        <v>0.6</v>
      </c>
      <c r="AI164">
        <v>5</v>
      </c>
    </row>
    <row r="165" spans="1:35" hidden="1" x14ac:dyDescent="0.25">
      <c r="A165">
        <v>843</v>
      </c>
      <c r="B165">
        <v>1</v>
      </c>
      <c r="C165">
        <v>1</v>
      </c>
      <c r="D165" t="s">
        <v>401</v>
      </c>
      <c r="E165" s="4">
        <f>LEN(D165)</f>
        <v>23</v>
      </c>
      <c r="F165" t="s">
        <v>14</v>
      </c>
      <c r="G165">
        <v>30</v>
      </c>
      <c r="H165">
        <v>0</v>
      </c>
      <c r="I165">
        <v>0</v>
      </c>
      <c r="J165">
        <v>113798</v>
      </c>
      <c r="K165">
        <v>31</v>
      </c>
      <c r="M165" s="6" t="str">
        <f t="shared" si="14"/>
        <v/>
      </c>
      <c r="N165" s="7" t="str">
        <f t="shared" si="18"/>
        <v/>
      </c>
      <c r="O165" t="str">
        <f t="shared" si="15"/>
        <v>11</v>
      </c>
      <c r="P165" s="4" t="str">
        <f>LEFT(L165,1)</f>
        <v/>
      </c>
      <c r="Q165" t="s">
        <v>17</v>
      </c>
      <c r="U165" s="3">
        <v>57</v>
      </c>
      <c r="V165" s="2"/>
      <c r="W165" s="2">
        <v>2</v>
      </c>
      <c r="X165" s="2">
        <v>2</v>
      </c>
      <c r="Z165">
        <f t="shared" si="22"/>
        <v>57</v>
      </c>
      <c r="AA165" s="5">
        <f t="shared" si="19"/>
        <v>1</v>
      </c>
      <c r="AB165">
        <f t="shared" si="23"/>
        <v>2</v>
      </c>
      <c r="AG165">
        <v>24</v>
      </c>
      <c r="AH165" s="5">
        <v>0.66666666666666663</v>
      </c>
      <c r="AI165">
        <v>3</v>
      </c>
    </row>
    <row r="166" spans="1:35" x14ac:dyDescent="0.25">
      <c r="A166">
        <v>55</v>
      </c>
      <c r="B166">
        <v>0</v>
      </c>
      <c r="C166">
        <v>1</v>
      </c>
      <c r="D166" t="s">
        <v>63</v>
      </c>
      <c r="E166" s="4">
        <f>LEN(D166)</f>
        <v>30</v>
      </c>
      <c r="F166" t="s">
        <v>24</v>
      </c>
      <c r="G166">
        <v>65</v>
      </c>
      <c r="H166">
        <v>0</v>
      </c>
      <c r="I166">
        <v>1</v>
      </c>
      <c r="J166">
        <v>113509</v>
      </c>
      <c r="K166">
        <v>61.979199999999999</v>
      </c>
      <c r="L166" t="s">
        <v>64</v>
      </c>
      <c r="M166" s="6" t="str">
        <f t="shared" si="14"/>
        <v>30</v>
      </c>
      <c r="N166" s="7">
        <f t="shared" si="18"/>
        <v>30</v>
      </c>
      <c r="O166" t="str">
        <f t="shared" si="15"/>
        <v>11</v>
      </c>
      <c r="P166" s="4" t="str">
        <f>LEFT(L166,1)</f>
        <v>B</v>
      </c>
      <c r="Q166" t="s">
        <v>17</v>
      </c>
      <c r="U166" s="3">
        <v>85</v>
      </c>
      <c r="V166" s="2"/>
      <c r="W166" s="2">
        <v>1</v>
      </c>
      <c r="X166" s="2">
        <v>1</v>
      </c>
      <c r="Z166">
        <f t="shared" si="22"/>
        <v>85</v>
      </c>
      <c r="AA166" s="5">
        <f t="shared" si="19"/>
        <v>1</v>
      </c>
      <c r="AB166">
        <f t="shared" si="23"/>
        <v>1</v>
      </c>
      <c r="AG166">
        <v>25</v>
      </c>
      <c r="AH166" s="5">
        <v>1</v>
      </c>
      <c r="AI166">
        <v>2</v>
      </c>
    </row>
    <row r="167" spans="1:35" hidden="1" x14ac:dyDescent="0.25">
      <c r="A167">
        <v>536</v>
      </c>
      <c r="B167">
        <v>1</v>
      </c>
      <c r="C167">
        <v>2</v>
      </c>
      <c r="D167" t="s">
        <v>571</v>
      </c>
      <c r="E167" s="4">
        <f>LEN(D167)</f>
        <v>22</v>
      </c>
      <c r="F167" t="s">
        <v>14</v>
      </c>
      <c r="G167">
        <v>7</v>
      </c>
      <c r="H167">
        <v>0</v>
      </c>
      <c r="I167">
        <v>2</v>
      </c>
      <c r="J167" t="s">
        <v>512</v>
      </c>
      <c r="K167">
        <v>26.25</v>
      </c>
      <c r="M167" s="6" t="str">
        <f t="shared" si="14"/>
        <v/>
      </c>
      <c r="N167" s="7" t="str">
        <f t="shared" si="18"/>
        <v/>
      </c>
      <c r="O167" t="str">
        <f t="shared" si="15"/>
        <v>F.</v>
      </c>
      <c r="P167" s="4" t="str">
        <f>LEFT(L167,1)</f>
        <v/>
      </c>
      <c r="Q167" t="s">
        <v>20</v>
      </c>
      <c r="U167" s="3">
        <v>118</v>
      </c>
      <c r="V167" s="2">
        <v>1</v>
      </c>
      <c r="W167" s="2"/>
      <c r="X167" s="2">
        <v>1</v>
      </c>
      <c r="Z167">
        <f t="shared" si="22"/>
        <v>118</v>
      </c>
      <c r="AA167" s="5">
        <f t="shared" si="19"/>
        <v>0</v>
      </c>
      <c r="AB167">
        <f t="shared" si="23"/>
        <v>1</v>
      </c>
      <c r="AG167">
        <v>26</v>
      </c>
      <c r="AH167" s="5">
        <v>0.33333333333333331</v>
      </c>
      <c r="AI167">
        <v>3</v>
      </c>
    </row>
    <row r="168" spans="1:35" hidden="1" x14ac:dyDescent="0.25">
      <c r="A168">
        <v>212</v>
      </c>
      <c r="B168">
        <v>1</v>
      </c>
      <c r="C168">
        <v>2</v>
      </c>
      <c r="D168" t="s">
        <v>478</v>
      </c>
      <c r="E168" s="4">
        <f>LEN(D168)</f>
        <v>26</v>
      </c>
      <c r="F168" t="s">
        <v>14</v>
      </c>
      <c r="G168">
        <v>35</v>
      </c>
      <c r="H168">
        <v>0</v>
      </c>
      <c r="I168">
        <v>0</v>
      </c>
      <c r="J168" t="s">
        <v>479</v>
      </c>
      <c r="K168">
        <v>21</v>
      </c>
      <c r="M168" s="6" t="str">
        <f t="shared" si="14"/>
        <v/>
      </c>
      <c r="N168" s="7" t="str">
        <f t="shared" si="18"/>
        <v/>
      </c>
      <c r="O168" t="str">
        <f t="shared" si="15"/>
        <v>F.</v>
      </c>
      <c r="P168" s="4" t="str">
        <f>LEFT(L168,1)</f>
        <v/>
      </c>
      <c r="Q168" t="s">
        <v>20</v>
      </c>
      <c r="U168" s="3">
        <v>82</v>
      </c>
      <c r="V168" s="2">
        <v>2</v>
      </c>
      <c r="W168" s="2"/>
      <c r="X168" s="2">
        <v>2</v>
      </c>
      <c r="Z168">
        <f t="shared" si="22"/>
        <v>82</v>
      </c>
      <c r="AA168" s="5">
        <f t="shared" si="19"/>
        <v>0</v>
      </c>
      <c r="AB168">
        <f t="shared" si="23"/>
        <v>2</v>
      </c>
      <c r="AG168">
        <v>28</v>
      </c>
      <c r="AH168" s="5">
        <v>1</v>
      </c>
      <c r="AI168">
        <v>3</v>
      </c>
    </row>
    <row r="169" spans="1:35" x14ac:dyDescent="0.25">
      <c r="A169">
        <v>672</v>
      </c>
      <c r="B169">
        <v>0</v>
      </c>
      <c r="C169">
        <v>1</v>
      </c>
      <c r="D169" t="s">
        <v>339</v>
      </c>
      <c r="E169" s="4">
        <f>LEN(D169)</f>
        <v>22</v>
      </c>
      <c r="F169" t="s">
        <v>24</v>
      </c>
      <c r="G169">
        <v>31</v>
      </c>
      <c r="H169">
        <v>1</v>
      </c>
      <c r="I169">
        <v>0</v>
      </c>
      <c r="J169" t="s">
        <v>340</v>
      </c>
      <c r="K169">
        <v>52</v>
      </c>
      <c r="L169" t="s">
        <v>341</v>
      </c>
      <c r="M169" s="6" t="str">
        <f t="shared" si="14"/>
        <v>71</v>
      </c>
      <c r="N169" s="7">
        <f t="shared" si="18"/>
        <v>71</v>
      </c>
      <c r="O169" t="str">
        <f t="shared" si="15"/>
        <v>F.</v>
      </c>
      <c r="P169" s="4" t="str">
        <f>LEFT(L169,1)</f>
        <v>B</v>
      </c>
      <c r="Q169" t="s">
        <v>20</v>
      </c>
      <c r="U169" s="3">
        <v>78</v>
      </c>
      <c r="V169" s="2">
        <v>1</v>
      </c>
      <c r="W169" s="2">
        <v>2</v>
      </c>
      <c r="X169" s="2">
        <v>3</v>
      </c>
      <c r="Z169">
        <f t="shared" si="22"/>
        <v>78</v>
      </c>
      <c r="AA169" s="5">
        <f t="shared" si="19"/>
        <v>0.66666666666666663</v>
      </c>
      <c r="AB169">
        <f t="shared" si="23"/>
        <v>3</v>
      </c>
      <c r="AG169">
        <v>30</v>
      </c>
      <c r="AH169" s="5">
        <v>0</v>
      </c>
      <c r="AI169">
        <v>3</v>
      </c>
    </row>
    <row r="170" spans="1:35" x14ac:dyDescent="0.25">
      <c r="A170">
        <v>378</v>
      </c>
      <c r="B170">
        <v>0</v>
      </c>
      <c r="C170">
        <v>1</v>
      </c>
      <c r="D170" t="s">
        <v>231</v>
      </c>
      <c r="E170" s="4">
        <f>LEN(D170)</f>
        <v>25</v>
      </c>
      <c r="F170" t="s">
        <v>24</v>
      </c>
      <c r="G170">
        <v>27</v>
      </c>
      <c r="H170">
        <v>0</v>
      </c>
      <c r="I170">
        <v>2</v>
      </c>
      <c r="J170">
        <v>113503</v>
      </c>
      <c r="K170">
        <v>211.5</v>
      </c>
      <c r="L170" t="s">
        <v>232</v>
      </c>
      <c r="M170" s="6" t="str">
        <f t="shared" si="14"/>
        <v>82</v>
      </c>
      <c r="N170" s="7">
        <f t="shared" si="18"/>
        <v>82</v>
      </c>
      <c r="O170" t="str">
        <f t="shared" si="15"/>
        <v>11</v>
      </c>
      <c r="P170" s="4" t="str">
        <f>LEFT(L170,1)</f>
        <v>C</v>
      </c>
      <c r="Q170" t="s">
        <v>17</v>
      </c>
      <c r="U170" s="3">
        <v>77</v>
      </c>
      <c r="V170" s="2">
        <v>1</v>
      </c>
      <c r="W170" s="2">
        <v>2</v>
      </c>
      <c r="X170" s="2">
        <v>3</v>
      </c>
      <c r="Z170">
        <f t="shared" si="22"/>
        <v>77</v>
      </c>
      <c r="AA170" s="5">
        <f t="shared" si="19"/>
        <v>0.66666666666666663</v>
      </c>
      <c r="AB170">
        <f t="shared" si="23"/>
        <v>3</v>
      </c>
      <c r="AG170">
        <v>31</v>
      </c>
      <c r="AH170" s="5">
        <v>0.5</v>
      </c>
      <c r="AI170">
        <v>2</v>
      </c>
    </row>
    <row r="171" spans="1:35" x14ac:dyDescent="0.25">
      <c r="A171">
        <v>453</v>
      </c>
      <c r="B171">
        <v>0</v>
      </c>
      <c r="C171">
        <v>1</v>
      </c>
      <c r="D171" t="s">
        <v>249</v>
      </c>
      <c r="E171" s="4">
        <f>LEN(D171)</f>
        <v>31</v>
      </c>
      <c r="F171" t="s">
        <v>24</v>
      </c>
      <c r="G171">
        <v>30</v>
      </c>
      <c r="H171">
        <v>0</v>
      </c>
      <c r="I171">
        <v>0</v>
      </c>
      <c r="J171">
        <v>113051</v>
      </c>
      <c r="K171">
        <v>27.75</v>
      </c>
      <c r="L171" t="s">
        <v>250</v>
      </c>
      <c r="M171" s="6" t="str">
        <f t="shared" si="14"/>
        <v>111</v>
      </c>
      <c r="N171" s="7">
        <f t="shared" si="18"/>
        <v>111</v>
      </c>
      <c r="O171" t="str">
        <f t="shared" si="15"/>
        <v>11</v>
      </c>
      <c r="P171" s="4" t="str">
        <f>LEFT(L171,1)</f>
        <v>C</v>
      </c>
      <c r="Q171" t="s">
        <v>17</v>
      </c>
      <c r="U171" s="3">
        <v>33</v>
      </c>
      <c r="V171" s="2"/>
      <c r="W171" s="2">
        <v>7</v>
      </c>
      <c r="X171" s="2">
        <v>7</v>
      </c>
      <c r="Z171">
        <f t="shared" si="22"/>
        <v>33</v>
      </c>
      <c r="AA171" s="5">
        <f t="shared" si="19"/>
        <v>1</v>
      </c>
      <c r="AB171">
        <f t="shared" si="23"/>
        <v>7</v>
      </c>
      <c r="AG171">
        <v>32</v>
      </c>
      <c r="AH171" s="5">
        <v>0.5</v>
      </c>
      <c r="AI171">
        <v>2</v>
      </c>
    </row>
    <row r="172" spans="1:35" hidden="1" x14ac:dyDescent="0.25">
      <c r="A172">
        <v>160</v>
      </c>
      <c r="B172">
        <v>0</v>
      </c>
      <c r="C172">
        <v>3</v>
      </c>
      <c r="D172" t="s">
        <v>673</v>
      </c>
      <c r="E172" s="4">
        <f>LEN(D172)</f>
        <v>26</v>
      </c>
      <c r="F172" t="s">
        <v>24</v>
      </c>
      <c r="H172">
        <v>8</v>
      </c>
      <c r="I172">
        <v>2</v>
      </c>
      <c r="J172" t="s">
        <v>674</v>
      </c>
      <c r="K172">
        <v>69.55</v>
      </c>
      <c r="M172" s="6" t="str">
        <f t="shared" si="14"/>
        <v/>
      </c>
      <c r="N172" s="7" t="str">
        <f t="shared" si="18"/>
        <v/>
      </c>
      <c r="O172" t="str">
        <f t="shared" si="15"/>
        <v>CA</v>
      </c>
      <c r="P172" s="4" t="str">
        <f>LEFT(L172,1)</f>
        <v/>
      </c>
      <c r="Q172" t="s">
        <v>20</v>
      </c>
      <c r="U172" s="3">
        <v>80</v>
      </c>
      <c r="V172" s="2"/>
      <c r="W172" s="2">
        <v>1</v>
      </c>
      <c r="X172" s="2">
        <v>1</v>
      </c>
      <c r="Z172">
        <f t="shared" si="22"/>
        <v>80</v>
      </c>
      <c r="AA172" s="5">
        <f t="shared" si="19"/>
        <v>1</v>
      </c>
      <c r="AB172">
        <f t="shared" si="23"/>
        <v>1</v>
      </c>
      <c r="AG172">
        <v>33</v>
      </c>
      <c r="AH172" s="5">
        <v>1</v>
      </c>
      <c r="AI172">
        <v>7</v>
      </c>
    </row>
    <row r="173" spans="1:35" hidden="1" x14ac:dyDescent="0.25">
      <c r="A173">
        <v>181</v>
      </c>
      <c r="B173">
        <v>0</v>
      </c>
      <c r="C173">
        <v>3</v>
      </c>
      <c r="D173" t="s">
        <v>680</v>
      </c>
      <c r="E173" s="4">
        <f>LEN(D173)</f>
        <v>28</v>
      </c>
      <c r="F173" t="s">
        <v>14</v>
      </c>
      <c r="H173">
        <v>8</v>
      </c>
      <c r="I173">
        <v>2</v>
      </c>
      <c r="J173" t="s">
        <v>674</v>
      </c>
      <c r="K173">
        <v>69.55</v>
      </c>
      <c r="M173" s="6" t="str">
        <f t="shared" si="14"/>
        <v/>
      </c>
      <c r="N173" s="7" t="str">
        <f t="shared" si="18"/>
        <v/>
      </c>
      <c r="O173" t="str">
        <f t="shared" si="15"/>
        <v>CA</v>
      </c>
      <c r="P173" s="4" t="str">
        <f>LEFT(L173,1)</f>
        <v/>
      </c>
      <c r="Q173" t="s">
        <v>20</v>
      </c>
      <c r="U173" s="3">
        <v>99</v>
      </c>
      <c r="V173" s="2"/>
      <c r="W173" s="2">
        <v>1</v>
      </c>
      <c r="X173" s="2">
        <v>1</v>
      </c>
      <c r="Z173">
        <f t="shared" si="22"/>
        <v>99</v>
      </c>
      <c r="AA173" s="5">
        <f t="shared" si="19"/>
        <v>1</v>
      </c>
      <c r="AB173">
        <f t="shared" si="23"/>
        <v>1</v>
      </c>
      <c r="AG173">
        <v>34</v>
      </c>
      <c r="AH173" s="5">
        <v>1</v>
      </c>
      <c r="AI173">
        <v>2</v>
      </c>
    </row>
    <row r="174" spans="1:35" hidden="1" x14ac:dyDescent="0.25">
      <c r="A174">
        <v>202</v>
      </c>
      <c r="B174">
        <v>0</v>
      </c>
      <c r="C174">
        <v>3</v>
      </c>
      <c r="D174" t="s">
        <v>682</v>
      </c>
      <c r="E174" s="4">
        <f>LEN(D174)</f>
        <v>19</v>
      </c>
      <c r="F174" t="s">
        <v>24</v>
      </c>
      <c r="H174">
        <v>8</v>
      </c>
      <c r="I174">
        <v>2</v>
      </c>
      <c r="J174" t="s">
        <v>674</v>
      </c>
      <c r="K174">
        <v>69.55</v>
      </c>
      <c r="M174" s="6" t="str">
        <f t="shared" si="14"/>
        <v/>
      </c>
      <c r="N174" s="7" t="str">
        <f t="shared" si="18"/>
        <v/>
      </c>
      <c r="O174" t="str">
        <f t="shared" si="15"/>
        <v>CA</v>
      </c>
      <c r="P174" s="4" t="str">
        <f>LEFT(L174,1)</f>
        <v/>
      </c>
      <c r="Q174" t="s">
        <v>20</v>
      </c>
      <c r="U174" s="3">
        <v>58</v>
      </c>
      <c r="V174" s="2">
        <v>2</v>
      </c>
      <c r="W174" s="2">
        <v>1</v>
      </c>
      <c r="X174" s="2">
        <v>3</v>
      </c>
      <c r="Z174">
        <f t="shared" si="22"/>
        <v>58</v>
      </c>
      <c r="AA174" s="5">
        <f t="shared" si="19"/>
        <v>0.33333333333333331</v>
      </c>
      <c r="AB174">
        <f t="shared" si="23"/>
        <v>3</v>
      </c>
      <c r="AG174">
        <v>35</v>
      </c>
      <c r="AH174" s="5">
        <v>1</v>
      </c>
      <c r="AI174">
        <v>4</v>
      </c>
    </row>
    <row r="175" spans="1:35" hidden="1" x14ac:dyDescent="0.25">
      <c r="A175">
        <v>767</v>
      </c>
      <c r="B175">
        <v>0</v>
      </c>
      <c r="C175">
        <v>1</v>
      </c>
      <c r="D175" t="s">
        <v>94</v>
      </c>
      <c r="E175" s="4">
        <f>LEN(D175)</f>
        <v>25</v>
      </c>
      <c r="F175" t="s">
        <v>24</v>
      </c>
      <c r="H175">
        <v>0</v>
      </c>
      <c r="I175">
        <v>0</v>
      </c>
      <c r="J175">
        <v>112379</v>
      </c>
      <c r="K175">
        <v>39.6</v>
      </c>
      <c r="M175" s="6" t="str">
        <f t="shared" si="14"/>
        <v/>
      </c>
      <c r="N175" s="7" t="str">
        <f t="shared" si="18"/>
        <v/>
      </c>
      <c r="O175" t="str">
        <f t="shared" si="15"/>
        <v>11</v>
      </c>
      <c r="P175" s="4" t="str">
        <f>LEFT(L175,1)</f>
        <v/>
      </c>
      <c r="Q175" t="s">
        <v>17</v>
      </c>
      <c r="U175" s="3">
        <v>24</v>
      </c>
      <c r="V175" s="2">
        <v>1</v>
      </c>
      <c r="W175" s="2">
        <v>2</v>
      </c>
      <c r="X175" s="2">
        <v>3</v>
      </c>
      <c r="Z175">
        <f t="shared" si="22"/>
        <v>24</v>
      </c>
      <c r="AA175" s="5">
        <f t="shared" si="19"/>
        <v>0.66666666666666663</v>
      </c>
      <c r="AB175">
        <f t="shared" si="23"/>
        <v>3</v>
      </c>
      <c r="AG175">
        <v>36</v>
      </c>
      <c r="AH175" s="5">
        <v>0.75</v>
      </c>
      <c r="AI175">
        <v>4</v>
      </c>
    </row>
    <row r="176" spans="1:35" x14ac:dyDescent="0.25">
      <c r="A176">
        <v>210</v>
      </c>
      <c r="B176">
        <v>1</v>
      </c>
      <c r="C176">
        <v>1</v>
      </c>
      <c r="D176" t="s">
        <v>150</v>
      </c>
      <c r="E176" s="4">
        <f>LEN(D176)</f>
        <v>16</v>
      </c>
      <c r="F176" t="s">
        <v>24</v>
      </c>
      <c r="G176">
        <v>40</v>
      </c>
      <c r="H176">
        <v>0</v>
      </c>
      <c r="I176">
        <v>0</v>
      </c>
      <c r="J176">
        <v>112277</v>
      </c>
      <c r="K176">
        <v>31</v>
      </c>
      <c r="L176" t="s">
        <v>151</v>
      </c>
      <c r="M176" s="6" t="str">
        <f t="shared" si="14"/>
        <v>31</v>
      </c>
      <c r="N176" s="7">
        <f t="shared" si="18"/>
        <v>31</v>
      </c>
      <c r="O176" t="str">
        <f t="shared" si="15"/>
        <v>11</v>
      </c>
      <c r="P176" s="4" t="str">
        <f>LEFT(L176,1)</f>
        <v>A</v>
      </c>
      <c r="Q176" t="s">
        <v>17</v>
      </c>
      <c r="U176" s="3">
        <v>125</v>
      </c>
      <c r="V176" s="2"/>
      <c r="W176" s="2">
        <v>2</v>
      </c>
      <c r="X176" s="2">
        <v>2</v>
      </c>
      <c r="Z176">
        <f t="shared" si="22"/>
        <v>125</v>
      </c>
      <c r="AA176" s="5">
        <f t="shared" si="19"/>
        <v>1</v>
      </c>
      <c r="AB176">
        <f t="shared" si="23"/>
        <v>2</v>
      </c>
      <c r="AG176">
        <v>37</v>
      </c>
      <c r="AH176" s="5">
        <v>0.5</v>
      </c>
      <c r="AI176">
        <v>2</v>
      </c>
    </row>
    <row r="177" spans="1:35" hidden="1" x14ac:dyDescent="0.25">
      <c r="A177">
        <v>605</v>
      </c>
      <c r="B177">
        <v>1</v>
      </c>
      <c r="C177">
        <v>1</v>
      </c>
      <c r="D177" t="s">
        <v>317</v>
      </c>
      <c r="E177" s="4">
        <f>LEN(D177)</f>
        <v>31</v>
      </c>
      <c r="F177" t="s">
        <v>24</v>
      </c>
      <c r="G177">
        <v>35</v>
      </c>
      <c r="H177">
        <v>0</v>
      </c>
      <c r="I177">
        <v>0</v>
      </c>
      <c r="J177">
        <v>111426</v>
      </c>
      <c r="K177">
        <v>26.55</v>
      </c>
      <c r="M177" s="6" t="str">
        <f t="shared" si="14"/>
        <v/>
      </c>
      <c r="N177" s="7" t="str">
        <f t="shared" si="18"/>
        <v/>
      </c>
      <c r="O177" t="str">
        <f t="shared" si="15"/>
        <v>11</v>
      </c>
      <c r="P177" s="4" t="str">
        <f>LEFT(L177,1)</f>
        <v/>
      </c>
      <c r="Q177" t="s">
        <v>17</v>
      </c>
      <c r="U177" s="3">
        <v>91</v>
      </c>
      <c r="V177" s="2">
        <v>1</v>
      </c>
      <c r="W177" s="2"/>
      <c r="X177" s="2">
        <v>1</v>
      </c>
      <c r="Z177">
        <f t="shared" si="22"/>
        <v>91</v>
      </c>
      <c r="AA177" s="5">
        <f t="shared" si="19"/>
        <v>0</v>
      </c>
      <c r="AB177">
        <f t="shared" si="23"/>
        <v>1</v>
      </c>
      <c r="AG177">
        <v>38</v>
      </c>
      <c r="AH177" s="5">
        <v>0</v>
      </c>
      <c r="AI177">
        <v>3</v>
      </c>
    </row>
    <row r="178" spans="1:35" hidden="1" x14ac:dyDescent="0.25">
      <c r="A178">
        <v>325</v>
      </c>
      <c r="B178">
        <v>0</v>
      </c>
      <c r="C178">
        <v>3</v>
      </c>
      <c r="D178" t="s">
        <v>683</v>
      </c>
      <c r="E178" s="4">
        <f>LEN(D178)</f>
        <v>24</v>
      </c>
      <c r="F178" t="s">
        <v>24</v>
      </c>
      <c r="H178">
        <v>8</v>
      </c>
      <c r="I178">
        <v>2</v>
      </c>
      <c r="J178" t="s">
        <v>674</v>
      </c>
      <c r="K178">
        <v>69.55</v>
      </c>
      <c r="M178" s="6" t="str">
        <f t="shared" si="14"/>
        <v/>
      </c>
      <c r="N178" s="7" t="str">
        <f t="shared" si="18"/>
        <v/>
      </c>
      <c r="O178" t="str">
        <f t="shared" si="15"/>
        <v>CA</v>
      </c>
      <c r="P178" s="4" t="str">
        <f>LEFT(L178,1)</f>
        <v/>
      </c>
      <c r="Q178" t="s">
        <v>20</v>
      </c>
      <c r="U178" s="3">
        <v>36</v>
      </c>
      <c r="V178" s="2">
        <v>1</v>
      </c>
      <c r="W178" s="2">
        <v>3</v>
      </c>
      <c r="X178" s="2">
        <v>4</v>
      </c>
      <c r="Z178">
        <f t="shared" si="22"/>
        <v>36</v>
      </c>
      <c r="AA178" s="5">
        <f t="shared" si="19"/>
        <v>0.75</v>
      </c>
      <c r="AB178">
        <f t="shared" si="23"/>
        <v>4</v>
      </c>
      <c r="AG178">
        <v>39</v>
      </c>
      <c r="AH178" s="5">
        <v>1</v>
      </c>
      <c r="AI178">
        <v>1</v>
      </c>
    </row>
    <row r="179" spans="1:35" hidden="1" x14ac:dyDescent="0.25">
      <c r="A179">
        <v>793</v>
      </c>
      <c r="B179">
        <v>0</v>
      </c>
      <c r="C179">
        <v>3</v>
      </c>
      <c r="D179" t="s">
        <v>684</v>
      </c>
      <c r="E179" s="4">
        <f>LEN(D179)</f>
        <v>23</v>
      </c>
      <c r="F179" t="s">
        <v>14</v>
      </c>
      <c r="H179">
        <v>8</v>
      </c>
      <c r="I179">
        <v>2</v>
      </c>
      <c r="J179" t="s">
        <v>674</v>
      </c>
      <c r="K179">
        <v>69.55</v>
      </c>
      <c r="M179" s="6" t="str">
        <f t="shared" si="14"/>
        <v/>
      </c>
      <c r="N179" s="7" t="str">
        <f t="shared" si="18"/>
        <v/>
      </c>
      <c r="O179" t="str">
        <f t="shared" si="15"/>
        <v>CA</v>
      </c>
      <c r="P179" s="4" t="str">
        <f>LEFT(L179,1)</f>
        <v/>
      </c>
      <c r="Q179" t="s">
        <v>20</v>
      </c>
      <c r="U179" s="3">
        <v>95</v>
      </c>
      <c r="V179" s="2">
        <v>1</v>
      </c>
      <c r="W179" s="2"/>
      <c r="X179" s="2">
        <v>1</v>
      </c>
      <c r="Z179">
        <f t="shared" si="22"/>
        <v>95</v>
      </c>
      <c r="AA179" s="5">
        <f t="shared" si="19"/>
        <v>0</v>
      </c>
      <c r="AB179">
        <f t="shared" si="23"/>
        <v>1</v>
      </c>
      <c r="AG179">
        <v>40</v>
      </c>
      <c r="AH179" s="5">
        <v>1</v>
      </c>
      <c r="AI179">
        <v>1</v>
      </c>
    </row>
    <row r="180" spans="1:35" hidden="1" x14ac:dyDescent="0.25">
      <c r="A180">
        <v>847</v>
      </c>
      <c r="B180">
        <v>0</v>
      </c>
      <c r="C180">
        <v>3</v>
      </c>
      <c r="D180" t="s">
        <v>685</v>
      </c>
      <c r="E180" s="4">
        <f>LEN(D180)</f>
        <v>24</v>
      </c>
      <c r="F180" t="s">
        <v>24</v>
      </c>
      <c r="H180">
        <v>8</v>
      </c>
      <c r="I180">
        <v>2</v>
      </c>
      <c r="J180" t="s">
        <v>674</v>
      </c>
      <c r="K180">
        <v>69.55</v>
      </c>
      <c r="M180" s="6" t="str">
        <f t="shared" si="14"/>
        <v/>
      </c>
      <c r="N180" s="7" t="str">
        <f t="shared" si="18"/>
        <v/>
      </c>
      <c r="O180" t="str">
        <f t="shared" si="15"/>
        <v>CA</v>
      </c>
      <c r="P180" s="4" t="str">
        <f>LEFT(L180,1)</f>
        <v/>
      </c>
      <c r="Q180" t="s">
        <v>20</v>
      </c>
      <c r="U180" s="3">
        <v>20</v>
      </c>
      <c r="V180" s="2"/>
      <c r="W180" s="2">
        <v>5</v>
      </c>
      <c r="X180" s="2">
        <v>5</v>
      </c>
      <c r="Z180">
        <f t="shared" si="22"/>
        <v>20</v>
      </c>
      <c r="AA180" s="5">
        <f t="shared" si="19"/>
        <v>1</v>
      </c>
      <c r="AB180">
        <f t="shared" si="23"/>
        <v>5</v>
      </c>
      <c r="AG180">
        <v>41</v>
      </c>
      <c r="AH180" s="5">
        <v>1</v>
      </c>
      <c r="AI180">
        <v>1</v>
      </c>
    </row>
    <row r="181" spans="1:35" hidden="1" x14ac:dyDescent="0.25">
      <c r="A181">
        <v>864</v>
      </c>
      <c r="B181">
        <v>0</v>
      </c>
      <c r="C181">
        <v>3</v>
      </c>
      <c r="D181" t="s">
        <v>690</v>
      </c>
      <c r="E181" s="4">
        <f>LEN(D181)</f>
        <v>33</v>
      </c>
      <c r="F181" t="s">
        <v>14</v>
      </c>
      <c r="H181">
        <v>8</v>
      </c>
      <c r="I181">
        <v>2</v>
      </c>
      <c r="J181" t="s">
        <v>674</v>
      </c>
      <c r="K181">
        <v>69.55</v>
      </c>
      <c r="M181" s="6" t="str">
        <f t="shared" si="14"/>
        <v/>
      </c>
      <c r="N181" s="7" t="str">
        <f t="shared" si="18"/>
        <v/>
      </c>
      <c r="O181" t="str">
        <f t="shared" si="15"/>
        <v>CA</v>
      </c>
      <c r="P181" s="4" t="str">
        <f>LEFT(L181,1)</f>
        <v/>
      </c>
      <c r="Q181" t="s">
        <v>20</v>
      </c>
      <c r="U181" s="3">
        <v>90</v>
      </c>
      <c r="V181" s="2"/>
      <c r="W181" s="2">
        <v>1</v>
      </c>
      <c r="X181" s="2">
        <v>1</v>
      </c>
      <c r="Z181">
        <f t="shared" si="22"/>
        <v>90</v>
      </c>
      <c r="AA181" s="5">
        <f t="shared" si="19"/>
        <v>1</v>
      </c>
      <c r="AB181">
        <f t="shared" si="23"/>
        <v>1</v>
      </c>
      <c r="AG181">
        <v>42</v>
      </c>
      <c r="AH181" s="5">
        <v>1</v>
      </c>
      <c r="AI181">
        <v>1</v>
      </c>
    </row>
    <row r="182" spans="1:35" x14ac:dyDescent="0.25">
      <c r="A182">
        <v>890</v>
      </c>
      <c r="B182">
        <v>1</v>
      </c>
      <c r="C182">
        <v>1</v>
      </c>
      <c r="D182" t="s">
        <v>421</v>
      </c>
      <c r="E182" s="4">
        <f>LEN(D182)</f>
        <v>21</v>
      </c>
      <c r="F182" t="s">
        <v>24</v>
      </c>
      <c r="G182">
        <v>26</v>
      </c>
      <c r="H182">
        <v>0</v>
      </c>
      <c r="I182">
        <v>0</v>
      </c>
      <c r="J182">
        <v>111369</v>
      </c>
      <c r="K182">
        <v>30</v>
      </c>
      <c r="L182" t="s">
        <v>422</v>
      </c>
      <c r="M182" s="6" t="str">
        <f t="shared" si="14"/>
        <v>148</v>
      </c>
      <c r="N182" s="7">
        <f t="shared" si="18"/>
        <v>148</v>
      </c>
      <c r="O182" t="str">
        <f t="shared" si="15"/>
        <v>11</v>
      </c>
      <c r="P182" s="4" t="str">
        <f>LEFT(L182,1)</f>
        <v>C</v>
      </c>
      <c r="Q182" t="s">
        <v>17</v>
      </c>
      <c r="U182" s="3">
        <v>35</v>
      </c>
      <c r="V182" s="2"/>
      <c r="W182" s="2">
        <v>4</v>
      </c>
      <c r="X182" s="2">
        <v>4</v>
      </c>
      <c r="Z182">
        <f t="shared" si="22"/>
        <v>35</v>
      </c>
      <c r="AA182" s="5">
        <f t="shared" si="19"/>
        <v>1</v>
      </c>
      <c r="AB182">
        <f t="shared" si="23"/>
        <v>4</v>
      </c>
      <c r="AG182">
        <v>44</v>
      </c>
      <c r="AH182" s="5">
        <v>0.5</v>
      </c>
      <c r="AI182">
        <v>2</v>
      </c>
    </row>
    <row r="183" spans="1:35" hidden="1" x14ac:dyDescent="0.25">
      <c r="A183">
        <v>650</v>
      </c>
      <c r="B183">
        <v>1</v>
      </c>
      <c r="C183">
        <v>3</v>
      </c>
      <c r="D183" t="s">
        <v>1082</v>
      </c>
      <c r="E183" s="4">
        <f>LEN(D183)</f>
        <v>31</v>
      </c>
      <c r="F183" t="s">
        <v>14</v>
      </c>
      <c r="G183">
        <v>23</v>
      </c>
      <c r="H183">
        <v>0</v>
      </c>
      <c r="I183">
        <v>0</v>
      </c>
      <c r="J183" t="s">
        <v>1083</v>
      </c>
      <c r="K183">
        <v>7.55</v>
      </c>
      <c r="M183" s="6" t="str">
        <f t="shared" si="14"/>
        <v/>
      </c>
      <c r="N183" s="7" t="str">
        <f t="shared" si="18"/>
        <v/>
      </c>
      <c r="O183" t="str">
        <f t="shared" si="15"/>
        <v>CA</v>
      </c>
      <c r="P183" s="4" t="str">
        <f>LEFT(L183,1)</f>
        <v/>
      </c>
      <c r="Q183" t="s">
        <v>20</v>
      </c>
      <c r="U183" s="3">
        <v>25</v>
      </c>
      <c r="V183" s="2"/>
      <c r="W183" s="2">
        <v>2</v>
      </c>
      <c r="X183" s="2">
        <v>2</v>
      </c>
      <c r="Z183">
        <f t="shared" si="22"/>
        <v>25</v>
      </c>
      <c r="AA183" s="5">
        <f t="shared" si="19"/>
        <v>1</v>
      </c>
      <c r="AB183">
        <f t="shared" si="23"/>
        <v>2</v>
      </c>
      <c r="AG183">
        <v>45</v>
      </c>
      <c r="AH183" s="5">
        <v>1</v>
      </c>
      <c r="AI183">
        <v>2</v>
      </c>
    </row>
    <row r="184" spans="1:35" hidden="1" x14ac:dyDescent="0.25">
      <c r="A184">
        <v>60</v>
      </c>
      <c r="B184">
        <v>0</v>
      </c>
      <c r="C184">
        <v>3</v>
      </c>
      <c r="D184" t="s">
        <v>692</v>
      </c>
      <c r="E184" s="4">
        <f>LEN(D184)</f>
        <v>34</v>
      </c>
      <c r="F184" t="s">
        <v>24</v>
      </c>
      <c r="G184">
        <v>11</v>
      </c>
      <c r="H184">
        <v>5</v>
      </c>
      <c r="I184">
        <v>2</v>
      </c>
      <c r="J184" t="s">
        <v>693</v>
      </c>
      <c r="K184">
        <v>46.9</v>
      </c>
      <c r="M184" s="6" t="str">
        <f t="shared" si="14"/>
        <v/>
      </c>
      <c r="N184" s="7" t="str">
        <f t="shared" si="18"/>
        <v/>
      </c>
      <c r="O184" t="str">
        <f t="shared" si="15"/>
        <v>CA</v>
      </c>
      <c r="P184" s="4" t="str">
        <f>LEFT(L184,1)</f>
        <v/>
      </c>
      <c r="Q184" t="s">
        <v>20</v>
      </c>
      <c r="U184" s="3">
        <v>30</v>
      </c>
      <c r="V184" s="2">
        <v>3</v>
      </c>
      <c r="W184" s="2"/>
      <c r="X184" s="2">
        <v>3</v>
      </c>
      <c r="Z184">
        <f t="shared" si="22"/>
        <v>30</v>
      </c>
      <c r="AA184" s="5">
        <f t="shared" si="19"/>
        <v>0</v>
      </c>
      <c r="AB184">
        <f t="shared" si="23"/>
        <v>3</v>
      </c>
      <c r="AG184">
        <v>46</v>
      </c>
      <c r="AH184" s="5">
        <v>0</v>
      </c>
      <c r="AI184">
        <v>3</v>
      </c>
    </row>
    <row r="185" spans="1:35" x14ac:dyDescent="0.25">
      <c r="A185">
        <v>330</v>
      </c>
      <c r="B185">
        <v>1</v>
      </c>
      <c r="C185">
        <v>1</v>
      </c>
      <c r="D185" t="s">
        <v>212</v>
      </c>
      <c r="E185" s="4">
        <f>LEN(D185)</f>
        <v>28</v>
      </c>
      <c r="F185" t="s">
        <v>14</v>
      </c>
      <c r="G185">
        <v>16</v>
      </c>
      <c r="H185">
        <v>0</v>
      </c>
      <c r="I185">
        <v>1</v>
      </c>
      <c r="J185">
        <v>111361</v>
      </c>
      <c r="K185">
        <v>57.979199999999999</v>
      </c>
      <c r="L185" t="s">
        <v>213</v>
      </c>
      <c r="M185" s="6" t="str">
        <f t="shared" si="14"/>
        <v>18</v>
      </c>
      <c r="N185" s="7">
        <f t="shared" si="18"/>
        <v>18</v>
      </c>
      <c r="O185" t="str">
        <f t="shared" si="15"/>
        <v>11</v>
      </c>
      <c r="P185" s="4" t="str">
        <f>LEFT(L185,1)</f>
        <v>B</v>
      </c>
      <c r="Q185" t="s">
        <v>17</v>
      </c>
      <c r="U185" s="3">
        <v>71</v>
      </c>
      <c r="V185" s="2">
        <v>1</v>
      </c>
      <c r="W185" s="2"/>
      <c r="X185" s="2">
        <v>1</v>
      </c>
      <c r="Z185">
        <f t="shared" si="22"/>
        <v>71</v>
      </c>
      <c r="AA185" s="5">
        <f t="shared" si="19"/>
        <v>0</v>
      </c>
      <c r="AB185">
        <f t="shared" si="23"/>
        <v>1</v>
      </c>
      <c r="AG185">
        <v>47</v>
      </c>
      <c r="AH185" s="5">
        <v>1</v>
      </c>
      <c r="AI185">
        <v>2</v>
      </c>
    </row>
    <row r="186" spans="1:35" hidden="1" x14ac:dyDescent="0.25">
      <c r="A186">
        <v>72</v>
      </c>
      <c r="B186">
        <v>0</v>
      </c>
      <c r="C186">
        <v>3</v>
      </c>
      <c r="D186" t="s">
        <v>702</v>
      </c>
      <c r="E186" s="4">
        <f>LEN(D186)</f>
        <v>26</v>
      </c>
      <c r="F186" t="s">
        <v>14</v>
      </c>
      <c r="G186">
        <v>16</v>
      </c>
      <c r="H186">
        <v>5</v>
      </c>
      <c r="I186">
        <v>2</v>
      </c>
      <c r="J186" t="s">
        <v>693</v>
      </c>
      <c r="K186">
        <v>46.9</v>
      </c>
      <c r="M186" s="6" t="str">
        <f t="shared" si="14"/>
        <v/>
      </c>
      <c r="N186" s="7" t="str">
        <f t="shared" si="18"/>
        <v/>
      </c>
      <c r="O186" t="str">
        <f t="shared" si="15"/>
        <v>CA</v>
      </c>
      <c r="P186" s="4" t="str">
        <f>LEFT(L186,1)</f>
        <v/>
      </c>
      <c r="Q186" t="s">
        <v>20</v>
      </c>
      <c r="U186" s="3">
        <v>111</v>
      </c>
      <c r="V186" s="2">
        <v>1</v>
      </c>
      <c r="W186" s="2"/>
      <c r="X186" s="2">
        <v>1</v>
      </c>
      <c r="Z186">
        <f t="shared" si="22"/>
        <v>111</v>
      </c>
      <c r="AA186" s="5">
        <f t="shared" si="19"/>
        <v>0</v>
      </c>
      <c r="AB186">
        <f t="shared" si="23"/>
        <v>1</v>
      </c>
      <c r="AG186">
        <v>48</v>
      </c>
      <c r="AH186" s="5">
        <v>0</v>
      </c>
      <c r="AI186">
        <v>1</v>
      </c>
    </row>
    <row r="187" spans="1:35" hidden="1" x14ac:dyDescent="0.25">
      <c r="A187">
        <v>387</v>
      </c>
      <c r="B187">
        <v>0</v>
      </c>
      <c r="C187">
        <v>3</v>
      </c>
      <c r="D187" t="s">
        <v>900</v>
      </c>
      <c r="E187" s="4">
        <f>LEN(D187)</f>
        <v>31</v>
      </c>
      <c r="F187" t="s">
        <v>24</v>
      </c>
      <c r="G187">
        <v>1</v>
      </c>
      <c r="H187">
        <v>5</v>
      </c>
      <c r="I187">
        <v>2</v>
      </c>
      <c r="J187" t="s">
        <v>693</v>
      </c>
      <c r="K187">
        <v>46.9</v>
      </c>
      <c r="M187" s="6" t="str">
        <f t="shared" si="14"/>
        <v/>
      </c>
      <c r="N187" s="7" t="str">
        <f t="shared" si="18"/>
        <v/>
      </c>
      <c r="O187" t="str">
        <f t="shared" si="15"/>
        <v>CA</v>
      </c>
      <c r="P187" s="4" t="str">
        <f>LEFT(L187,1)</f>
        <v/>
      </c>
      <c r="Q187" t="s">
        <v>20</v>
      </c>
      <c r="U187" s="3">
        <v>148</v>
      </c>
      <c r="V187" s="2"/>
      <c r="W187" s="2">
        <v>1</v>
      </c>
      <c r="X187" s="2">
        <v>1</v>
      </c>
      <c r="Z187">
        <f t="shared" si="22"/>
        <v>148</v>
      </c>
      <c r="AA187" s="5">
        <f t="shared" si="19"/>
        <v>1</v>
      </c>
      <c r="AB187">
        <f t="shared" si="23"/>
        <v>1</v>
      </c>
      <c r="AG187">
        <v>49</v>
      </c>
      <c r="AH187" s="5">
        <v>0.8</v>
      </c>
      <c r="AI187">
        <v>5</v>
      </c>
    </row>
    <row r="188" spans="1:35" hidden="1" x14ac:dyDescent="0.25">
      <c r="A188">
        <v>481</v>
      </c>
      <c r="B188">
        <v>0</v>
      </c>
      <c r="C188">
        <v>3</v>
      </c>
      <c r="D188" t="s">
        <v>971</v>
      </c>
      <c r="E188" s="4">
        <f>LEN(D188)</f>
        <v>30</v>
      </c>
      <c r="F188" t="s">
        <v>24</v>
      </c>
      <c r="G188">
        <v>9</v>
      </c>
      <c r="H188">
        <v>5</v>
      </c>
      <c r="I188">
        <v>2</v>
      </c>
      <c r="J188" t="s">
        <v>693</v>
      </c>
      <c r="K188">
        <v>46.9</v>
      </c>
      <c r="M188" s="6" t="str">
        <f t="shared" si="14"/>
        <v/>
      </c>
      <c r="N188" s="7" t="str">
        <f t="shared" si="18"/>
        <v/>
      </c>
      <c r="O188" t="str">
        <f t="shared" si="15"/>
        <v>CA</v>
      </c>
      <c r="P188" s="4" t="str">
        <f>LEFT(L188,1)</f>
        <v/>
      </c>
      <c r="Q188" t="s">
        <v>20</v>
      </c>
      <c r="U188" s="3">
        <v>18</v>
      </c>
      <c r="V188" s="2"/>
      <c r="W188" s="2">
        <v>2</v>
      </c>
      <c r="X188" s="2">
        <v>2</v>
      </c>
      <c r="Z188">
        <f t="shared" si="22"/>
        <v>18</v>
      </c>
      <c r="AA188" s="5">
        <f t="shared" si="19"/>
        <v>1</v>
      </c>
      <c r="AB188">
        <f t="shared" si="23"/>
        <v>2</v>
      </c>
      <c r="AG188">
        <v>50</v>
      </c>
      <c r="AH188" s="5">
        <v>0.75</v>
      </c>
      <c r="AI188">
        <v>4</v>
      </c>
    </row>
    <row r="189" spans="1:35" hidden="1" x14ac:dyDescent="0.25">
      <c r="A189">
        <v>684</v>
      </c>
      <c r="B189">
        <v>0</v>
      </c>
      <c r="C189">
        <v>3</v>
      </c>
      <c r="D189" t="s">
        <v>1105</v>
      </c>
      <c r="E189" s="4">
        <f>LEN(D189)</f>
        <v>27</v>
      </c>
      <c r="F189" t="s">
        <v>24</v>
      </c>
      <c r="G189">
        <v>14</v>
      </c>
      <c r="H189">
        <v>5</v>
      </c>
      <c r="I189">
        <v>2</v>
      </c>
      <c r="J189" t="s">
        <v>693</v>
      </c>
      <c r="K189">
        <v>46.9</v>
      </c>
      <c r="M189" s="6" t="str">
        <f t="shared" si="14"/>
        <v/>
      </c>
      <c r="N189" s="7" t="str">
        <f t="shared" si="18"/>
        <v/>
      </c>
      <c r="O189" t="str">
        <f t="shared" si="15"/>
        <v>CA</v>
      </c>
      <c r="P189" s="4" t="str">
        <f>LEFT(L189,1)</f>
        <v/>
      </c>
      <c r="Q189" t="s">
        <v>20</v>
      </c>
      <c r="U189" s="3">
        <v>37</v>
      </c>
      <c r="V189" s="2">
        <v>1</v>
      </c>
      <c r="W189" s="2">
        <v>1</v>
      </c>
      <c r="X189" s="2">
        <v>2</v>
      </c>
      <c r="Z189">
        <f t="shared" si="22"/>
        <v>37</v>
      </c>
      <c r="AA189" s="5">
        <f t="shared" si="19"/>
        <v>0.5</v>
      </c>
      <c r="AB189">
        <f t="shared" si="23"/>
        <v>2</v>
      </c>
      <c r="AG189">
        <v>51</v>
      </c>
      <c r="AH189" s="5">
        <v>0.5</v>
      </c>
      <c r="AI189">
        <v>2</v>
      </c>
    </row>
    <row r="190" spans="1:35" hidden="1" x14ac:dyDescent="0.25">
      <c r="A190">
        <v>679</v>
      </c>
      <c r="B190">
        <v>0</v>
      </c>
      <c r="C190">
        <v>3</v>
      </c>
      <c r="D190" t="s">
        <v>1102</v>
      </c>
      <c r="E190" s="4">
        <f>LEN(D190)</f>
        <v>39</v>
      </c>
      <c r="F190" t="s">
        <v>14</v>
      </c>
      <c r="G190">
        <v>43</v>
      </c>
      <c r="H190">
        <v>1</v>
      </c>
      <c r="I190">
        <v>6</v>
      </c>
      <c r="J190" t="s">
        <v>693</v>
      </c>
      <c r="K190">
        <v>46.9</v>
      </c>
      <c r="M190" s="6" t="str">
        <f t="shared" si="14"/>
        <v/>
      </c>
      <c r="N190" s="7" t="str">
        <f t="shared" si="18"/>
        <v/>
      </c>
      <c r="O190" t="str">
        <f t="shared" si="15"/>
        <v>CA</v>
      </c>
      <c r="P190" s="4" t="str">
        <f>LEFT(L190,1)</f>
        <v/>
      </c>
      <c r="Q190" t="s">
        <v>20</v>
      </c>
      <c r="U190" s="3">
        <v>48</v>
      </c>
      <c r="V190" s="2">
        <v>1</v>
      </c>
      <c r="W190" s="2"/>
      <c r="X190" s="2">
        <v>1</v>
      </c>
      <c r="Z190">
        <f t="shared" si="22"/>
        <v>48</v>
      </c>
      <c r="AA190" s="5">
        <f t="shared" si="19"/>
        <v>0</v>
      </c>
      <c r="AB190">
        <f t="shared" si="23"/>
        <v>1</v>
      </c>
      <c r="AG190">
        <v>52</v>
      </c>
      <c r="AH190" s="5">
        <v>1</v>
      </c>
      <c r="AI190">
        <v>2</v>
      </c>
    </row>
    <row r="191" spans="1:35" hidden="1" x14ac:dyDescent="0.25">
      <c r="A191">
        <v>884</v>
      </c>
      <c r="B191">
        <v>0</v>
      </c>
      <c r="C191">
        <v>2</v>
      </c>
      <c r="D191" t="s">
        <v>651</v>
      </c>
      <c r="E191" s="4">
        <f>LEN(D191)</f>
        <v>29</v>
      </c>
      <c r="F191" t="s">
        <v>24</v>
      </c>
      <c r="G191">
        <v>28</v>
      </c>
      <c r="H191">
        <v>0</v>
      </c>
      <c r="I191">
        <v>0</v>
      </c>
      <c r="J191" t="s">
        <v>652</v>
      </c>
      <c r="K191">
        <v>10.5</v>
      </c>
      <c r="M191" s="6" t="str">
        <f t="shared" si="14"/>
        <v/>
      </c>
      <c r="N191" s="7" t="str">
        <f t="shared" si="18"/>
        <v/>
      </c>
      <c r="O191" t="str">
        <f t="shared" si="15"/>
        <v>C.</v>
      </c>
      <c r="P191" s="4" t="str">
        <f>LEFT(L191,1)</f>
        <v/>
      </c>
      <c r="Q191" t="s">
        <v>20</v>
      </c>
      <c r="U191" s="3">
        <v>92</v>
      </c>
      <c r="V191" s="2"/>
      <c r="W191" s="2">
        <v>2</v>
      </c>
      <c r="X191" s="2">
        <v>2</v>
      </c>
      <c r="Z191">
        <f t="shared" si="22"/>
        <v>92</v>
      </c>
      <c r="AA191" s="5">
        <f t="shared" si="19"/>
        <v>1</v>
      </c>
      <c r="AB191">
        <f t="shared" si="23"/>
        <v>2</v>
      </c>
      <c r="AG191">
        <v>54</v>
      </c>
      <c r="AH191" s="5">
        <v>1</v>
      </c>
      <c r="AI191">
        <v>1</v>
      </c>
    </row>
    <row r="192" spans="1:35" hidden="1" x14ac:dyDescent="0.25">
      <c r="A192">
        <v>498</v>
      </c>
      <c r="B192">
        <v>0</v>
      </c>
      <c r="C192">
        <v>3</v>
      </c>
      <c r="D192" t="s">
        <v>870</v>
      </c>
      <c r="E192" s="4">
        <f>LEN(D192)</f>
        <v>31</v>
      </c>
      <c r="F192" t="s">
        <v>24</v>
      </c>
      <c r="H192">
        <v>0</v>
      </c>
      <c r="I192">
        <v>0</v>
      </c>
      <c r="J192" t="s">
        <v>871</v>
      </c>
      <c r="K192">
        <v>15.1</v>
      </c>
      <c r="M192" s="6" t="str">
        <f t="shared" si="14"/>
        <v/>
      </c>
      <c r="N192" s="7" t="str">
        <f t="shared" si="18"/>
        <v/>
      </c>
      <c r="O192" t="str">
        <f t="shared" si="15"/>
        <v>C.</v>
      </c>
      <c r="P192" s="4" t="str">
        <f>LEFT(L192,1)</f>
        <v/>
      </c>
      <c r="Q192" t="s">
        <v>20</v>
      </c>
      <c r="U192" s="3">
        <v>70</v>
      </c>
      <c r="V192" s="2"/>
      <c r="W192" s="2">
        <v>1</v>
      </c>
      <c r="X192" s="2">
        <v>1</v>
      </c>
      <c r="Z192">
        <f t="shared" si="22"/>
        <v>70</v>
      </c>
      <c r="AA192" s="5">
        <f t="shared" si="19"/>
        <v>1</v>
      </c>
      <c r="AB192">
        <f t="shared" si="23"/>
        <v>1</v>
      </c>
      <c r="AG192">
        <v>56</v>
      </c>
      <c r="AH192" s="5">
        <v>1</v>
      </c>
      <c r="AI192">
        <v>1</v>
      </c>
    </row>
    <row r="193" spans="1:35" hidden="1" x14ac:dyDescent="0.25">
      <c r="A193">
        <v>846</v>
      </c>
      <c r="B193">
        <v>0</v>
      </c>
      <c r="C193">
        <v>3</v>
      </c>
      <c r="D193" t="s">
        <v>1215</v>
      </c>
      <c r="E193" s="4">
        <f>LEN(D193)</f>
        <v>19</v>
      </c>
      <c r="F193" t="s">
        <v>24</v>
      </c>
      <c r="G193">
        <v>42</v>
      </c>
      <c r="H193">
        <v>0</v>
      </c>
      <c r="I193">
        <v>0</v>
      </c>
      <c r="J193" t="s">
        <v>1216</v>
      </c>
      <c r="K193">
        <v>7.55</v>
      </c>
      <c r="M193" s="6" t="str">
        <f t="shared" si="14"/>
        <v/>
      </c>
      <c r="N193" s="7" t="str">
        <f t="shared" si="18"/>
        <v/>
      </c>
      <c r="O193" t="str">
        <f t="shared" si="15"/>
        <v>C.</v>
      </c>
      <c r="P193" s="4" t="str">
        <f>LEFT(L193,1)</f>
        <v/>
      </c>
      <c r="Q193" t="s">
        <v>20</v>
      </c>
      <c r="U193" s="3">
        <v>68</v>
      </c>
      <c r="V193" s="2">
        <v>1</v>
      </c>
      <c r="W193" s="2">
        <v>2</v>
      </c>
      <c r="X193" s="2">
        <v>3</v>
      </c>
      <c r="Z193">
        <f t="shared" si="22"/>
        <v>68</v>
      </c>
      <c r="AA193" s="5">
        <f t="shared" si="19"/>
        <v>0.66666666666666663</v>
      </c>
      <c r="AB193">
        <f t="shared" si="23"/>
        <v>3</v>
      </c>
      <c r="AG193">
        <v>57</v>
      </c>
      <c r="AH193" s="5">
        <v>1</v>
      </c>
      <c r="AI193">
        <v>2</v>
      </c>
    </row>
    <row r="194" spans="1:35" hidden="1" x14ac:dyDescent="0.25">
      <c r="A194">
        <v>349</v>
      </c>
      <c r="B194">
        <v>1</v>
      </c>
      <c r="C194">
        <v>3</v>
      </c>
      <c r="D194" t="s">
        <v>872</v>
      </c>
      <c r="E194" s="4">
        <f>LEN(D194)</f>
        <v>38</v>
      </c>
      <c r="F194" t="s">
        <v>24</v>
      </c>
      <c r="G194">
        <v>3</v>
      </c>
      <c r="H194">
        <v>1</v>
      </c>
      <c r="I194">
        <v>1</v>
      </c>
      <c r="J194" t="s">
        <v>873</v>
      </c>
      <c r="K194">
        <v>15.9</v>
      </c>
      <c r="M194" s="6" t="str">
        <f t="shared" si="14"/>
        <v/>
      </c>
      <c r="N194" s="7" t="str">
        <f t="shared" si="18"/>
        <v/>
      </c>
      <c r="O194" t="str">
        <f t="shared" si="15"/>
        <v>C.</v>
      </c>
      <c r="P194" s="4" t="str">
        <f>LEFT(L194,1)</f>
        <v/>
      </c>
      <c r="Q194" t="s">
        <v>20</v>
      </c>
      <c r="U194" s="3">
        <v>34</v>
      </c>
      <c r="V194" s="2"/>
      <c r="W194" s="2">
        <v>2</v>
      </c>
      <c r="X194" s="2">
        <v>2</v>
      </c>
      <c r="Z194">
        <f t="shared" si="22"/>
        <v>34</v>
      </c>
      <c r="AA194" s="5">
        <f t="shared" si="19"/>
        <v>1</v>
      </c>
      <c r="AB194">
        <f t="shared" si="23"/>
        <v>2</v>
      </c>
      <c r="AG194">
        <v>58</v>
      </c>
      <c r="AH194" s="5">
        <v>0.33333333333333331</v>
      </c>
      <c r="AI194">
        <v>3</v>
      </c>
    </row>
    <row r="195" spans="1:35" hidden="1" x14ac:dyDescent="0.25">
      <c r="A195">
        <v>490</v>
      </c>
      <c r="B195">
        <v>1</v>
      </c>
      <c r="C195">
        <v>3</v>
      </c>
      <c r="D195" t="s">
        <v>979</v>
      </c>
      <c r="E195" s="4">
        <f>LEN(D195)</f>
        <v>37</v>
      </c>
      <c r="F195" t="s">
        <v>24</v>
      </c>
      <c r="G195">
        <v>9</v>
      </c>
      <c r="H195">
        <v>1</v>
      </c>
      <c r="I195">
        <v>1</v>
      </c>
      <c r="J195" t="s">
        <v>873</v>
      </c>
      <c r="K195">
        <v>15.9</v>
      </c>
      <c r="M195" s="6" t="str">
        <f t="shared" ref="M195:M258" si="24">IF(LEN(L195)&gt;3,RIGHT((LEFT(L195,4)),3),IF(LEN(L195)=3,RIGHT(L195,2),RIGHT(L195,1)))</f>
        <v/>
      </c>
      <c r="N195" s="7" t="str">
        <f t="shared" si="18"/>
        <v/>
      </c>
      <c r="O195" t="str">
        <f t="shared" ref="O195:O258" si="25">LEFT(J195,2)</f>
        <v>C.</v>
      </c>
      <c r="P195" s="4" t="str">
        <f>LEFT(L195,1)</f>
        <v/>
      </c>
      <c r="Q195" t="s">
        <v>20</v>
      </c>
      <c r="U195" s="3">
        <v>121</v>
      </c>
      <c r="V195" s="2"/>
      <c r="W195" s="2">
        <v>2</v>
      </c>
      <c r="X195" s="2">
        <v>2</v>
      </c>
      <c r="Z195">
        <f t="shared" si="22"/>
        <v>121</v>
      </c>
      <c r="AA195" s="5">
        <f t="shared" si="19"/>
        <v>1</v>
      </c>
      <c r="AB195">
        <f t="shared" si="23"/>
        <v>2</v>
      </c>
      <c r="AG195">
        <v>62</v>
      </c>
      <c r="AH195" s="5">
        <v>1</v>
      </c>
      <c r="AI195">
        <v>1</v>
      </c>
    </row>
    <row r="196" spans="1:35" x14ac:dyDescent="0.25">
      <c r="A196">
        <v>524</v>
      </c>
      <c r="B196">
        <v>1</v>
      </c>
      <c r="C196">
        <v>1</v>
      </c>
      <c r="D196" t="s">
        <v>282</v>
      </c>
      <c r="E196" s="4">
        <f>LEN(D196)</f>
        <v>47</v>
      </c>
      <c r="F196" t="s">
        <v>14</v>
      </c>
      <c r="G196">
        <v>44</v>
      </c>
      <c r="H196">
        <v>0</v>
      </c>
      <c r="I196">
        <v>1</v>
      </c>
      <c r="J196">
        <v>111361</v>
      </c>
      <c r="K196">
        <v>57.979199999999999</v>
      </c>
      <c r="L196" t="s">
        <v>213</v>
      </c>
      <c r="M196" s="6" t="str">
        <f t="shared" si="24"/>
        <v>18</v>
      </c>
      <c r="N196" s="7">
        <f t="shared" ref="N196:N259" si="26">IF(LEN(M196)&gt;1, M196+0,"")</f>
        <v>18</v>
      </c>
      <c r="O196" t="str">
        <f t="shared" si="25"/>
        <v>11</v>
      </c>
      <c r="P196" s="4" t="str">
        <f>LEFT(L196,1)</f>
        <v>B</v>
      </c>
      <c r="Q196" t="s">
        <v>17</v>
      </c>
      <c r="U196" s="3">
        <v>40</v>
      </c>
      <c r="V196" s="2"/>
      <c r="W196" s="2">
        <v>1</v>
      </c>
      <c r="X196" s="2">
        <v>1</v>
      </c>
      <c r="Z196">
        <f t="shared" si="22"/>
        <v>40</v>
      </c>
      <c r="AA196" s="5">
        <f t="shared" si="19"/>
        <v>1</v>
      </c>
      <c r="AB196">
        <f t="shared" si="23"/>
        <v>1</v>
      </c>
      <c r="AG196">
        <v>63</v>
      </c>
      <c r="AH196" s="5">
        <v>0</v>
      </c>
      <c r="AI196">
        <v>1</v>
      </c>
    </row>
    <row r="197" spans="1:35" hidden="1" x14ac:dyDescent="0.25">
      <c r="A197">
        <v>59</v>
      </c>
      <c r="B197">
        <v>1</v>
      </c>
      <c r="C197">
        <v>2</v>
      </c>
      <c r="D197" t="s">
        <v>436</v>
      </c>
      <c r="E197" s="4">
        <f>LEN(D197)</f>
        <v>28</v>
      </c>
      <c r="F197" t="s">
        <v>14</v>
      </c>
      <c r="G197">
        <v>5</v>
      </c>
      <c r="H197">
        <v>1</v>
      </c>
      <c r="I197">
        <v>2</v>
      </c>
      <c r="J197" t="s">
        <v>437</v>
      </c>
      <c r="K197">
        <v>27.75</v>
      </c>
      <c r="M197" s="6" t="str">
        <f t="shared" si="24"/>
        <v/>
      </c>
      <c r="N197" s="7" t="str">
        <f t="shared" si="26"/>
        <v/>
      </c>
      <c r="O197" t="str">
        <f t="shared" si="25"/>
        <v>C.</v>
      </c>
      <c r="P197" s="4" t="str">
        <f>LEFT(L197,1)</f>
        <v/>
      </c>
      <c r="Q197" t="s">
        <v>20</v>
      </c>
      <c r="U197" s="3">
        <v>39</v>
      </c>
      <c r="V197" s="2"/>
      <c r="W197" s="2">
        <v>1</v>
      </c>
      <c r="X197" s="2">
        <v>1</v>
      </c>
      <c r="Z197">
        <f t="shared" si="22"/>
        <v>39</v>
      </c>
      <c r="AA197" s="5">
        <f t="shared" si="19"/>
        <v>1</v>
      </c>
      <c r="AB197">
        <f t="shared" si="23"/>
        <v>1</v>
      </c>
      <c r="AG197">
        <v>65</v>
      </c>
      <c r="AH197" s="5">
        <v>0.5</v>
      </c>
      <c r="AI197">
        <v>2</v>
      </c>
    </row>
    <row r="198" spans="1:35" hidden="1" x14ac:dyDescent="0.25">
      <c r="A198">
        <v>451</v>
      </c>
      <c r="B198">
        <v>0</v>
      </c>
      <c r="C198">
        <v>2</v>
      </c>
      <c r="D198" t="s">
        <v>555</v>
      </c>
      <c r="E198" s="4">
        <f>LEN(D198)</f>
        <v>21</v>
      </c>
      <c r="F198" t="s">
        <v>24</v>
      </c>
      <c r="G198">
        <v>36</v>
      </c>
      <c r="H198">
        <v>1</v>
      </c>
      <c r="I198">
        <v>2</v>
      </c>
      <c r="J198" t="s">
        <v>437</v>
      </c>
      <c r="K198">
        <v>27.75</v>
      </c>
      <c r="M198" s="6" t="str">
        <f t="shared" si="24"/>
        <v/>
      </c>
      <c r="N198" s="7" t="str">
        <f t="shared" si="26"/>
        <v/>
      </c>
      <c r="O198" t="str">
        <f t="shared" si="25"/>
        <v>C.</v>
      </c>
      <c r="P198" s="4" t="str">
        <f>LEFT(L198,1)</f>
        <v/>
      </c>
      <c r="Q198" t="s">
        <v>20</v>
      </c>
      <c r="U198" s="3">
        <v>41</v>
      </c>
      <c r="V198" s="2"/>
      <c r="W198" s="2">
        <v>1</v>
      </c>
      <c r="X198" s="2">
        <v>1</v>
      </c>
      <c r="Z198">
        <f t="shared" si="22"/>
        <v>41</v>
      </c>
      <c r="AA198" s="5">
        <f t="shared" ref="AA198:AA261" si="27">W198/(X198)</f>
        <v>1</v>
      </c>
      <c r="AB198">
        <f t="shared" si="23"/>
        <v>1</v>
      </c>
      <c r="AG198">
        <v>67</v>
      </c>
      <c r="AH198" s="5">
        <v>0.5</v>
      </c>
      <c r="AI198">
        <v>2</v>
      </c>
    </row>
    <row r="199" spans="1:35" hidden="1" x14ac:dyDescent="0.25">
      <c r="A199">
        <v>473</v>
      </c>
      <c r="B199">
        <v>1</v>
      </c>
      <c r="C199">
        <v>2</v>
      </c>
      <c r="D199" t="s">
        <v>559</v>
      </c>
      <c r="E199" s="4">
        <f>LEN(D199)</f>
        <v>39</v>
      </c>
      <c r="F199" t="s">
        <v>14</v>
      </c>
      <c r="G199">
        <v>33</v>
      </c>
      <c r="H199">
        <v>1</v>
      </c>
      <c r="I199">
        <v>2</v>
      </c>
      <c r="J199" t="s">
        <v>437</v>
      </c>
      <c r="K199">
        <v>27.75</v>
      </c>
      <c r="M199" s="6" t="str">
        <f t="shared" si="24"/>
        <v/>
      </c>
      <c r="N199" s="7" t="str">
        <f t="shared" si="26"/>
        <v/>
      </c>
      <c r="O199" t="str">
        <f t="shared" si="25"/>
        <v>C.</v>
      </c>
      <c r="P199" s="4" t="str">
        <f>LEFT(L199,1)</f>
        <v/>
      </c>
      <c r="Q199" t="s">
        <v>20</v>
      </c>
      <c r="U199" s="3">
        <v>50</v>
      </c>
      <c r="V199" s="2">
        <v>1</v>
      </c>
      <c r="W199" s="2">
        <v>3</v>
      </c>
      <c r="X199" s="2">
        <v>4</v>
      </c>
      <c r="Z199">
        <f t="shared" si="22"/>
        <v>50</v>
      </c>
      <c r="AA199" s="5">
        <f t="shared" si="27"/>
        <v>0.75</v>
      </c>
      <c r="AB199">
        <f t="shared" si="23"/>
        <v>4</v>
      </c>
      <c r="AG199">
        <v>68</v>
      </c>
      <c r="AH199" s="5">
        <v>0.66666666666666663</v>
      </c>
      <c r="AI199">
        <v>3</v>
      </c>
    </row>
    <row r="200" spans="1:35" x14ac:dyDescent="0.25">
      <c r="A200">
        <v>517</v>
      </c>
      <c r="B200">
        <v>1</v>
      </c>
      <c r="C200">
        <v>2</v>
      </c>
      <c r="D200" t="s">
        <v>564</v>
      </c>
      <c r="E200" s="4">
        <f>LEN(D200)</f>
        <v>28</v>
      </c>
      <c r="F200" t="s">
        <v>14</v>
      </c>
      <c r="G200">
        <v>34</v>
      </c>
      <c r="H200">
        <v>0</v>
      </c>
      <c r="I200">
        <v>0</v>
      </c>
      <c r="J200" t="s">
        <v>565</v>
      </c>
      <c r="K200">
        <v>10.5</v>
      </c>
      <c r="L200" t="s">
        <v>440</v>
      </c>
      <c r="M200" s="6" t="str">
        <f t="shared" si="24"/>
        <v>33</v>
      </c>
      <c r="N200" s="7">
        <f t="shared" si="26"/>
        <v>33</v>
      </c>
      <c r="O200" t="str">
        <f t="shared" si="25"/>
        <v>C.</v>
      </c>
      <c r="P200" s="4" t="str">
        <f>LEFT(L200,1)</f>
        <v>F</v>
      </c>
      <c r="Q200" t="s">
        <v>20</v>
      </c>
      <c r="U200" s="3">
        <v>26</v>
      </c>
      <c r="V200" s="2">
        <v>2</v>
      </c>
      <c r="W200" s="2">
        <v>1</v>
      </c>
      <c r="X200" s="2">
        <v>3</v>
      </c>
      <c r="Z200">
        <f t="shared" si="22"/>
        <v>26</v>
      </c>
      <c r="AA200" s="5">
        <f t="shared" si="27"/>
        <v>0.33333333333333331</v>
      </c>
      <c r="AB200">
        <f t="shared" si="23"/>
        <v>3</v>
      </c>
      <c r="AG200">
        <v>69</v>
      </c>
      <c r="AH200" s="5">
        <v>1</v>
      </c>
      <c r="AI200">
        <v>1</v>
      </c>
    </row>
    <row r="201" spans="1:35" hidden="1" x14ac:dyDescent="0.25">
      <c r="A201">
        <v>162</v>
      </c>
      <c r="B201">
        <v>1</v>
      </c>
      <c r="C201">
        <v>2</v>
      </c>
      <c r="D201" t="s">
        <v>469</v>
      </c>
      <c r="E201" s="4">
        <f>LEN(D201)</f>
        <v>50</v>
      </c>
      <c r="F201" t="s">
        <v>14</v>
      </c>
      <c r="G201">
        <v>40</v>
      </c>
      <c r="H201">
        <v>0</v>
      </c>
      <c r="I201">
        <v>0</v>
      </c>
      <c r="J201" t="s">
        <v>470</v>
      </c>
      <c r="K201">
        <v>15.75</v>
      </c>
      <c r="M201" s="6" t="str">
        <f t="shared" si="24"/>
        <v/>
      </c>
      <c r="N201" s="7" t="str">
        <f t="shared" si="26"/>
        <v/>
      </c>
      <c r="O201" t="str">
        <f t="shared" si="25"/>
        <v>C.</v>
      </c>
      <c r="P201" s="4" t="str">
        <f>LEFT(L201,1)</f>
        <v/>
      </c>
      <c r="Q201" t="s">
        <v>20</v>
      </c>
      <c r="U201" s="3">
        <v>15</v>
      </c>
      <c r="V201" s="2"/>
      <c r="W201" s="2">
        <v>1</v>
      </c>
      <c r="X201" s="2">
        <v>1</v>
      </c>
      <c r="Z201">
        <f t="shared" si="22"/>
        <v>15</v>
      </c>
      <c r="AA201" s="5">
        <f t="shared" si="27"/>
        <v>1</v>
      </c>
      <c r="AB201">
        <f t="shared" si="23"/>
        <v>1</v>
      </c>
      <c r="AG201">
        <v>70</v>
      </c>
      <c r="AH201" s="5">
        <v>1</v>
      </c>
      <c r="AI201">
        <v>1</v>
      </c>
    </row>
    <row r="202" spans="1:35" x14ac:dyDescent="0.25">
      <c r="A202">
        <v>367</v>
      </c>
      <c r="B202">
        <v>1</v>
      </c>
      <c r="C202">
        <v>1</v>
      </c>
      <c r="D202" t="s">
        <v>223</v>
      </c>
      <c r="E202" s="4">
        <f>LEN(D202)</f>
        <v>48</v>
      </c>
      <c r="F202" t="s">
        <v>14</v>
      </c>
      <c r="G202">
        <v>60</v>
      </c>
      <c r="H202">
        <v>1</v>
      </c>
      <c r="I202">
        <v>0</v>
      </c>
      <c r="J202">
        <v>110813</v>
      </c>
      <c r="K202">
        <v>75.25</v>
      </c>
      <c r="L202" t="s">
        <v>224</v>
      </c>
      <c r="M202" s="6" t="str">
        <f t="shared" si="24"/>
        <v>37</v>
      </c>
      <c r="N202" s="7">
        <f t="shared" si="26"/>
        <v>37</v>
      </c>
      <c r="O202" t="str">
        <f t="shared" si="25"/>
        <v>11</v>
      </c>
      <c r="P202" s="4" t="str">
        <f>LEFT(L202,1)</f>
        <v>D</v>
      </c>
      <c r="Q202" t="s">
        <v>17</v>
      </c>
      <c r="U202" s="3">
        <v>47</v>
      </c>
      <c r="V202" s="2"/>
      <c r="W202" s="2">
        <v>2</v>
      </c>
      <c r="X202" s="2">
        <v>2</v>
      </c>
      <c r="Z202">
        <f t="shared" si="22"/>
        <v>47</v>
      </c>
      <c r="AA202" s="5">
        <f t="shared" si="27"/>
        <v>1</v>
      </c>
      <c r="AB202">
        <f t="shared" si="23"/>
        <v>2</v>
      </c>
      <c r="AG202">
        <v>71</v>
      </c>
      <c r="AH202" s="5">
        <v>0</v>
      </c>
      <c r="AI202">
        <v>1</v>
      </c>
    </row>
    <row r="203" spans="1:35" x14ac:dyDescent="0.25">
      <c r="A203">
        <v>830</v>
      </c>
      <c r="B203">
        <v>1</v>
      </c>
      <c r="C203">
        <v>1</v>
      </c>
      <c r="D203" t="s">
        <v>397</v>
      </c>
      <c r="E203" s="4">
        <f>LEN(D203)</f>
        <v>41</v>
      </c>
      <c r="F203" t="s">
        <v>14</v>
      </c>
      <c r="G203">
        <v>62</v>
      </c>
      <c r="H203">
        <v>0</v>
      </c>
      <c r="I203">
        <v>0</v>
      </c>
      <c r="J203">
        <v>113572</v>
      </c>
      <c r="K203">
        <v>80</v>
      </c>
      <c r="L203" t="s">
        <v>66</v>
      </c>
      <c r="M203" s="6" t="str">
        <f t="shared" si="24"/>
        <v>28</v>
      </c>
      <c r="N203" s="7">
        <f t="shared" si="26"/>
        <v>28</v>
      </c>
      <c r="O203" t="str">
        <f t="shared" si="25"/>
        <v>11</v>
      </c>
      <c r="P203" s="4" t="str">
        <f>LEFT(L203,1)</f>
        <v>B</v>
      </c>
      <c r="U203" s="3">
        <v>54</v>
      </c>
      <c r="V203" s="2"/>
      <c r="W203" s="2">
        <v>1</v>
      </c>
      <c r="X203" s="2">
        <v>1</v>
      </c>
      <c r="Z203">
        <f t="shared" ref="Z203:Z250" si="28">U203</f>
        <v>54</v>
      </c>
      <c r="AA203" s="5">
        <f t="shared" si="27"/>
        <v>1</v>
      </c>
      <c r="AB203">
        <f t="shared" ref="AB203:AB250" si="29">X203</f>
        <v>1</v>
      </c>
      <c r="AG203">
        <v>73</v>
      </c>
      <c r="AH203" s="5">
        <v>1</v>
      </c>
      <c r="AI203">
        <v>1</v>
      </c>
    </row>
    <row r="204" spans="1:35" x14ac:dyDescent="0.25">
      <c r="A204">
        <v>497</v>
      </c>
      <c r="B204">
        <v>1</v>
      </c>
      <c r="C204">
        <v>1</v>
      </c>
      <c r="D204" t="s">
        <v>267</v>
      </c>
      <c r="E204" s="4">
        <f>LEN(D204)</f>
        <v>30</v>
      </c>
      <c r="F204" t="s">
        <v>14</v>
      </c>
      <c r="G204">
        <v>54</v>
      </c>
      <c r="H204">
        <v>1</v>
      </c>
      <c r="I204">
        <v>0</v>
      </c>
      <c r="J204">
        <v>36947</v>
      </c>
      <c r="K204">
        <v>78.2667</v>
      </c>
      <c r="L204" t="s">
        <v>268</v>
      </c>
      <c r="M204" s="6" t="str">
        <f t="shared" si="24"/>
        <v>20</v>
      </c>
      <c r="N204" s="7">
        <f t="shared" si="26"/>
        <v>20</v>
      </c>
      <c r="O204" t="str">
        <f t="shared" si="25"/>
        <v>36</v>
      </c>
      <c r="P204" s="4" t="str">
        <f>LEFT(L204,1)</f>
        <v>D</v>
      </c>
      <c r="Q204" t="s">
        <v>17</v>
      </c>
      <c r="U204" s="3">
        <v>16</v>
      </c>
      <c r="V204" s="2"/>
      <c r="W204" s="2">
        <v>1</v>
      </c>
      <c r="X204" s="2">
        <v>1</v>
      </c>
      <c r="Z204">
        <f t="shared" si="28"/>
        <v>16</v>
      </c>
      <c r="AA204" s="5">
        <f t="shared" si="27"/>
        <v>1</v>
      </c>
      <c r="AB204">
        <f t="shared" si="29"/>
        <v>1</v>
      </c>
      <c r="AG204">
        <v>77</v>
      </c>
      <c r="AH204" s="5">
        <v>0.66666666666666663</v>
      </c>
      <c r="AI204">
        <v>3</v>
      </c>
    </row>
    <row r="205" spans="1:35" x14ac:dyDescent="0.25">
      <c r="A205">
        <v>592</v>
      </c>
      <c r="B205">
        <v>1</v>
      </c>
      <c r="C205">
        <v>1</v>
      </c>
      <c r="D205" t="s">
        <v>314</v>
      </c>
      <c r="E205" s="4">
        <f>LEN(D205)</f>
        <v>47</v>
      </c>
      <c r="F205" t="s">
        <v>14</v>
      </c>
      <c r="G205">
        <v>52</v>
      </c>
      <c r="H205">
        <v>1</v>
      </c>
      <c r="I205">
        <v>0</v>
      </c>
      <c r="J205">
        <v>36947</v>
      </c>
      <c r="K205">
        <v>78.2667</v>
      </c>
      <c r="L205" t="s">
        <v>268</v>
      </c>
      <c r="M205" s="6" t="str">
        <f t="shared" si="24"/>
        <v>20</v>
      </c>
      <c r="N205" s="7">
        <f t="shared" si="26"/>
        <v>20</v>
      </c>
      <c r="O205" t="str">
        <f t="shared" si="25"/>
        <v>36</v>
      </c>
      <c r="P205" s="4" t="str">
        <f>LEFT(L205,1)</f>
        <v>D</v>
      </c>
      <c r="Q205" t="s">
        <v>17</v>
      </c>
      <c r="U205" s="3">
        <v>56</v>
      </c>
      <c r="V205" s="2"/>
      <c r="W205" s="2">
        <v>1</v>
      </c>
      <c r="X205" s="2">
        <v>1</v>
      </c>
      <c r="Z205">
        <f t="shared" si="28"/>
        <v>56</v>
      </c>
      <c r="AA205" s="5">
        <f t="shared" si="27"/>
        <v>1</v>
      </c>
      <c r="AB205">
        <f t="shared" si="29"/>
        <v>1</v>
      </c>
      <c r="AG205">
        <v>78</v>
      </c>
      <c r="AH205" s="5">
        <v>0.66666666666666663</v>
      </c>
      <c r="AI205">
        <v>3</v>
      </c>
    </row>
    <row r="206" spans="1:35" x14ac:dyDescent="0.25">
      <c r="A206">
        <v>216</v>
      </c>
      <c r="B206">
        <v>1</v>
      </c>
      <c r="C206">
        <v>1</v>
      </c>
      <c r="D206" t="s">
        <v>152</v>
      </c>
      <c r="E206" s="4">
        <f>LEN(D206)</f>
        <v>23</v>
      </c>
      <c r="F206" t="s">
        <v>14</v>
      </c>
      <c r="G206">
        <v>31</v>
      </c>
      <c r="H206">
        <v>1</v>
      </c>
      <c r="I206">
        <v>0</v>
      </c>
      <c r="J206">
        <v>35273</v>
      </c>
      <c r="K206">
        <v>113.27500000000001</v>
      </c>
      <c r="L206" t="s">
        <v>153</v>
      </c>
      <c r="M206" s="6" t="str">
        <f t="shared" si="24"/>
        <v>36</v>
      </c>
      <c r="N206" s="7">
        <f t="shared" si="26"/>
        <v>36</v>
      </c>
      <c r="O206" t="str">
        <f t="shared" si="25"/>
        <v>35</v>
      </c>
      <c r="P206" s="4" t="str">
        <f>LEFT(L206,1)</f>
        <v>D</v>
      </c>
      <c r="Q206" t="s">
        <v>17</v>
      </c>
      <c r="U206" s="3">
        <v>123</v>
      </c>
      <c r="V206" s="2">
        <v>1</v>
      </c>
      <c r="W206" s="2">
        <v>1</v>
      </c>
      <c r="X206" s="2">
        <v>2</v>
      </c>
      <c r="Z206">
        <f t="shared" si="28"/>
        <v>123</v>
      </c>
      <c r="AA206" s="5">
        <f t="shared" si="27"/>
        <v>0.5</v>
      </c>
      <c r="AB206">
        <f t="shared" si="29"/>
        <v>2</v>
      </c>
      <c r="AG206">
        <v>79</v>
      </c>
      <c r="AH206" s="5">
        <v>1</v>
      </c>
      <c r="AI206">
        <v>1</v>
      </c>
    </row>
    <row r="207" spans="1:35" x14ac:dyDescent="0.25">
      <c r="A207">
        <v>394</v>
      </c>
      <c r="B207">
        <v>1</v>
      </c>
      <c r="C207">
        <v>1</v>
      </c>
      <c r="D207" t="s">
        <v>237</v>
      </c>
      <c r="E207" s="4">
        <f>LEN(D207)</f>
        <v>22</v>
      </c>
      <c r="F207" t="s">
        <v>14</v>
      </c>
      <c r="G207">
        <v>23</v>
      </c>
      <c r="H207">
        <v>1</v>
      </c>
      <c r="I207">
        <v>0</v>
      </c>
      <c r="J207">
        <v>35273</v>
      </c>
      <c r="K207">
        <v>113.27500000000001</v>
      </c>
      <c r="L207" t="s">
        <v>153</v>
      </c>
      <c r="M207" s="6" t="str">
        <f t="shared" si="24"/>
        <v>36</v>
      </c>
      <c r="N207" s="7">
        <f t="shared" si="26"/>
        <v>36</v>
      </c>
      <c r="O207" t="str">
        <f t="shared" si="25"/>
        <v>35</v>
      </c>
      <c r="P207" s="4" t="str">
        <f>LEFT(L207,1)</f>
        <v>D</v>
      </c>
      <c r="Q207" t="s">
        <v>17</v>
      </c>
      <c r="U207" s="3">
        <v>104</v>
      </c>
      <c r="V207" s="2"/>
      <c r="W207" s="2">
        <v>1</v>
      </c>
      <c r="X207" s="2">
        <v>1</v>
      </c>
      <c r="Z207">
        <f t="shared" si="28"/>
        <v>104</v>
      </c>
      <c r="AA207" s="5">
        <f t="shared" si="27"/>
        <v>1</v>
      </c>
      <c r="AB207">
        <f t="shared" si="29"/>
        <v>1</v>
      </c>
      <c r="AG207">
        <v>80</v>
      </c>
      <c r="AH207" s="5">
        <v>1</v>
      </c>
      <c r="AI207">
        <v>1</v>
      </c>
    </row>
    <row r="208" spans="1:35" hidden="1" x14ac:dyDescent="0.25">
      <c r="A208">
        <v>146</v>
      </c>
      <c r="B208">
        <v>0</v>
      </c>
      <c r="C208">
        <v>2</v>
      </c>
      <c r="D208" t="s">
        <v>462</v>
      </c>
      <c r="E208" s="4">
        <f>LEN(D208)</f>
        <v>28</v>
      </c>
      <c r="F208" t="s">
        <v>24</v>
      </c>
      <c r="G208">
        <v>19</v>
      </c>
      <c r="H208">
        <v>1</v>
      </c>
      <c r="I208">
        <v>1</v>
      </c>
      <c r="J208" t="s">
        <v>463</v>
      </c>
      <c r="K208">
        <v>36.75</v>
      </c>
      <c r="M208" s="6" t="str">
        <f t="shared" si="24"/>
        <v/>
      </c>
      <c r="N208" s="7" t="str">
        <f t="shared" si="26"/>
        <v/>
      </c>
      <c r="O208" t="str">
        <f t="shared" si="25"/>
        <v>C.</v>
      </c>
      <c r="P208" s="4" t="str">
        <f>LEFT(L208,1)</f>
        <v/>
      </c>
      <c r="Q208" t="s">
        <v>20</v>
      </c>
      <c r="U208" s="3">
        <v>103</v>
      </c>
      <c r="V208" s="2"/>
      <c r="W208" s="2">
        <v>1</v>
      </c>
      <c r="X208" s="2">
        <v>1</v>
      </c>
      <c r="Z208">
        <f t="shared" si="28"/>
        <v>103</v>
      </c>
      <c r="AA208" s="5">
        <f t="shared" si="27"/>
        <v>1</v>
      </c>
      <c r="AB208">
        <f t="shared" si="29"/>
        <v>1</v>
      </c>
      <c r="AG208">
        <v>82</v>
      </c>
      <c r="AH208" s="5">
        <v>0</v>
      </c>
      <c r="AI208">
        <v>2</v>
      </c>
    </row>
    <row r="209" spans="1:35" hidden="1" x14ac:dyDescent="0.25">
      <c r="A209">
        <v>550</v>
      </c>
      <c r="B209">
        <v>1</v>
      </c>
      <c r="C209">
        <v>2</v>
      </c>
      <c r="D209" t="s">
        <v>574</v>
      </c>
      <c r="E209" s="4">
        <f>LEN(D209)</f>
        <v>30</v>
      </c>
      <c r="F209" t="s">
        <v>24</v>
      </c>
      <c r="G209">
        <v>8</v>
      </c>
      <c r="H209">
        <v>1</v>
      </c>
      <c r="I209">
        <v>1</v>
      </c>
      <c r="J209" t="s">
        <v>463</v>
      </c>
      <c r="K209">
        <v>36.75</v>
      </c>
      <c r="M209" s="6" t="str">
        <f t="shared" si="24"/>
        <v/>
      </c>
      <c r="N209" s="7" t="str">
        <f t="shared" si="26"/>
        <v/>
      </c>
      <c r="O209" t="str">
        <f t="shared" si="25"/>
        <v>C.</v>
      </c>
      <c r="P209" s="4" t="str">
        <f>LEFT(L209,1)</f>
        <v/>
      </c>
      <c r="Q209" t="s">
        <v>20</v>
      </c>
      <c r="U209" s="3">
        <v>96</v>
      </c>
      <c r="V209" s="2"/>
      <c r="W209" s="2">
        <v>4</v>
      </c>
      <c r="X209" s="2">
        <v>4</v>
      </c>
      <c r="Z209">
        <f t="shared" si="28"/>
        <v>96</v>
      </c>
      <c r="AA209" s="5">
        <f t="shared" si="27"/>
        <v>1</v>
      </c>
      <c r="AB209">
        <f t="shared" si="29"/>
        <v>4</v>
      </c>
      <c r="AG209">
        <v>83</v>
      </c>
      <c r="AH209" s="5">
        <v>0.5</v>
      </c>
      <c r="AI209">
        <v>2</v>
      </c>
    </row>
    <row r="210" spans="1:35" hidden="1" x14ac:dyDescent="0.25">
      <c r="A210">
        <v>71</v>
      </c>
      <c r="B210">
        <v>0</v>
      </c>
      <c r="C210">
        <v>2</v>
      </c>
      <c r="D210" t="s">
        <v>441</v>
      </c>
      <c r="E210" s="4">
        <f>LEN(D210)</f>
        <v>26</v>
      </c>
      <c r="F210" t="s">
        <v>24</v>
      </c>
      <c r="G210">
        <v>32</v>
      </c>
      <c r="H210">
        <v>0</v>
      </c>
      <c r="I210">
        <v>0</v>
      </c>
      <c r="J210" t="s">
        <v>442</v>
      </c>
      <c r="K210">
        <v>10.5</v>
      </c>
      <c r="M210" s="6" t="str">
        <f t="shared" si="24"/>
        <v/>
      </c>
      <c r="N210" s="7" t="str">
        <f t="shared" si="26"/>
        <v/>
      </c>
      <c r="O210" t="str">
        <f t="shared" si="25"/>
        <v>C.</v>
      </c>
      <c r="P210" s="4" t="str">
        <f>LEFT(L210,1)</f>
        <v/>
      </c>
      <c r="Q210" t="s">
        <v>20</v>
      </c>
      <c r="U210" s="3">
        <v>87</v>
      </c>
      <c r="V210" s="2">
        <v>1</v>
      </c>
      <c r="W210" s="2"/>
      <c r="X210" s="2">
        <v>1</v>
      </c>
      <c r="Z210">
        <f t="shared" si="28"/>
        <v>87</v>
      </c>
      <c r="AA210" s="5">
        <f t="shared" si="27"/>
        <v>0</v>
      </c>
      <c r="AB210">
        <f t="shared" si="29"/>
        <v>1</v>
      </c>
      <c r="AG210">
        <v>85</v>
      </c>
      <c r="AH210" s="5">
        <v>1</v>
      </c>
      <c r="AI210">
        <v>1</v>
      </c>
    </row>
    <row r="211" spans="1:35" hidden="1" x14ac:dyDescent="0.25">
      <c r="A211">
        <v>238</v>
      </c>
      <c r="B211">
        <v>1</v>
      </c>
      <c r="C211">
        <v>2</v>
      </c>
      <c r="D211" t="s">
        <v>492</v>
      </c>
      <c r="E211" s="4">
        <f>LEN(D211)</f>
        <v>32</v>
      </c>
      <c r="F211" t="s">
        <v>14</v>
      </c>
      <c r="G211">
        <v>8</v>
      </c>
      <c r="H211">
        <v>0</v>
      </c>
      <c r="I211">
        <v>2</v>
      </c>
      <c r="J211" t="s">
        <v>493</v>
      </c>
      <c r="K211">
        <v>26.25</v>
      </c>
      <c r="M211" s="6" t="str">
        <f t="shared" si="24"/>
        <v/>
      </c>
      <c r="N211" s="7" t="str">
        <f t="shared" si="26"/>
        <v/>
      </c>
      <c r="O211" t="str">
        <f t="shared" si="25"/>
        <v>C.</v>
      </c>
      <c r="P211" s="4" t="str">
        <f>LEFT(L211,1)</f>
        <v/>
      </c>
      <c r="Q211" t="s">
        <v>20</v>
      </c>
      <c r="U211" s="3">
        <v>128</v>
      </c>
      <c r="V211" s="2">
        <v>1</v>
      </c>
      <c r="W211" s="2"/>
      <c r="X211" s="2">
        <v>1</v>
      </c>
      <c r="Z211">
        <f t="shared" si="28"/>
        <v>128</v>
      </c>
      <c r="AA211" s="5">
        <f t="shared" si="27"/>
        <v>0</v>
      </c>
      <c r="AB211">
        <f t="shared" si="29"/>
        <v>1</v>
      </c>
      <c r="AG211">
        <v>86</v>
      </c>
      <c r="AH211" s="5">
        <v>0</v>
      </c>
      <c r="AI211">
        <v>2</v>
      </c>
    </row>
    <row r="212" spans="1:35" hidden="1" x14ac:dyDescent="0.25">
      <c r="A212">
        <v>638</v>
      </c>
      <c r="B212">
        <v>0</v>
      </c>
      <c r="C212">
        <v>2</v>
      </c>
      <c r="D212" t="s">
        <v>592</v>
      </c>
      <c r="E212" s="4">
        <f>LEN(D212)</f>
        <v>19</v>
      </c>
      <c r="F212" t="s">
        <v>24</v>
      </c>
      <c r="G212">
        <v>31</v>
      </c>
      <c r="H212">
        <v>1</v>
      </c>
      <c r="I212">
        <v>1</v>
      </c>
      <c r="J212" t="s">
        <v>493</v>
      </c>
      <c r="K212">
        <v>26.25</v>
      </c>
      <c r="M212" s="6" t="str">
        <f t="shared" si="24"/>
        <v/>
      </c>
      <c r="N212" s="7" t="str">
        <f t="shared" si="26"/>
        <v/>
      </c>
      <c r="O212" t="str">
        <f t="shared" si="25"/>
        <v>C.</v>
      </c>
      <c r="P212" s="4" t="str">
        <f>LEFT(L212,1)</f>
        <v/>
      </c>
      <c r="Q212" t="s">
        <v>20</v>
      </c>
      <c r="U212" s="3">
        <v>19</v>
      </c>
      <c r="V212" s="2">
        <v>2</v>
      </c>
      <c r="W212" s="2">
        <v>1</v>
      </c>
      <c r="X212" s="2">
        <v>3</v>
      </c>
      <c r="Z212">
        <f t="shared" si="28"/>
        <v>19</v>
      </c>
      <c r="AA212" s="5">
        <f t="shared" si="27"/>
        <v>0.33333333333333331</v>
      </c>
      <c r="AB212">
        <f t="shared" si="29"/>
        <v>3</v>
      </c>
      <c r="AG212">
        <v>87</v>
      </c>
      <c r="AH212" s="5">
        <v>0</v>
      </c>
      <c r="AI212">
        <v>1</v>
      </c>
    </row>
    <row r="213" spans="1:35" hidden="1" x14ac:dyDescent="0.25">
      <c r="A213">
        <v>802</v>
      </c>
      <c r="B213">
        <v>1</v>
      </c>
      <c r="C213">
        <v>2</v>
      </c>
      <c r="D213" t="s">
        <v>628</v>
      </c>
      <c r="E213" s="4">
        <f>LEN(D213)</f>
        <v>43</v>
      </c>
      <c r="F213" t="s">
        <v>14</v>
      </c>
      <c r="G213">
        <v>31</v>
      </c>
      <c r="H213">
        <v>1</v>
      </c>
      <c r="I213">
        <v>1</v>
      </c>
      <c r="J213" t="s">
        <v>493</v>
      </c>
      <c r="K213">
        <v>26.25</v>
      </c>
      <c r="M213" s="6" t="str">
        <f t="shared" si="24"/>
        <v/>
      </c>
      <c r="N213" s="7" t="str">
        <f t="shared" si="26"/>
        <v/>
      </c>
      <c r="O213" t="str">
        <f t="shared" si="25"/>
        <v>C.</v>
      </c>
      <c r="P213" s="4" t="str">
        <f>LEFT(L213,1)</f>
        <v/>
      </c>
      <c r="Q213" t="s">
        <v>20</v>
      </c>
      <c r="U213" s="3">
        <v>17</v>
      </c>
      <c r="V213" s="2"/>
      <c r="W213" s="2">
        <v>3</v>
      </c>
      <c r="X213" s="2">
        <v>3</v>
      </c>
      <c r="Z213">
        <f t="shared" si="28"/>
        <v>17</v>
      </c>
      <c r="AA213" s="5">
        <f t="shared" si="27"/>
        <v>1</v>
      </c>
      <c r="AB213">
        <f t="shared" si="29"/>
        <v>3</v>
      </c>
      <c r="AG213">
        <v>90</v>
      </c>
      <c r="AH213" s="5">
        <v>1</v>
      </c>
      <c r="AI213">
        <v>1</v>
      </c>
    </row>
    <row r="214" spans="1:35" x14ac:dyDescent="0.25">
      <c r="A214">
        <v>660</v>
      </c>
      <c r="B214">
        <v>0</v>
      </c>
      <c r="C214">
        <v>1</v>
      </c>
      <c r="D214" t="s">
        <v>334</v>
      </c>
      <c r="E214" s="4">
        <f>LEN(D214)</f>
        <v>26</v>
      </c>
      <c r="F214" t="s">
        <v>24</v>
      </c>
      <c r="G214">
        <v>58</v>
      </c>
      <c r="H214">
        <v>0</v>
      </c>
      <c r="I214">
        <v>2</v>
      </c>
      <c r="J214">
        <v>35273</v>
      </c>
      <c r="K214">
        <v>113.27500000000001</v>
      </c>
      <c r="L214" t="s">
        <v>335</v>
      </c>
      <c r="M214" s="6" t="str">
        <f t="shared" si="24"/>
        <v>48</v>
      </c>
      <c r="N214" s="7">
        <f t="shared" si="26"/>
        <v>48</v>
      </c>
      <c r="O214" t="str">
        <f t="shared" si="25"/>
        <v>35</v>
      </c>
      <c r="P214" s="4" t="str">
        <f>LEFT(L214,1)</f>
        <v>D</v>
      </c>
      <c r="Q214" t="s">
        <v>17</v>
      </c>
      <c r="U214" s="3">
        <v>124</v>
      </c>
      <c r="V214" s="2">
        <v>2</v>
      </c>
      <c r="W214" s="2"/>
      <c r="X214" s="2">
        <v>2</v>
      </c>
      <c r="Z214">
        <f t="shared" si="28"/>
        <v>124</v>
      </c>
      <c r="AA214" s="5">
        <f t="shared" si="27"/>
        <v>0</v>
      </c>
      <c r="AB214">
        <f t="shared" si="29"/>
        <v>2</v>
      </c>
      <c r="AG214">
        <v>91</v>
      </c>
      <c r="AH214" s="5">
        <v>0</v>
      </c>
      <c r="AI214">
        <v>1</v>
      </c>
    </row>
    <row r="215" spans="1:35" hidden="1" x14ac:dyDescent="0.25">
      <c r="A215">
        <v>57</v>
      </c>
      <c r="B215">
        <v>1</v>
      </c>
      <c r="C215">
        <v>2</v>
      </c>
      <c r="D215" t="s">
        <v>434</v>
      </c>
      <c r="E215" s="4">
        <f>LEN(D215)</f>
        <v>17</v>
      </c>
      <c r="F215" t="s">
        <v>14</v>
      </c>
      <c r="G215">
        <v>21</v>
      </c>
      <c r="H215">
        <v>0</v>
      </c>
      <c r="I215">
        <v>0</v>
      </c>
      <c r="J215" t="s">
        <v>435</v>
      </c>
      <c r="K215">
        <v>10.5</v>
      </c>
      <c r="M215" s="6" t="str">
        <f t="shared" si="24"/>
        <v/>
      </c>
      <c r="N215" s="7" t="str">
        <f t="shared" si="26"/>
        <v/>
      </c>
      <c r="O215" t="str">
        <f t="shared" si="25"/>
        <v>C.</v>
      </c>
      <c r="P215" s="4" t="str">
        <f>LEFT(L215,1)</f>
        <v/>
      </c>
      <c r="Q215" t="s">
        <v>20</v>
      </c>
      <c r="U215" s="3">
        <v>94</v>
      </c>
      <c r="V215" s="2">
        <v>1</v>
      </c>
      <c r="W215" s="2"/>
      <c r="X215" s="2">
        <v>1</v>
      </c>
      <c r="Z215">
        <f t="shared" si="28"/>
        <v>94</v>
      </c>
      <c r="AA215" s="5">
        <f t="shared" si="27"/>
        <v>0</v>
      </c>
      <c r="AB215">
        <f t="shared" si="29"/>
        <v>1</v>
      </c>
      <c r="AG215">
        <v>92</v>
      </c>
      <c r="AH215" s="5">
        <v>1</v>
      </c>
      <c r="AI215">
        <v>2</v>
      </c>
    </row>
    <row r="216" spans="1:35" hidden="1" x14ac:dyDescent="0.25">
      <c r="A216">
        <v>235</v>
      </c>
      <c r="B216">
        <v>0</v>
      </c>
      <c r="C216">
        <v>2</v>
      </c>
      <c r="D216" t="s">
        <v>489</v>
      </c>
      <c r="E216" s="4">
        <f>LEN(D216)</f>
        <v>33</v>
      </c>
      <c r="F216" t="s">
        <v>24</v>
      </c>
      <c r="G216">
        <v>24</v>
      </c>
      <c r="H216">
        <v>0</v>
      </c>
      <c r="I216">
        <v>0</v>
      </c>
      <c r="J216" t="s">
        <v>490</v>
      </c>
      <c r="K216">
        <v>10.5</v>
      </c>
      <c r="M216" s="6" t="str">
        <f t="shared" si="24"/>
        <v/>
      </c>
      <c r="N216" s="7" t="str">
        <f t="shared" si="26"/>
        <v/>
      </c>
      <c r="O216" t="str">
        <f t="shared" si="25"/>
        <v>C.</v>
      </c>
      <c r="P216" s="4" t="str">
        <f>LEFT(L216,1)</f>
        <v/>
      </c>
      <c r="Q216" t="s">
        <v>20</v>
      </c>
      <c r="U216" s="3">
        <v>102</v>
      </c>
      <c r="V216" s="2">
        <v>1</v>
      </c>
      <c r="W216" s="2"/>
      <c r="X216" s="2">
        <v>1</v>
      </c>
      <c r="Z216">
        <f t="shared" si="28"/>
        <v>102</v>
      </c>
      <c r="AA216" s="5">
        <f t="shared" si="27"/>
        <v>0</v>
      </c>
      <c r="AB216">
        <f t="shared" si="29"/>
        <v>1</v>
      </c>
      <c r="AG216">
        <v>93</v>
      </c>
      <c r="AH216" s="5">
        <v>1</v>
      </c>
      <c r="AI216">
        <v>2</v>
      </c>
    </row>
    <row r="217" spans="1:35" x14ac:dyDescent="0.25">
      <c r="A217">
        <v>175</v>
      </c>
      <c r="B217">
        <v>0</v>
      </c>
      <c r="C217">
        <v>1</v>
      </c>
      <c r="D217" t="s">
        <v>130</v>
      </c>
      <c r="E217" s="4">
        <f>LEN(D217)</f>
        <v>23</v>
      </c>
      <c r="F217" t="s">
        <v>24</v>
      </c>
      <c r="G217">
        <v>56</v>
      </c>
      <c r="H217">
        <v>0</v>
      </c>
      <c r="I217">
        <v>0</v>
      </c>
      <c r="J217">
        <v>17764</v>
      </c>
      <c r="K217">
        <v>30.695799999999998</v>
      </c>
      <c r="L217" t="s">
        <v>131</v>
      </c>
      <c r="M217" s="6" t="str">
        <f t="shared" si="24"/>
        <v>7</v>
      </c>
      <c r="N217" s="7" t="str">
        <f t="shared" si="26"/>
        <v/>
      </c>
      <c r="O217" t="str">
        <f t="shared" si="25"/>
        <v>17</v>
      </c>
      <c r="P217" s="4" t="str">
        <f>LEFT(L217,1)</f>
        <v>A</v>
      </c>
      <c r="Q217" t="s">
        <v>17</v>
      </c>
      <c r="U217" s="3">
        <v>42</v>
      </c>
      <c r="V217" s="2"/>
      <c r="W217" s="2">
        <v>1</v>
      </c>
      <c r="X217" s="2">
        <v>1</v>
      </c>
      <c r="Z217">
        <f t="shared" si="28"/>
        <v>42</v>
      </c>
      <c r="AA217" s="5">
        <f t="shared" si="27"/>
        <v>1</v>
      </c>
      <c r="AB217">
        <f t="shared" si="29"/>
        <v>1</v>
      </c>
      <c r="AG217">
        <v>94</v>
      </c>
      <c r="AH217" s="5">
        <v>0</v>
      </c>
      <c r="AI217">
        <v>1</v>
      </c>
    </row>
    <row r="218" spans="1:35" x14ac:dyDescent="0.25">
      <c r="A218">
        <v>67</v>
      </c>
      <c r="B218">
        <v>1</v>
      </c>
      <c r="C218">
        <v>2</v>
      </c>
      <c r="D218" t="s">
        <v>438</v>
      </c>
      <c r="E218" s="4">
        <f>LEN(D218)</f>
        <v>28</v>
      </c>
      <c r="F218" t="s">
        <v>14</v>
      </c>
      <c r="G218">
        <v>29</v>
      </c>
      <c r="H218">
        <v>0</v>
      </c>
      <c r="I218">
        <v>0</v>
      </c>
      <c r="J218" t="s">
        <v>439</v>
      </c>
      <c r="K218">
        <v>10.5</v>
      </c>
      <c r="L218" t="s">
        <v>440</v>
      </c>
      <c r="M218" s="6" t="str">
        <f t="shared" si="24"/>
        <v>33</v>
      </c>
      <c r="N218" s="7">
        <f t="shared" si="26"/>
        <v>33</v>
      </c>
      <c r="O218" t="str">
        <f t="shared" si="25"/>
        <v>C.</v>
      </c>
      <c r="P218" s="4" t="str">
        <f>LEFT(L218,1)</f>
        <v>F</v>
      </c>
      <c r="Q218" t="s">
        <v>20</v>
      </c>
      <c r="U218" s="3">
        <v>63</v>
      </c>
      <c r="V218" s="2">
        <v>1</v>
      </c>
      <c r="W218" s="2"/>
      <c r="X218" s="2">
        <v>1</v>
      </c>
      <c r="Z218">
        <f t="shared" si="28"/>
        <v>63</v>
      </c>
      <c r="AA218" s="5">
        <f t="shared" si="27"/>
        <v>0</v>
      </c>
      <c r="AB218">
        <f t="shared" si="29"/>
        <v>1</v>
      </c>
      <c r="AG218">
        <v>95</v>
      </c>
      <c r="AH218" s="5">
        <v>0</v>
      </c>
      <c r="AI218">
        <v>1</v>
      </c>
    </row>
    <row r="219" spans="1:35" x14ac:dyDescent="0.25">
      <c r="A219">
        <v>850</v>
      </c>
      <c r="B219">
        <v>1</v>
      </c>
      <c r="C219">
        <v>1</v>
      </c>
      <c r="D219" t="s">
        <v>49</v>
      </c>
      <c r="E219" s="4">
        <f>LEN(D219)</f>
        <v>44</v>
      </c>
      <c r="F219" t="s">
        <v>14</v>
      </c>
      <c r="H219">
        <v>1</v>
      </c>
      <c r="I219">
        <v>0</v>
      </c>
      <c r="J219">
        <v>17453</v>
      </c>
      <c r="K219">
        <v>89.104200000000006</v>
      </c>
      <c r="L219" t="s">
        <v>50</v>
      </c>
      <c r="M219" s="6" t="str">
        <f t="shared" si="24"/>
        <v>92</v>
      </c>
      <c r="N219" s="7">
        <f t="shared" si="26"/>
        <v>92</v>
      </c>
      <c r="O219" t="str">
        <f t="shared" si="25"/>
        <v>17</v>
      </c>
      <c r="P219" s="4" t="str">
        <f>LEFT(L219,1)</f>
        <v>C</v>
      </c>
      <c r="Q219" t="s">
        <v>17</v>
      </c>
      <c r="U219" s="3">
        <v>52</v>
      </c>
      <c r="V219" s="2"/>
      <c r="W219" s="2">
        <v>2</v>
      </c>
      <c r="X219" s="2">
        <v>2</v>
      </c>
      <c r="Z219">
        <f t="shared" si="28"/>
        <v>52</v>
      </c>
      <c r="AA219" s="5">
        <f t="shared" si="27"/>
        <v>1</v>
      </c>
      <c r="AB219">
        <f t="shared" si="29"/>
        <v>2</v>
      </c>
      <c r="AG219">
        <v>96</v>
      </c>
      <c r="AH219" s="5">
        <v>1</v>
      </c>
      <c r="AI219">
        <v>4</v>
      </c>
    </row>
    <row r="220" spans="1:35" hidden="1" x14ac:dyDescent="0.25">
      <c r="A220">
        <v>135</v>
      </c>
      <c r="B220">
        <v>0</v>
      </c>
      <c r="C220">
        <v>2</v>
      </c>
      <c r="D220" t="s">
        <v>457</v>
      </c>
      <c r="E220" s="4">
        <f>LEN(D220)</f>
        <v>30</v>
      </c>
      <c r="F220" t="s">
        <v>24</v>
      </c>
      <c r="G220">
        <v>25</v>
      </c>
      <c r="H220">
        <v>0</v>
      </c>
      <c r="I220">
        <v>0</v>
      </c>
      <c r="J220" t="s">
        <v>458</v>
      </c>
      <c r="K220">
        <v>13</v>
      </c>
      <c r="M220" s="6" t="str">
        <f t="shared" si="24"/>
        <v/>
      </c>
      <c r="N220" s="7" t="str">
        <f t="shared" si="26"/>
        <v/>
      </c>
      <c r="O220" t="str">
        <f t="shared" si="25"/>
        <v>C.</v>
      </c>
      <c r="P220" s="4" t="str">
        <f>LEFT(L220,1)</f>
        <v/>
      </c>
      <c r="Q220" t="s">
        <v>20</v>
      </c>
      <c r="U220" s="3">
        <v>14</v>
      </c>
      <c r="V220" s="2">
        <v>1</v>
      </c>
      <c r="W220" s="2"/>
      <c r="X220" s="2">
        <v>1</v>
      </c>
      <c r="Z220">
        <f t="shared" si="28"/>
        <v>14</v>
      </c>
      <c r="AA220" s="5">
        <f t="shared" si="27"/>
        <v>0</v>
      </c>
      <c r="AB220">
        <f t="shared" si="29"/>
        <v>1</v>
      </c>
      <c r="AG220">
        <v>99</v>
      </c>
      <c r="AH220" s="5">
        <v>1</v>
      </c>
      <c r="AI220">
        <v>1</v>
      </c>
    </row>
    <row r="221" spans="1:35" hidden="1" x14ac:dyDescent="0.25">
      <c r="A221">
        <v>280</v>
      </c>
      <c r="B221">
        <v>1</v>
      </c>
      <c r="C221">
        <v>3</v>
      </c>
      <c r="D221" t="s">
        <v>834</v>
      </c>
      <c r="E221" s="4">
        <f>LEN(D221)</f>
        <v>32</v>
      </c>
      <c r="F221" t="s">
        <v>14</v>
      </c>
      <c r="G221">
        <v>35</v>
      </c>
      <c r="H221">
        <v>1</v>
      </c>
      <c r="I221">
        <v>1</v>
      </c>
      <c r="J221" t="s">
        <v>835</v>
      </c>
      <c r="K221">
        <v>20.25</v>
      </c>
      <c r="M221" s="6" t="str">
        <f t="shared" si="24"/>
        <v/>
      </c>
      <c r="N221" s="7" t="str">
        <f t="shared" si="26"/>
        <v/>
      </c>
      <c r="O221" t="str">
        <f t="shared" si="25"/>
        <v>C.</v>
      </c>
      <c r="P221" s="4" t="str">
        <f>LEFT(L221,1)</f>
        <v/>
      </c>
      <c r="Q221" t="s">
        <v>20</v>
      </c>
      <c r="U221" s="3">
        <v>110</v>
      </c>
      <c r="V221" s="2">
        <v>1</v>
      </c>
      <c r="W221" s="2"/>
      <c r="X221" s="2">
        <v>1</v>
      </c>
      <c r="Z221">
        <f t="shared" si="28"/>
        <v>110</v>
      </c>
      <c r="AA221" s="5">
        <f t="shared" si="27"/>
        <v>0</v>
      </c>
      <c r="AB221">
        <f t="shared" si="29"/>
        <v>1</v>
      </c>
      <c r="AG221">
        <v>101</v>
      </c>
      <c r="AH221" s="5">
        <v>1</v>
      </c>
      <c r="AI221">
        <v>5</v>
      </c>
    </row>
    <row r="222" spans="1:35" x14ac:dyDescent="0.25">
      <c r="A222">
        <v>246</v>
      </c>
      <c r="B222">
        <v>0</v>
      </c>
      <c r="C222">
        <v>1</v>
      </c>
      <c r="D222" t="s">
        <v>159</v>
      </c>
      <c r="E222" s="4">
        <f>LEN(D222)</f>
        <v>27</v>
      </c>
      <c r="F222" t="s">
        <v>24</v>
      </c>
      <c r="G222">
        <v>44</v>
      </c>
      <c r="H222">
        <v>2</v>
      </c>
      <c r="I222">
        <v>0</v>
      </c>
      <c r="J222">
        <v>19928</v>
      </c>
      <c r="K222">
        <v>90</v>
      </c>
      <c r="L222" t="s">
        <v>160</v>
      </c>
      <c r="M222" s="6" t="str">
        <f t="shared" si="24"/>
        <v>78</v>
      </c>
      <c r="N222" s="7">
        <f t="shared" si="26"/>
        <v>78</v>
      </c>
      <c r="O222" t="str">
        <f t="shared" si="25"/>
        <v>19</v>
      </c>
      <c r="P222" s="4" t="str">
        <f>LEFT(L222,1)</f>
        <v>C</v>
      </c>
      <c r="Q222" t="s">
        <v>161</v>
      </c>
      <c r="U222" s="3">
        <v>67</v>
      </c>
      <c r="V222" s="2">
        <v>1</v>
      </c>
      <c r="W222" s="2">
        <v>1</v>
      </c>
      <c r="X222" s="2">
        <v>2</v>
      </c>
      <c r="Z222">
        <f t="shared" si="28"/>
        <v>67</v>
      </c>
      <c r="AA222" s="5">
        <f t="shared" si="27"/>
        <v>0.5</v>
      </c>
      <c r="AB222">
        <f t="shared" si="29"/>
        <v>2</v>
      </c>
      <c r="AG222">
        <v>102</v>
      </c>
      <c r="AH222" s="5">
        <v>0</v>
      </c>
      <c r="AI222">
        <v>1</v>
      </c>
    </row>
    <row r="223" spans="1:35" hidden="1" x14ac:dyDescent="0.25">
      <c r="A223">
        <v>747</v>
      </c>
      <c r="B223">
        <v>0</v>
      </c>
      <c r="C223">
        <v>3</v>
      </c>
      <c r="D223" t="s">
        <v>1144</v>
      </c>
      <c r="E223" s="4">
        <f>LEN(D223)</f>
        <v>27</v>
      </c>
      <c r="F223" t="s">
        <v>24</v>
      </c>
      <c r="G223">
        <v>16</v>
      </c>
      <c r="H223">
        <v>1</v>
      </c>
      <c r="I223">
        <v>1</v>
      </c>
      <c r="J223" t="s">
        <v>835</v>
      </c>
      <c r="K223">
        <v>20.25</v>
      </c>
      <c r="M223" s="6" t="str">
        <f t="shared" si="24"/>
        <v/>
      </c>
      <c r="N223" s="7" t="str">
        <f t="shared" si="26"/>
        <v/>
      </c>
      <c r="O223" t="str">
        <f t="shared" si="25"/>
        <v>C.</v>
      </c>
      <c r="P223" s="4" t="str">
        <f>LEFT(L223,1)</f>
        <v/>
      </c>
      <c r="Q223" t="s">
        <v>20</v>
      </c>
      <c r="U223" s="3">
        <v>79</v>
      </c>
      <c r="V223" s="2"/>
      <c r="W223" s="2">
        <v>1</v>
      </c>
      <c r="X223" s="2">
        <v>1</v>
      </c>
      <c r="Z223">
        <f t="shared" si="28"/>
        <v>79</v>
      </c>
      <c r="AA223" s="5">
        <f t="shared" si="27"/>
        <v>1</v>
      </c>
      <c r="AB223">
        <f t="shared" si="29"/>
        <v>1</v>
      </c>
      <c r="AG223">
        <v>103</v>
      </c>
      <c r="AH223" s="5">
        <v>1</v>
      </c>
      <c r="AI223">
        <v>1</v>
      </c>
    </row>
    <row r="224" spans="1:35" hidden="1" x14ac:dyDescent="0.25">
      <c r="A224">
        <v>673</v>
      </c>
      <c r="B224">
        <v>0</v>
      </c>
      <c r="C224">
        <v>2</v>
      </c>
      <c r="D224" t="s">
        <v>599</v>
      </c>
      <c r="E224" s="4">
        <f>LEN(D224)</f>
        <v>27</v>
      </c>
      <c r="F224" t="s">
        <v>24</v>
      </c>
      <c r="G224">
        <v>70</v>
      </c>
      <c r="H224">
        <v>0</v>
      </c>
      <c r="I224">
        <v>0</v>
      </c>
      <c r="J224" t="s">
        <v>600</v>
      </c>
      <c r="K224">
        <v>10.5</v>
      </c>
      <c r="M224" s="6" t="str">
        <f t="shared" si="24"/>
        <v/>
      </c>
      <c r="N224" s="7" t="str">
        <f t="shared" si="26"/>
        <v/>
      </c>
      <c r="O224" t="str">
        <f t="shared" si="25"/>
        <v>C.</v>
      </c>
      <c r="P224" s="4" t="str">
        <f>LEFT(L224,1)</f>
        <v/>
      </c>
      <c r="Q224" t="s">
        <v>20</v>
      </c>
      <c r="U224" s="3">
        <v>83</v>
      </c>
      <c r="V224" s="2">
        <v>1</v>
      </c>
      <c r="W224" s="2">
        <v>1</v>
      </c>
      <c r="X224" s="2">
        <v>2</v>
      </c>
      <c r="Z224">
        <f t="shared" si="28"/>
        <v>83</v>
      </c>
      <c r="AA224" s="5">
        <f t="shared" si="27"/>
        <v>0.5</v>
      </c>
      <c r="AB224">
        <f t="shared" si="29"/>
        <v>2</v>
      </c>
      <c r="AG224">
        <v>104</v>
      </c>
      <c r="AH224" s="5">
        <v>1</v>
      </c>
      <c r="AI224">
        <v>1</v>
      </c>
    </row>
    <row r="225" spans="1:35" hidden="1" x14ac:dyDescent="0.25">
      <c r="A225">
        <v>34</v>
      </c>
      <c r="B225">
        <v>0</v>
      </c>
      <c r="C225">
        <v>2</v>
      </c>
      <c r="D225" t="s">
        <v>428</v>
      </c>
      <c r="E225" s="4">
        <f>LEN(D225)</f>
        <v>21</v>
      </c>
      <c r="F225" t="s">
        <v>24</v>
      </c>
      <c r="G225">
        <v>66</v>
      </c>
      <c r="H225">
        <v>0</v>
      </c>
      <c r="I225">
        <v>0</v>
      </c>
      <c r="J225" t="s">
        <v>429</v>
      </c>
      <c r="K225">
        <v>10.5</v>
      </c>
      <c r="M225" s="6" t="str">
        <f t="shared" si="24"/>
        <v/>
      </c>
      <c r="N225" s="7" t="str">
        <f t="shared" si="26"/>
        <v/>
      </c>
      <c r="O225" t="str">
        <f t="shared" si="25"/>
        <v>C.</v>
      </c>
      <c r="P225" s="4" t="str">
        <f>LEFT(L225,1)</f>
        <v/>
      </c>
      <c r="Q225" t="s">
        <v>20</v>
      </c>
      <c r="U225" s="3">
        <v>46</v>
      </c>
      <c r="V225" s="2">
        <v>3</v>
      </c>
      <c r="W225" s="2"/>
      <c r="X225" s="2">
        <v>3</v>
      </c>
      <c r="Z225">
        <f t="shared" si="28"/>
        <v>46</v>
      </c>
      <c r="AA225" s="5">
        <f t="shared" si="27"/>
        <v>0</v>
      </c>
      <c r="AB225">
        <f t="shared" si="29"/>
        <v>3</v>
      </c>
      <c r="AG225">
        <v>106</v>
      </c>
      <c r="AH225" s="5">
        <v>1</v>
      </c>
      <c r="AI225">
        <v>1</v>
      </c>
    </row>
    <row r="226" spans="1:35" x14ac:dyDescent="0.25">
      <c r="A226">
        <v>454</v>
      </c>
      <c r="B226">
        <v>1</v>
      </c>
      <c r="C226">
        <v>1</v>
      </c>
      <c r="D226" t="s">
        <v>251</v>
      </c>
      <c r="E226" s="4">
        <f>LEN(D226)</f>
        <v>24</v>
      </c>
      <c r="F226" t="s">
        <v>24</v>
      </c>
      <c r="G226">
        <v>49</v>
      </c>
      <c r="H226">
        <v>1</v>
      </c>
      <c r="I226">
        <v>0</v>
      </c>
      <c r="J226">
        <v>17453</v>
      </c>
      <c r="K226">
        <v>89.104200000000006</v>
      </c>
      <c r="L226" t="s">
        <v>50</v>
      </c>
      <c r="M226" s="6" t="str">
        <f t="shared" si="24"/>
        <v>92</v>
      </c>
      <c r="N226" s="7">
        <f t="shared" si="26"/>
        <v>92</v>
      </c>
      <c r="O226" t="str">
        <f t="shared" si="25"/>
        <v>17</v>
      </c>
      <c r="P226" s="4" t="str">
        <f>LEFT(L226,1)</f>
        <v>C</v>
      </c>
      <c r="Q226" t="s">
        <v>17</v>
      </c>
      <c r="U226" s="3">
        <v>23</v>
      </c>
      <c r="V226" s="2">
        <v>2</v>
      </c>
      <c r="W226" s="2">
        <v>3</v>
      </c>
      <c r="X226" s="2">
        <v>5</v>
      </c>
      <c r="Z226">
        <f t="shared" si="28"/>
        <v>23</v>
      </c>
      <c r="AA226" s="5">
        <f t="shared" si="27"/>
        <v>0.6</v>
      </c>
      <c r="AB226">
        <f t="shared" si="29"/>
        <v>5</v>
      </c>
      <c r="AG226">
        <v>110</v>
      </c>
      <c r="AH226" s="5">
        <v>0</v>
      </c>
      <c r="AI226">
        <v>1</v>
      </c>
    </row>
    <row r="227" spans="1:35" hidden="1" x14ac:dyDescent="0.25">
      <c r="A227">
        <v>94</v>
      </c>
      <c r="B227">
        <v>0</v>
      </c>
      <c r="C227">
        <v>3</v>
      </c>
      <c r="D227" t="s">
        <v>717</v>
      </c>
      <c r="E227" s="4">
        <f>LEN(D227)</f>
        <v>23</v>
      </c>
      <c r="F227" t="s">
        <v>24</v>
      </c>
      <c r="G227">
        <v>26</v>
      </c>
      <c r="H227">
        <v>1</v>
      </c>
      <c r="I227">
        <v>2</v>
      </c>
      <c r="J227" t="s">
        <v>718</v>
      </c>
      <c r="K227">
        <v>20.574999999999999</v>
      </c>
      <c r="M227" s="6" t="str">
        <f t="shared" si="24"/>
        <v/>
      </c>
      <c r="N227" s="7" t="str">
        <f t="shared" si="26"/>
        <v/>
      </c>
      <c r="O227" t="str">
        <f t="shared" si="25"/>
        <v>C.</v>
      </c>
      <c r="P227" s="4" t="str">
        <f>LEFT(L227,1)</f>
        <v/>
      </c>
      <c r="Q227" t="s">
        <v>20</v>
      </c>
      <c r="U227" s="3">
        <v>126</v>
      </c>
      <c r="V227" s="2"/>
      <c r="W227" s="2">
        <v>2</v>
      </c>
      <c r="X227" s="2">
        <v>2</v>
      </c>
      <c r="Z227">
        <f t="shared" si="28"/>
        <v>126</v>
      </c>
      <c r="AA227" s="5">
        <f t="shared" si="27"/>
        <v>1</v>
      </c>
      <c r="AB227">
        <f t="shared" si="29"/>
        <v>2</v>
      </c>
      <c r="AG227">
        <v>111</v>
      </c>
      <c r="AH227" s="5">
        <v>0</v>
      </c>
      <c r="AI227">
        <v>1</v>
      </c>
    </row>
    <row r="228" spans="1:35" hidden="1" x14ac:dyDescent="0.25">
      <c r="A228">
        <v>789</v>
      </c>
      <c r="B228">
        <v>1</v>
      </c>
      <c r="C228">
        <v>3</v>
      </c>
      <c r="D228" t="s">
        <v>1175</v>
      </c>
      <c r="E228" s="4">
        <f>LEN(D228)</f>
        <v>26</v>
      </c>
      <c r="F228" t="s">
        <v>24</v>
      </c>
      <c r="G228">
        <v>1</v>
      </c>
      <c r="H228">
        <v>1</v>
      </c>
      <c r="I228">
        <v>2</v>
      </c>
      <c r="J228" t="s">
        <v>718</v>
      </c>
      <c r="K228">
        <v>20.574999999999999</v>
      </c>
      <c r="M228" s="6" t="str">
        <f t="shared" si="24"/>
        <v/>
      </c>
      <c r="N228" s="7" t="str">
        <f t="shared" si="26"/>
        <v/>
      </c>
      <c r="O228" t="str">
        <f t="shared" si="25"/>
        <v>C.</v>
      </c>
      <c r="P228" s="4" t="str">
        <f>LEFT(L228,1)</f>
        <v/>
      </c>
      <c r="Q228" t="s">
        <v>20</v>
      </c>
      <c r="U228" s="3">
        <v>106</v>
      </c>
      <c r="V228" s="2"/>
      <c r="W228" s="2">
        <v>1</v>
      </c>
      <c r="X228" s="2">
        <v>1</v>
      </c>
      <c r="Z228">
        <f t="shared" si="28"/>
        <v>106</v>
      </c>
      <c r="AA228" s="5">
        <f t="shared" si="27"/>
        <v>1</v>
      </c>
      <c r="AB228">
        <f t="shared" si="29"/>
        <v>1</v>
      </c>
      <c r="AG228">
        <v>118</v>
      </c>
      <c r="AH228" s="5">
        <v>0</v>
      </c>
      <c r="AI228">
        <v>1</v>
      </c>
    </row>
    <row r="229" spans="1:35" hidden="1" x14ac:dyDescent="0.25">
      <c r="A229">
        <v>307</v>
      </c>
      <c r="B229">
        <v>1</v>
      </c>
      <c r="C229">
        <v>1</v>
      </c>
      <c r="D229" t="s">
        <v>48</v>
      </c>
      <c r="E229" s="4">
        <f>LEN(D229)</f>
        <v>23</v>
      </c>
      <c r="F229" t="s">
        <v>14</v>
      </c>
      <c r="H229">
        <v>0</v>
      </c>
      <c r="I229">
        <v>0</v>
      </c>
      <c r="J229">
        <v>17421</v>
      </c>
      <c r="K229">
        <v>110.88330000000001</v>
      </c>
      <c r="M229" s="6" t="str">
        <f t="shared" si="24"/>
        <v/>
      </c>
      <c r="N229" s="7" t="str">
        <f t="shared" si="26"/>
        <v/>
      </c>
      <c r="O229" t="str">
        <f t="shared" si="25"/>
        <v>17</v>
      </c>
      <c r="P229" s="4" t="str">
        <f>LEFT(L229,1)</f>
        <v/>
      </c>
      <c r="Q229" t="s">
        <v>17</v>
      </c>
      <c r="U229" s="3">
        <v>12</v>
      </c>
      <c r="V229" s="2"/>
      <c r="W229" s="2">
        <v>1</v>
      </c>
      <c r="X229" s="2">
        <v>1</v>
      </c>
      <c r="Z229">
        <f t="shared" si="28"/>
        <v>12</v>
      </c>
      <c r="AA229" s="5">
        <f t="shared" si="27"/>
        <v>1</v>
      </c>
      <c r="AB229">
        <f t="shared" si="29"/>
        <v>1</v>
      </c>
      <c r="AG229">
        <v>121</v>
      </c>
      <c r="AH229" s="5">
        <v>1</v>
      </c>
      <c r="AI229">
        <v>2</v>
      </c>
    </row>
    <row r="230" spans="1:35" hidden="1" x14ac:dyDescent="0.25">
      <c r="A230">
        <v>440</v>
      </c>
      <c r="B230">
        <v>0</v>
      </c>
      <c r="C230">
        <v>2</v>
      </c>
      <c r="D230" t="s">
        <v>550</v>
      </c>
      <c r="E230" s="4">
        <f>LEN(D230)</f>
        <v>38</v>
      </c>
      <c r="F230" t="s">
        <v>24</v>
      </c>
      <c r="G230">
        <v>31</v>
      </c>
      <c r="H230">
        <v>0</v>
      </c>
      <c r="I230">
        <v>0</v>
      </c>
      <c r="J230" t="s">
        <v>551</v>
      </c>
      <c r="K230">
        <v>10.5</v>
      </c>
      <c r="M230" s="6" t="str">
        <f t="shared" si="24"/>
        <v/>
      </c>
      <c r="N230" s="7" t="str">
        <f t="shared" si="26"/>
        <v/>
      </c>
      <c r="O230" t="str">
        <f t="shared" si="25"/>
        <v>C.</v>
      </c>
      <c r="P230" s="4" t="str">
        <f>LEFT(L230,1)</f>
        <v/>
      </c>
      <c r="Q230" t="s">
        <v>20</v>
      </c>
      <c r="U230" s="3">
        <v>93</v>
      </c>
      <c r="V230" s="2"/>
      <c r="W230" s="2">
        <v>2</v>
      </c>
      <c r="X230" s="2">
        <v>2</v>
      </c>
      <c r="Z230">
        <f t="shared" si="28"/>
        <v>93</v>
      </c>
      <c r="AA230" s="5">
        <f t="shared" si="27"/>
        <v>1</v>
      </c>
      <c r="AB230">
        <f t="shared" si="29"/>
        <v>2</v>
      </c>
      <c r="AG230">
        <v>123</v>
      </c>
      <c r="AH230" s="5">
        <v>0.5</v>
      </c>
      <c r="AI230">
        <v>2</v>
      </c>
    </row>
    <row r="231" spans="1:35" hidden="1" x14ac:dyDescent="0.25">
      <c r="A231">
        <v>266</v>
      </c>
      <c r="B231">
        <v>0</v>
      </c>
      <c r="C231">
        <v>2</v>
      </c>
      <c r="D231" t="s">
        <v>502</v>
      </c>
      <c r="E231" s="4">
        <f>LEN(D231)</f>
        <v>17</v>
      </c>
      <c r="F231" t="s">
        <v>24</v>
      </c>
      <c r="G231">
        <v>36</v>
      </c>
      <c r="H231">
        <v>0</v>
      </c>
      <c r="I231">
        <v>0</v>
      </c>
      <c r="J231" t="s">
        <v>503</v>
      </c>
      <c r="K231">
        <v>10.5</v>
      </c>
      <c r="M231" s="6" t="str">
        <f t="shared" si="24"/>
        <v/>
      </c>
      <c r="N231" s="7" t="str">
        <f t="shared" si="26"/>
        <v/>
      </c>
      <c r="O231" t="str">
        <f t="shared" si="25"/>
        <v>C.</v>
      </c>
      <c r="P231" s="4" t="str">
        <f>LEFT(L231,1)</f>
        <v/>
      </c>
      <c r="Q231" t="s">
        <v>20</v>
      </c>
      <c r="U231" s="3">
        <v>21</v>
      </c>
      <c r="V231" s="2"/>
      <c r="W231" s="2">
        <v>1</v>
      </c>
      <c r="X231" s="2">
        <v>1</v>
      </c>
      <c r="Z231">
        <f t="shared" si="28"/>
        <v>21</v>
      </c>
      <c r="AA231" s="5">
        <f t="shared" si="27"/>
        <v>1</v>
      </c>
      <c r="AB231">
        <f t="shared" si="29"/>
        <v>1</v>
      </c>
      <c r="AG231">
        <v>124</v>
      </c>
      <c r="AH231" s="5">
        <v>0</v>
      </c>
      <c r="AI231">
        <v>2</v>
      </c>
    </row>
    <row r="232" spans="1:35" hidden="1" x14ac:dyDescent="0.25">
      <c r="A232">
        <v>377</v>
      </c>
      <c r="B232">
        <v>1</v>
      </c>
      <c r="C232">
        <v>3</v>
      </c>
      <c r="D232" t="s">
        <v>893</v>
      </c>
      <c r="E232" s="4">
        <f>LEN(D232)</f>
        <v>31</v>
      </c>
      <c r="F232" t="s">
        <v>14</v>
      </c>
      <c r="G232">
        <v>22</v>
      </c>
      <c r="H232">
        <v>0</v>
      </c>
      <c r="I232">
        <v>0</v>
      </c>
      <c r="J232" t="s">
        <v>894</v>
      </c>
      <c r="K232">
        <v>7.25</v>
      </c>
      <c r="M232" s="6" t="str">
        <f t="shared" si="24"/>
        <v/>
      </c>
      <c r="N232" s="7" t="str">
        <f t="shared" si="26"/>
        <v/>
      </c>
      <c r="O232" t="str">
        <f t="shared" si="25"/>
        <v xml:space="preserve">C </v>
      </c>
      <c r="P232" s="4" t="str">
        <f>LEFT(L232,1)</f>
        <v/>
      </c>
      <c r="Q232" t="s">
        <v>20</v>
      </c>
      <c r="U232" s="3">
        <v>44</v>
      </c>
      <c r="V232" s="2">
        <v>1</v>
      </c>
      <c r="W232" s="2">
        <v>1</v>
      </c>
      <c r="X232" s="2">
        <v>2</v>
      </c>
      <c r="Z232">
        <f t="shared" si="28"/>
        <v>44</v>
      </c>
      <c r="AA232" s="5">
        <f t="shared" si="27"/>
        <v>0.5</v>
      </c>
      <c r="AB232">
        <f t="shared" si="29"/>
        <v>2</v>
      </c>
      <c r="AG232">
        <v>125</v>
      </c>
      <c r="AH232" s="5">
        <v>1</v>
      </c>
      <c r="AI232">
        <v>2</v>
      </c>
    </row>
    <row r="233" spans="1:35" hidden="1" x14ac:dyDescent="0.25">
      <c r="A233">
        <v>366</v>
      </c>
      <c r="B233">
        <v>0</v>
      </c>
      <c r="C233">
        <v>3</v>
      </c>
      <c r="D233" t="s">
        <v>887</v>
      </c>
      <c r="E233" s="4">
        <f>LEN(D233)</f>
        <v>30</v>
      </c>
      <c r="F233" t="s">
        <v>24</v>
      </c>
      <c r="G233">
        <v>30</v>
      </c>
      <c r="H233">
        <v>0</v>
      </c>
      <c r="I233">
        <v>0</v>
      </c>
      <c r="J233" t="s">
        <v>888</v>
      </c>
      <c r="K233">
        <v>7.25</v>
      </c>
      <c r="M233" s="6" t="str">
        <f t="shared" si="24"/>
        <v/>
      </c>
      <c r="N233" s="7" t="str">
        <f t="shared" si="26"/>
        <v/>
      </c>
      <c r="O233" t="str">
        <f t="shared" si="25"/>
        <v xml:space="preserve">C </v>
      </c>
      <c r="P233" s="4" t="str">
        <f>LEFT(L233,1)</f>
        <v/>
      </c>
      <c r="Q233" t="s">
        <v>20</v>
      </c>
      <c r="U233" s="3">
        <v>11</v>
      </c>
      <c r="V233" s="2"/>
      <c r="W233" s="2">
        <v>1</v>
      </c>
      <c r="X233" s="2">
        <v>1</v>
      </c>
      <c r="Z233">
        <f t="shared" si="28"/>
        <v>11</v>
      </c>
      <c r="AA233" s="5">
        <f t="shared" si="27"/>
        <v>1</v>
      </c>
      <c r="AB233">
        <f t="shared" si="29"/>
        <v>1</v>
      </c>
      <c r="AG233">
        <v>126</v>
      </c>
      <c r="AH233" s="5">
        <v>1</v>
      </c>
      <c r="AI233">
        <v>2</v>
      </c>
    </row>
    <row r="234" spans="1:35" hidden="1" x14ac:dyDescent="0.25">
      <c r="A234">
        <v>819</v>
      </c>
      <c r="B234">
        <v>0</v>
      </c>
      <c r="C234">
        <v>3</v>
      </c>
      <c r="D234" t="s">
        <v>1194</v>
      </c>
      <c r="E234" s="4">
        <f>LEN(D234)</f>
        <v>32</v>
      </c>
      <c r="F234" t="s">
        <v>24</v>
      </c>
      <c r="G234">
        <v>43</v>
      </c>
      <c r="H234">
        <v>0</v>
      </c>
      <c r="I234">
        <v>0</v>
      </c>
      <c r="J234" t="s">
        <v>1195</v>
      </c>
      <c r="K234">
        <v>6.45</v>
      </c>
      <c r="M234" s="6" t="str">
        <f t="shared" si="24"/>
        <v/>
      </c>
      <c r="N234" s="7" t="str">
        <f t="shared" si="26"/>
        <v/>
      </c>
      <c r="O234" t="str">
        <f t="shared" si="25"/>
        <v xml:space="preserve">C </v>
      </c>
      <c r="P234" s="4" t="str">
        <f>LEFT(L234,1)</f>
        <v/>
      </c>
      <c r="Q234" t="s">
        <v>20</v>
      </c>
      <c r="U234" s="3">
        <v>73</v>
      </c>
      <c r="V234" s="2"/>
      <c r="W234" s="2">
        <v>1</v>
      </c>
      <c r="X234" s="2">
        <v>1</v>
      </c>
      <c r="Z234">
        <f t="shared" si="28"/>
        <v>73</v>
      </c>
      <c r="AA234" s="5">
        <f t="shared" si="27"/>
        <v>1</v>
      </c>
      <c r="AB234">
        <f t="shared" si="29"/>
        <v>1</v>
      </c>
      <c r="AG234">
        <v>128</v>
      </c>
      <c r="AH234" s="5">
        <v>0</v>
      </c>
      <c r="AI234">
        <v>1</v>
      </c>
    </row>
    <row r="235" spans="1:35" hidden="1" x14ac:dyDescent="0.25">
      <c r="A235">
        <v>509</v>
      </c>
      <c r="B235">
        <v>0</v>
      </c>
      <c r="C235">
        <v>3</v>
      </c>
      <c r="D235" t="s">
        <v>993</v>
      </c>
      <c r="E235" s="4">
        <f>LEN(D235)</f>
        <v>24</v>
      </c>
      <c r="F235" t="s">
        <v>24</v>
      </c>
      <c r="G235">
        <v>28</v>
      </c>
      <c r="H235">
        <v>0</v>
      </c>
      <c r="I235">
        <v>0</v>
      </c>
      <c r="J235" t="s">
        <v>994</v>
      </c>
      <c r="K235">
        <v>22.524999999999999</v>
      </c>
      <c r="M235" s="6" t="str">
        <f t="shared" si="24"/>
        <v/>
      </c>
      <c r="N235" s="7" t="str">
        <f t="shared" si="26"/>
        <v/>
      </c>
      <c r="O235" t="str">
        <f t="shared" si="25"/>
        <v xml:space="preserve">C </v>
      </c>
      <c r="P235" s="4" t="str">
        <f>LEFT(L235,1)</f>
        <v/>
      </c>
      <c r="Q235" t="s">
        <v>20</v>
      </c>
      <c r="U235" s="3">
        <v>69</v>
      </c>
      <c r="V235" s="2"/>
      <c r="W235" s="2">
        <v>1</v>
      </c>
      <c r="X235" s="2">
        <v>1</v>
      </c>
      <c r="Z235">
        <f t="shared" si="28"/>
        <v>69</v>
      </c>
      <c r="AA235" s="5">
        <f t="shared" si="27"/>
        <v>1</v>
      </c>
      <c r="AB235">
        <f t="shared" si="29"/>
        <v>1</v>
      </c>
      <c r="AG235">
        <v>148</v>
      </c>
      <c r="AH235" s="5">
        <v>1</v>
      </c>
      <c r="AI235">
        <v>1</v>
      </c>
    </row>
    <row r="236" spans="1:35" hidden="1" x14ac:dyDescent="0.25">
      <c r="A236">
        <v>128</v>
      </c>
      <c r="B236">
        <v>1</v>
      </c>
      <c r="C236">
        <v>3</v>
      </c>
      <c r="D236" t="s">
        <v>735</v>
      </c>
      <c r="E236" s="4">
        <f>LEN(D236)</f>
        <v>25</v>
      </c>
      <c r="F236" t="s">
        <v>24</v>
      </c>
      <c r="G236">
        <v>24</v>
      </c>
      <c r="H236">
        <v>0</v>
      </c>
      <c r="I236">
        <v>0</v>
      </c>
      <c r="J236" t="s">
        <v>736</v>
      </c>
      <c r="K236">
        <v>7.1417000000000002</v>
      </c>
      <c r="M236" s="6" t="str">
        <f t="shared" si="24"/>
        <v/>
      </c>
      <c r="N236" s="7" t="str">
        <f t="shared" si="26"/>
        <v/>
      </c>
      <c r="O236" t="str">
        <f t="shared" si="25"/>
        <v xml:space="preserve">C </v>
      </c>
      <c r="P236" s="4" t="str">
        <f>LEFT(L236,1)</f>
        <v/>
      </c>
      <c r="Q236" t="s">
        <v>20</v>
      </c>
      <c r="U236" s="3" t="s">
        <v>80</v>
      </c>
      <c r="V236" s="2">
        <v>56</v>
      </c>
      <c r="W236" s="2">
        <v>116</v>
      </c>
      <c r="X236" s="2">
        <v>172</v>
      </c>
    </row>
    <row r="237" spans="1:35" hidden="1" x14ac:dyDescent="0.25">
      <c r="A237">
        <v>122</v>
      </c>
      <c r="B237">
        <v>0</v>
      </c>
      <c r="C237">
        <v>3</v>
      </c>
      <c r="D237" t="s">
        <v>942</v>
      </c>
      <c r="E237" s="4">
        <f>LEN(D237)</f>
        <v>26</v>
      </c>
      <c r="F237" t="s">
        <v>24</v>
      </c>
      <c r="H237">
        <v>0</v>
      </c>
      <c r="I237">
        <v>0</v>
      </c>
      <c r="J237" t="s">
        <v>943</v>
      </c>
      <c r="K237">
        <v>8.0500000000000007</v>
      </c>
      <c r="M237" s="6" t="str">
        <f t="shared" si="24"/>
        <v/>
      </c>
      <c r="N237" s="7" t="str">
        <f t="shared" si="26"/>
        <v/>
      </c>
      <c r="O237" t="str">
        <f t="shared" si="25"/>
        <v>A4</v>
      </c>
      <c r="P237" s="4" t="str">
        <f>LEFT(L237,1)</f>
        <v/>
      </c>
      <c r="Q237" t="s">
        <v>20</v>
      </c>
    </row>
    <row r="238" spans="1:35" hidden="1" x14ac:dyDescent="0.25">
      <c r="A238">
        <v>465</v>
      </c>
      <c r="B238">
        <v>0</v>
      </c>
      <c r="C238">
        <v>3</v>
      </c>
      <c r="D238" t="s">
        <v>951</v>
      </c>
      <c r="E238" s="4">
        <f>LEN(D238)</f>
        <v>18</v>
      </c>
      <c r="F238" t="s">
        <v>24</v>
      </c>
      <c r="H238">
        <v>0</v>
      </c>
      <c r="I238">
        <v>0</v>
      </c>
      <c r="J238" t="s">
        <v>952</v>
      </c>
      <c r="K238">
        <v>8.0500000000000007</v>
      </c>
      <c r="M238" s="6" t="str">
        <f t="shared" si="24"/>
        <v/>
      </c>
      <c r="N238" s="7" t="str">
        <f t="shared" si="26"/>
        <v/>
      </c>
      <c r="O238" t="str">
        <f t="shared" si="25"/>
        <v>A/</v>
      </c>
      <c r="P238" s="4" t="str">
        <f>LEFT(L238,1)</f>
        <v/>
      </c>
      <c r="Q238" t="s">
        <v>20</v>
      </c>
    </row>
    <row r="239" spans="1:35" hidden="1" x14ac:dyDescent="0.25">
      <c r="A239">
        <v>154</v>
      </c>
      <c r="B239">
        <v>0</v>
      </c>
      <c r="C239">
        <v>3</v>
      </c>
      <c r="D239" t="s">
        <v>752</v>
      </c>
      <c r="E239" s="4">
        <f>LEN(D239)</f>
        <v>31</v>
      </c>
      <c r="F239" t="s">
        <v>24</v>
      </c>
      <c r="G239">
        <v>40.5</v>
      </c>
      <c r="H239">
        <v>0</v>
      </c>
      <c r="I239">
        <v>2</v>
      </c>
      <c r="J239" t="s">
        <v>753</v>
      </c>
      <c r="K239">
        <v>14.5</v>
      </c>
      <c r="M239" s="6" t="str">
        <f t="shared" si="24"/>
        <v/>
      </c>
      <c r="N239" s="7" t="str">
        <f t="shared" si="26"/>
        <v/>
      </c>
      <c r="O239" t="str">
        <f t="shared" si="25"/>
        <v>A/</v>
      </c>
      <c r="P239" s="4" t="str">
        <f>LEFT(L239,1)</f>
        <v/>
      </c>
      <c r="Q239" t="s">
        <v>20</v>
      </c>
    </row>
    <row r="240" spans="1:35" hidden="1" x14ac:dyDescent="0.25">
      <c r="A240">
        <v>133</v>
      </c>
      <c r="B240">
        <v>0</v>
      </c>
      <c r="C240">
        <v>3</v>
      </c>
      <c r="D240" t="s">
        <v>741</v>
      </c>
      <c r="E240" s="4">
        <f>LEN(D240)</f>
        <v>46</v>
      </c>
      <c r="F240" t="s">
        <v>14</v>
      </c>
      <c r="G240">
        <v>47</v>
      </c>
      <c r="H240">
        <v>1</v>
      </c>
      <c r="I240">
        <v>0</v>
      </c>
      <c r="J240" t="s">
        <v>742</v>
      </c>
      <c r="K240">
        <v>14.5</v>
      </c>
      <c r="M240" s="6" t="str">
        <f t="shared" si="24"/>
        <v/>
      </c>
      <c r="N240" s="7" t="str">
        <f t="shared" si="26"/>
        <v/>
      </c>
      <c r="O240" t="str">
        <f t="shared" si="25"/>
        <v>A/</v>
      </c>
      <c r="P240" s="4" t="str">
        <f>LEFT(L240,1)</f>
        <v/>
      </c>
      <c r="Q240" t="s">
        <v>20</v>
      </c>
    </row>
    <row r="241" spans="1:17" hidden="1" x14ac:dyDescent="0.25">
      <c r="A241">
        <v>254</v>
      </c>
      <c r="B241">
        <v>0</v>
      </c>
      <c r="C241">
        <v>3</v>
      </c>
      <c r="D241" t="s">
        <v>817</v>
      </c>
      <c r="E241" s="4">
        <f>LEN(D241)</f>
        <v>24</v>
      </c>
      <c r="F241" t="s">
        <v>24</v>
      </c>
      <c r="G241">
        <v>30</v>
      </c>
      <c r="H241">
        <v>1</v>
      </c>
      <c r="I241">
        <v>0</v>
      </c>
      <c r="J241" t="s">
        <v>818</v>
      </c>
      <c r="K241">
        <v>16.100000000000001</v>
      </c>
      <c r="M241" s="6" t="str">
        <f t="shared" si="24"/>
        <v/>
      </c>
      <c r="N241" s="7" t="str">
        <f t="shared" si="26"/>
        <v/>
      </c>
      <c r="O241" t="str">
        <f t="shared" si="25"/>
        <v>A/</v>
      </c>
      <c r="P241" s="4" t="str">
        <f>LEFT(L241,1)</f>
        <v/>
      </c>
      <c r="Q241" t="s">
        <v>20</v>
      </c>
    </row>
    <row r="242" spans="1:17" hidden="1" x14ac:dyDescent="0.25">
      <c r="A242">
        <v>618</v>
      </c>
      <c r="B242">
        <v>0</v>
      </c>
      <c r="C242">
        <v>3</v>
      </c>
      <c r="D242" t="s">
        <v>1062</v>
      </c>
      <c r="E242" s="4">
        <f>LEN(D242)</f>
        <v>47</v>
      </c>
      <c r="F242" t="s">
        <v>14</v>
      </c>
      <c r="G242">
        <v>26</v>
      </c>
      <c r="H242">
        <v>1</v>
      </c>
      <c r="I242">
        <v>0</v>
      </c>
      <c r="J242" t="s">
        <v>818</v>
      </c>
      <c r="K242">
        <v>16.100000000000001</v>
      </c>
      <c r="M242" s="6" t="str">
        <f t="shared" si="24"/>
        <v/>
      </c>
      <c r="N242" s="7" t="str">
        <f t="shared" si="26"/>
        <v/>
      </c>
      <c r="O242" t="str">
        <f t="shared" si="25"/>
        <v>A/</v>
      </c>
      <c r="P242" s="4" t="str">
        <f>LEFT(L242,1)</f>
        <v/>
      </c>
      <c r="Q242" t="s">
        <v>20</v>
      </c>
    </row>
    <row r="243" spans="1:17" hidden="1" x14ac:dyDescent="0.25">
      <c r="A243">
        <v>13</v>
      </c>
      <c r="B243">
        <v>0</v>
      </c>
      <c r="C243">
        <v>3</v>
      </c>
      <c r="D243" t="s">
        <v>664</v>
      </c>
      <c r="E243" s="4">
        <f>LEN(D243)</f>
        <v>30</v>
      </c>
      <c r="F243" t="s">
        <v>24</v>
      </c>
      <c r="G243">
        <v>20</v>
      </c>
      <c r="H243">
        <v>0</v>
      </c>
      <c r="I243">
        <v>0</v>
      </c>
      <c r="J243" t="s">
        <v>665</v>
      </c>
      <c r="K243">
        <v>8.0500000000000007</v>
      </c>
      <c r="M243" s="6" t="str">
        <f t="shared" si="24"/>
        <v/>
      </c>
      <c r="N243" s="7" t="str">
        <f t="shared" si="26"/>
        <v/>
      </c>
      <c r="O243" t="str">
        <f t="shared" si="25"/>
        <v>A/</v>
      </c>
      <c r="P243" s="4" t="str">
        <f>LEFT(L243,1)</f>
        <v/>
      </c>
      <c r="Q243" t="s">
        <v>20</v>
      </c>
    </row>
    <row r="244" spans="1:17" hidden="1" x14ac:dyDescent="0.25">
      <c r="A244">
        <v>284</v>
      </c>
      <c r="B244">
        <v>1</v>
      </c>
      <c r="C244">
        <v>3</v>
      </c>
      <c r="D244" t="s">
        <v>839</v>
      </c>
      <c r="E244" s="4">
        <f>LEN(D244)</f>
        <v>26</v>
      </c>
      <c r="F244" t="s">
        <v>24</v>
      </c>
      <c r="G244">
        <v>19</v>
      </c>
      <c r="H244">
        <v>0</v>
      </c>
      <c r="I244">
        <v>0</v>
      </c>
      <c r="J244" t="s">
        <v>840</v>
      </c>
      <c r="K244">
        <v>8.0500000000000007</v>
      </c>
      <c r="M244" s="6" t="str">
        <f t="shared" si="24"/>
        <v/>
      </c>
      <c r="N244" s="7" t="str">
        <f t="shared" si="26"/>
        <v/>
      </c>
      <c r="O244" t="str">
        <f t="shared" si="25"/>
        <v>A/</v>
      </c>
      <c r="P244" s="4" t="str">
        <f>LEFT(L244,1)</f>
        <v/>
      </c>
      <c r="Q244" t="s">
        <v>20</v>
      </c>
    </row>
    <row r="245" spans="1:17" hidden="1" x14ac:dyDescent="0.25">
      <c r="A245">
        <v>593</v>
      </c>
      <c r="B245">
        <v>0</v>
      </c>
      <c r="C245">
        <v>3</v>
      </c>
      <c r="D245" t="s">
        <v>1043</v>
      </c>
      <c r="E245" s="4">
        <f>LEN(D245)</f>
        <v>26</v>
      </c>
      <c r="F245" t="s">
        <v>24</v>
      </c>
      <c r="G245">
        <v>47</v>
      </c>
      <c r="H245">
        <v>0</v>
      </c>
      <c r="I245">
        <v>0</v>
      </c>
      <c r="J245" t="s">
        <v>1044</v>
      </c>
      <c r="K245">
        <v>7.25</v>
      </c>
      <c r="M245" s="6" t="str">
        <f t="shared" si="24"/>
        <v/>
      </c>
      <c r="N245" s="7" t="str">
        <f t="shared" si="26"/>
        <v/>
      </c>
      <c r="O245" t="str">
        <f t="shared" si="25"/>
        <v>A/</v>
      </c>
      <c r="P245" s="4" t="str">
        <f>LEFT(L245,1)</f>
        <v/>
      </c>
      <c r="Q245" t="s">
        <v>20</v>
      </c>
    </row>
    <row r="246" spans="1:17" hidden="1" x14ac:dyDescent="0.25">
      <c r="A246">
        <v>483</v>
      </c>
      <c r="B246">
        <v>0</v>
      </c>
      <c r="C246">
        <v>3</v>
      </c>
      <c r="D246" t="s">
        <v>973</v>
      </c>
      <c r="E246" s="4">
        <f>LEN(D246)</f>
        <v>24</v>
      </c>
      <c r="F246" t="s">
        <v>24</v>
      </c>
      <c r="G246">
        <v>50</v>
      </c>
      <c r="H246">
        <v>0</v>
      </c>
      <c r="I246">
        <v>0</v>
      </c>
      <c r="J246" t="s">
        <v>974</v>
      </c>
      <c r="K246">
        <v>8.0500000000000007</v>
      </c>
      <c r="M246" s="6" t="str">
        <f t="shared" si="24"/>
        <v/>
      </c>
      <c r="N246" s="7" t="str">
        <f t="shared" si="26"/>
        <v/>
      </c>
      <c r="O246" t="str">
        <f t="shared" si="25"/>
        <v>A/</v>
      </c>
      <c r="P246" s="4" t="str">
        <f>LEFT(L246,1)</f>
        <v/>
      </c>
      <c r="Q246" t="s">
        <v>20</v>
      </c>
    </row>
    <row r="247" spans="1:17" hidden="1" x14ac:dyDescent="0.25">
      <c r="A247">
        <v>205</v>
      </c>
      <c r="B247">
        <v>1</v>
      </c>
      <c r="C247">
        <v>3</v>
      </c>
      <c r="D247" t="s">
        <v>783</v>
      </c>
      <c r="E247" s="4">
        <f>LEN(D247)</f>
        <v>24</v>
      </c>
      <c r="F247" t="s">
        <v>24</v>
      </c>
      <c r="G247">
        <v>18</v>
      </c>
      <c r="H247">
        <v>0</v>
      </c>
      <c r="I247">
        <v>0</v>
      </c>
      <c r="J247" t="s">
        <v>784</v>
      </c>
      <c r="K247">
        <v>8.0500000000000007</v>
      </c>
      <c r="M247" s="6" t="str">
        <f t="shared" si="24"/>
        <v/>
      </c>
      <c r="N247" s="7" t="str">
        <f t="shared" si="26"/>
        <v/>
      </c>
      <c r="O247" t="str">
        <f t="shared" si="25"/>
        <v>A/</v>
      </c>
      <c r="P247" s="4" t="str">
        <f>LEFT(L247,1)</f>
        <v/>
      </c>
      <c r="Q247" t="s">
        <v>20</v>
      </c>
    </row>
    <row r="248" spans="1:17" x14ac:dyDescent="0.25">
      <c r="A248">
        <v>551</v>
      </c>
      <c r="B248">
        <v>1</v>
      </c>
      <c r="C248">
        <v>1</v>
      </c>
      <c r="D248" t="s">
        <v>295</v>
      </c>
      <c r="E248" s="4">
        <f>LEN(D248)</f>
        <v>27</v>
      </c>
      <c r="F248" t="s">
        <v>24</v>
      </c>
      <c r="G248">
        <v>17</v>
      </c>
      <c r="H248">
        <v>0</v>
      </c>
      <c r="I248">
        <v>2</v>
      </c>
      <c r="J248">
        <v>17421</v>
      </c>
      <c r="K248">
        <v>110.88330000000001</v>
      </c>
      <c r="L248" t="s">
        <v>296</v>
      </c>
      <c r="M248" s="6" t="str">
        <f t="shared" si="24"/>
        <v>70</v>
      </c>
      <c r="N248" s="7">
        <f t="shared" si="26"/>
        <v>70</v>
      </c>
      <c r="O248" t="str">
        <f t="shared" si="25"/>
        <v>17</v>
      </c>
      <c r="P248" s="4" t="str">
        <f>LEFT(L248,1)</f>
        <v>C</v>
      </c>
      <c r="Q248" t="s">
        <v>17</v>
      </c>
    </row>
    <row r="249" spans="1:17" hidden="1" x14ac:dyDescent="0.25">
      <c r="A249">
        <v>669</v>
      </c>
      <c r="B249">
        <v>0</v>
      </c>
      <c r="C249">
        <v>3</v>
      </c>
      <c r="D249" t="s">
        <v>1095</v>
      </c>
      <c r="E249" s="4">
        <f>LEN(D249)</f>
        <v>15</v>
      </c>
      <c r="F249" t="s">
        <v>24</v>
      </c>
      <c r="G249">
        <v>43</v>
      </c>
      <c r="H249">
        <v>0</v>
      </c>
      <c r="I249">
        <v>0</v>
      </c>
      <c r="J249" t="s">
        <v>1096</v>
      </c>
      <c r="K249">
        <v>8.0500000000000007</v>
      </c>
      <c r="M249" s="6" t="str">
        <f t="shared" si="24"/>
        <v/>
      </c>
      <c r="N249" s="7" t="str">
        <f t="shared" si="26"/>
        <v/>
      </c>
      <c r="O249" t="str">
        <f t="shared" si="25"/>
        <v>A/</v>
      </c>
      <c r="P249" s="4" t="str">
        <f>LEFT(L249,1)</f>
        <v/>
      </c>
      <c r="Q249" t="s">
        <v>20</v>
      </c>
    </row>
    <row r="250" spans="1:17" hidden="1" x14ac:dyDescent="0.25">
      <c r="A250">
        <v>455</v>
      </c>
      <c r="B250">
        <v>0</v>
      </c>
      <c r="C250">
        <v>3</v>
      </c>
      <c r="D250" t="s">
        <v>949</v>
      </c>
      <c r="E250" s="4">
        <f>LEN(D250)</f>
        <v>19</v>
      </c>
      <c r="F250" t="s">
        <v>24</v>
      </c>
      <c r="H250">
        <v>0</v>
      </c>
      <c r="I250">
        <v>0</v>
      </c>
      <c r="J250" t="s">
        <v>950</v>
      </c>
      <c r="K250">
        <v>8.0500000000000007</v>
      </c>
      <c r="M250" s="6" t="str">
        <f t="shared" si="24"/>
        <v/>
      </c>
      <c r="N250" s="7" t="str">
        <f t="shared" si="26"/>
        <v/>
      </c>
      <c r="O250" t="str">
        <f t="shared" si="25"/>
        <v>A/</v>
      </c>
      <c r="P250" s="4" t="str">
        <f>LEFT(L250,1)</f>
        <v/>
      </c>
      <c r="Q250" t="s">
        <v>20</v>
      </c>
    </row>
    <row r="251" spans="1:17" hidden="1" x14ac:dyDescent="0.25">
      <c r="A251">
        <v>305</v>
      </c>
      <c r="B251">
        <v>0</v>
      </c>
      <c r="C251">
        <v>3</v>
      </c>
      <c r="D251" t="s">
        <v>945</v>
      </c>
      <c r="E251" s="4">
        <f>LEN(D251)</f>
        <v>33</v>
      </c>
      <c r="F251" t="s">
        <v>24</v>
      </c>
      <c r="H251">
        <v>0</v>
      </c>
      <c r="I251">
        <v>0</v>
      </c>
      <c r="J251" t="s">
        <v>946</v>
      </c>
      <c r="K251">
        <v>8.0500000000000007</v>
      </c>
      <c r="M251" s="6" t="str">
        <f t="shared" si="24"/>
        <v/>
      </c>
      <c r="N251" s="7" t="str">
        <f t="shared" si="26"/>
        <v/>
      </c>
      <c r="O251" t="str">
        <f t="shared" si="25"/>
        <v>A/</v>
      </c>
      <c r="P251" s="4" t="str">
        <f>LEFT(L251,1)</f>
        <v/>
      </c>
      <c r="Q251" t="s">
        <v>20</v>
      </c>
    </row>
    <row r="252" spans="1:17" x14ac:dyDescent="0.25">
      <c r="A252">
        <v>582</v>
      </c>
      <c r="B252">
        <v>1</v>
      </c>
      <c r="C252">
        <v>1</v>
      </c>
      <c r="D252" t="s">
        <v>306</v>
      </c>
      <c r="E252" s="4">
        <f>LEN(D252)</f>
        <v>52</v>
      </c>
      <c r="F252" t="s">
        <v>14</v>
      </c>
      <c r="G252">
        <v>39</v>
      </c>
      <c r="H252">
        <v>1</v>
      </c>
      <c r="I252">
        <v>1</v>
      </c>
      <c r="J252">
        <v>17421</v>
      </c>
      <c r="K252">
        <v>110.88330000000001</v>
      </c>
      <c r="L252" t="s">
        <v>307</v>
      </c>
      <c r="M252" s="6" t="str">
        <f t="shared" si="24"/>
        <v>68</v>
      </c>
      <c r="N252" s="7">
        <f t="shared" si="26"/>
        <v>68</v>
      </c>
      <c r="O252" t="str">
        <f t="shared" si="25"/>
        <v>17</v>
      </c>
      <c r="P252" s="4" t="str">
        <f>LEFT(L252,1)</f>
        <v>C</v>
      </c>
      <c r="Q252" t="s">
        <v>17</v>
      </c>
    </row>
    <row r="253" spans="1:17" hidden="1" x14ac:dyDescent="0.25">
      <c r="A253">
        <v>213</v>
      </c>
      <c r="B253">
        <v>0</v>
      </c>
      <c r="C253">
        <v>3</v>
      </c>
      <c r="D253" t="s">
        <v>791</v>
      </c>
      <c r="E253" s="4">
        <f>LEN(D253)</f>
        <v>22</v>
      </c>
      <c r="F253" t="s">
        <v>24</v>
      </c>
      <c r="G253">
        <v>22</v>
      </c>
      <c r="H253">
        <v>0</v>
      </c>
      <c r="I253">
        <v>0</v>
      </c>
      <c r="J253" t="s">
        <v>792</v>
      </c>
      <c r="K253">
        <v>7.25</v>
      </c>
      <c r="M253" s="6" t="str">
        <f t="shared" si="24"/>
        <v/>
      </c>
      <c r="N253" s="7" t="str">
        <f t="shared" si="26"/>
        <v/>
      </c>
      <c r="O253" t="str">
        <f t="shared" si="25"/>
        <v>A/</v>
      </c>
      <c r="P253" s="4" t="str">
        <f>LEFT(L253,1)</f>
        <v/>
      </c>
      <c r="Q253" t="s">
        <v>20</v>
      </c>
    </row>
    <row r="254" spans="1:17" hidden="1" x14ac:dyDescent="0.25">
      <c r="A254">
        <v>228</v>
      </c>
      <c r="B254">
        <v>0</v>
      </c>
      <c r="C254">
        <v>3</v>
      </c>
      <c r="D254" t="s">
        <v>802</v>
      </c>
      <c r="E254" s="4">
        <f>LEN(D254)</f>
        <v>31</v>
      </c>
      <c r="F254" t="s">
        <v>24</v>
      </c>
      <c r="G254">
        <v>20.5</v>
      </c>
      <c r="H254">
        <v>0</v>
      </c>
      <c r="I254">
        <v>0</v>
      </c>
      <c r="J254" t="s">
        <v>803</v>
      </c>
      <c r="K254">
        <v>7.25</v>
      </c>
      <c r="M254" s="6" t="str">
        <f t="shared" si="24"/>
        <v/>
      </c>
      <c r="N254" s="7" t="str">
        <f t="shared" si="26"/>
        <v/>
      </c>
      <c r="O254" t="str">
        <f t="shared" si="25"/>
        <v>A/</v>
      </c>
      <c r="P254" s="4" t="str">
        <f>LEFT(L254,1)</f>
        <v/>
      </c>
      <c r="Q254" t="s">
        <v>20</v>
      </c>
    </row>
    <row r="255" spans="1:17" hidden="1" x14ac:dyDescent="0.25">
      <c r="A255">
        <v>321</v>
      </c>
      <c r="B255">
        <v>0</v>
      </c>
      <c r="C255">
        <v>3</v>
      </c>
      <c r="D255" t="s">
        <v>859</v>
      </c>
      <c r="E255" s="4">
        <f>LEN(D255)</f>
        <v>18</v>
      </c>
      <c r="F255" t="s">
        <v>24</v>
      </c>
      <c r="G255">
        <v>22</v>
      </c>
      <c r="H255">
        <v>0</v>
      </c>
      <c r="I255">
        <v>0</v>
      </c>
      <c r="J255" t="s">
        <v>860</v>
      </c>
      <c r="K255">
        <v>7.25</v>
      </c>
      <c r="M255" s="6" t="str">
        <f t="shared" si="24"/>
        <v/>
      </c>
      <c r="N255" s="7" t="str">
        <f t="shared" si="26"/>
        <v/>
      </c>
      <c r="O255" t="str">
        <f t="shared" si="25"/>
        <v>A/</v>
      </c>
      <c r="P255" s="4" t="str">
        <f>LEFT(L255,1)</f>
        <v/>
      </c>
      <c r="Q255" t="s">
        <v>20</v>
      </c>
    </row>
    <row r="256" spans="1:17" hidden="1" x14ac:dyDescent="0.25">
      <c r="A256">
        <v>1</v>
      </c>
      <c r="B256">
        <v>0</v>
      </c>
      <c r="C256">
        <v>3</v>
      </c>
      <c r="D256" t="s">
        <v>654</v>
      </c>
      <c r="E256" s="4">
        <f>LEN(D256)</f>
        <v>23</v>
      </c>
      <c r="F256" t="s">
        <v>24</v>
      </c>
      <c r="G256">
        <v>22</v>
      </c>
      <c r="H256">
        <v>1</v>
      </c>
      <c r="I256">
        <v>0</v>
      </c>
      <c r="J256" t="s">
        <v>655</v>
      </c>
      <c r="K256">
        <v>7.25</v>
      </c>
      <c r="M256" s="6" t="str">
        <f t="shared" si="24"/>
        <v/>
      </c>
      <c r="N256" s="7" t="str">
        <f t="shared" si="26"/>
        <v/>
      </c>
      <c r="O256" t="str">
        <f t="shared" si="25"/>
        <v>A/</v>
      </c>
      <c r="P256" s="4" t="str">
        <f>LEFT(L256,1)</f>
        <v/>
      </c>
      <c r="Q256" t="s">
        <v>20</v>
      </c>
    </row>
    <row r="257" spans="1:28" hidden="1" x14ac:dyDescent="0.25">
      <c r="A257">
        <v>52</v>
      </c>
      <c r="B257">
        <v>0</v>
      </c>
      <c r="C257">
        <v>3</v>
      </c>
      <c r="D257" t="s">
        <v>688</v>
      </c>
      <c r="E257" s="4">
        <f>LEN(D257)</f>
        <v>28</v>
      </c>
      <c r="F257" t="s">
        <v>24</v>
      </c>
      <c r="G257">
        <v>21</v>
      </c>
      <c r="H257">
        <v>0</v>
      </c>
      <c r="I257">
        <v>0</v>
      </c>
      <c r="J257" t="s">
        <v>689</v>
      </c>
      <c r="K257">
        <v>7.8</v>
      </c>
      <c r="M257" s="6" t="str">
        <f t="shared" si="24"/>
        <v/>
      </c>
      <c r="N257" s="7" t="str">
        <f t="shared" si="26"/>
        <v/>
      </c>
      <c r="O257" t="str">
        <f t="shared" si="25"/>
        <v>A/</v>
      </c>
      <c r="P257" s="4" t="str">
        <f>LEFT(L257,1)</f>
        <v/>
      </c>
      <c r="Q257" t="s">
        <v>20</v>
      </c>
    </row>
    <row r="258" spans="1:28" hidden="1" x14ac:dyDescent="0.25">
      <c r="A258">
        <v>426</v>
      </c>
      <c r="B258">
        <v>0</v>
      </c>
      <c r="C258">
        <v>3</v>
      </c>
      <c r="D258" t="s">
        <v>1138</v>
      </c>
      <c r="E258" s="4">
        <f>LEN(D258)</f>
        <v>22</v>
      </c>
      <c r="F258" t="s">
        <v>24</v>
      </c>
      <c r="H258">
        <v>0</v>
      </c>
      <c r="I258">
        <v>0</v>
      </c>
      <c r="J258" t="s">
        <v>1139</v>
      </c>
      <c r="K258">
        <v>7.25</v>
      </c>
      <c r="M258" s="6" t="str">
        <f t="shared" si="24"/>
        <v/>
      </c>
      <c r="N258" s="7" t="str">
        <f t="shared" si="26"/>
        <v/>
      </c>
      <c r="O258" t="str">
        <f t="shared" si="25"/>
        <v>A/</v>
      </c>
      <c r="P258" s="4" t="str">
        <f>LEFT(L258,1)</f>
        <v/>
      </c>
      <c r="Q258" t="s">
        <v>20</v>
      </c>
    </row>
    <row r="259" spans="1:28" hidden="1" x14ac:dyDescent="0.25">
      <c r="A259">
        <v>575</v>
      </c>
      <c r="B259">
        <v>0</v>
      </c>
      <c r="C259">
        <v>3</v>
      </c>
      <c r="D259" t="s">
        <v>1032</v>
      </c>
      <c r="E259" s="4">
        <f>LEN(D259)</f>
        <v>28</v>
      </c>
      <c r="F259" t="s">
        <v>24</v>
      </c>
      <c r="G259">
        <v>16</v>
      </c>
      <c r="H259">
        <v>0</v>
      </c>
      <c r="I259">
        <v>0</v>
      </c>
      <c r="J259" t="s">
        <v>1033</v>
      </c>
      <c r="K259">
        <v>8.0500000000000007</v>
      </c>
      <c r="M259" s="6" t="str">
        <f t="shared" ref="M259:M322" si="30">IF(LEN(L259)&gt;3,RIGHT((LEFT(L259,4)),3),IF(LEN(L259)=3,RIGHT(L259,2),RIGHT(L259,1)))</f>
        <v/>
      </c>
      <c r="N259" s="7" t="str">
        <f t="shared" si="26"/>
        <v/>
      </c>
      <c r="O259" t="str">
        <f t="shared" ref="O259:O322" si="31">LEFT(J259,2)</f>
        <v>A/</v>
      </c>
      <c r="P259" s="4" t="str">
        <f>LEFT(L259,1)</f>
        <v/>
      </c>
      <c r="Q259" t="s">
        <v>20</v>
      </c>
    </row>
    <row r="260" spans="1:28" hidden="1" x14ac:dyDescent="0.25">
      <c r="A260">
        <v>566</v>
      </c>
      <c r="B260">
        <v>0</v>
      </c>
      <c r="C260">
        <v>3</v>
      </c>
      <c r="D260" t="s">
        <v>1025</v>
      </c>
      <c r="E260" s="4">
        <f>LEN(D260)</f>
        <v>20</v>
      </c>
      <c r="F260" t="s">
        <v>24</v>
      </c>
      <c r="G260">
        <v>24</v>
      </c>
      <c r="H260">
        <v>2</v>
      </c>
      <c r="I260">
        <v>0</v>
      </c>
      <c r="J260" t="s">
        <v>1026</v>
      </c>
      <c r="K260">
        <v>24.15</v>
      </c>
      <c r="M260" s="6" t="str">
        <f t="shared" si="30"/>
        <v/>
      </c>
      <c r="N260" s="7" t="str">
        <f t="shared" ref="N260:N323" si="32">IF(LEN(M260)&gt;1, M260+0,"")</f>
        <v/>
      </c>
      <c r="O260" t="str">
        <f t="shared" si="31"/>
        <v>A/</v>
      </c>
      <c r="P260" s="4" t="str">
        <f>LEFT(L260,1)</f>
        <v/>
      </c>
      <c r="Q260" t="s">
        <v>20</v>
      </c>
    </row>
    <row r="261" spans="1:28" hidden="1" x14ac:dyDescent="0.25">
      <c r="A261">
        <v>812</v>
      </c>
      <c r="B261">
        <v>0</v>
      </c>
      <c r="C261">
        <v>3</v>
      </c>
      <c r="D261" t="s">
        <v>1188</v>
      </c>
      <c r="E261" s="4">
        <f>LEN(D261)</f>
        <v>17</v>
      </c>
      <c r="F261" t="s">
        <v>24</v>
      </c>
      <c r="G261">
        <v>39</v>
      </c>
      <c r="H261">
        <v>0</v>
      </c>
      <c r="I261">
        <v>0</v>
      </c>
      <c r="J261" t="s">
        <v>1026</v>
      </c>
      <c r="K261">
        <v>24.15</v>
      </c>
      <c r="M261" s="6" t="str">
        <f t="shared" si="30"/>
        <v/>
      </c>
      <c r="N261" s="7" t="str">
        <f t="shared" si="32"/>
        <v/>
      </c>
      <c r="O261" t="str">
        <f t="shared" si="31"/>
        <v>A/</v>
      </c>
      <c r="P261" s="4" t="str">
        <f>LEFT(L261,1)</f>
        <v/>
      </c>
      <c r="Q261" t="s">
        <v>20</v>
      </c>
      <c r="U261" s="1" t="s">
        <v>21</v>
      </c>
      <c r="V261" s="1" t="s">
        <v>22</v>
      </c>
    </row>
    <row r="262" spans="1:28" hidden="1" x14ac:dyDescent="0.25">
      <c r="A262">
        <v>495</v>
      </c>
      <c r="B262">
        <v>0</v>
      </c>
      <c r="C262">
        <v>3</v>
      </c>
      <c r="D262" t="s">
        <v>983</v>
      </c>
      <c r="E262" s="4">
        <f>LEN(D262)</f>
        <v>26</v>
      </c>
      <c r="F262" t="s">
        <v>24</v>
      </c>
      <c r="G262">
        <v>21</v>
      </c>
      <c r="H262">
        <v>0</v>
      </c>
      <c r="I262">
        <v>0</v>
      </c>
      <c r="J262" t="s">
        <v>984</v>
      </c>
      <c r="K262">
        <v>8.0500000000000007</v>
      </c>
      <c r="M262" s="6" t="str">
        <f t="shared" si="30"/>
        <v/>
      </c>
      <c r="N262" s="7" t="str">
        <f t="shared" si="32"/>
        <v/>
      </c>
      <c r="O262" t="str">
        <f t="shared" si="31"/>
        <v>A/</v>
      </c>
      <c r="P262" s="4" t="str">
        <f>LEFT(L262,1)</f>
        <v/>
      </c>
      <c r="Q262" t="s">
        <v>20</v>
      </c>
      <c r="U262" s="1" t="s">
        <v>26</v>
      </c>
      <c r="V262">
        <v>0</v>
      </c>
      <c r="W262">
        <v>1</v>
      </c>
      <c r="X262" t="s">
        <v>80</v>
      </c>
      <c r="Y262" s="1"/>
      <c r="Z262" t="s">
        <v>1250</v>
      </c>
      <c r="AB262" t="s">
        <v>28</v>
      </c>
    </row>
    <row r="263" spans="1:28" hidden="1" x14ac:dyDescent="0.25">
      <c r="A263">
        <v>489</v>
      </c>
      <c r="B263">
        <v>0</v>
      </c>
      <c r="C263">
        <v>3</v>
      </c>
      <c r="D263" t="s">
        <v>977</v>
      </c>
      <c r="E263" s="4">
        <f>LEN(D263)</f>
        <v>29</v>
      </c>
      <c r="F263" t="s">
        <v>24</v>
      </c>
      <c r="G263">
        <v>30</v>
      </c>
      <c r="H263">
        <v>0</v>
      </c>
      <c r="I263">
        <v>0</v>
      </c>
      <c r="J263" t="s">
        <v>978</v>
      </c>
      <c r="K263">
        <v>8.0500000000000007</v>
      </c>
      <c r="M263" s="6" t="str">
        <f t="shared" si="30"/>
        <v/>
      </c>
      <c r="N263" s="7" t="str">
        <f t="shared" si="32"/>
        <v/>
      </c>
      <c r="O263" t="str">
        <f t="shared" si="31"/>
        <v>A.</v>
      </c>
      <c r="P263" s="4" t="str">
        <f>LEFT(L263,1)</f>
        <v/>
      </c>
      <c r="Q263" t="s">
        <v>20</v>
      </c>
      <c r="U263" s="3" t="s">
        <v>1264</v>
      </c>
      <c r="V263" s="2">
        <v>38</v>
      </c>
      <c r="W263" s="2">
        <v>50</v>
      </c>
      <c r="X263" s="2">
        <v>88</v>
      </c>
      <c r="Z263" t="str">
        <f t="shared" ref="Z263:Z318" si="33">U263</f>
        <v>11</v>
      </c>
      <c r="AA263" s="5">
        <f t="shared" ref="AA262:AA318" si="34">W263/(X263)</f>
        <v>0.56818181818181823</v>
      </c>
      <c r="AB263">
        <f t="shared" ref="AB263:AB318" si="35">X263</f>
        <v>88</v>
      </c>
    </row>
    <row r="264" spans="1:28" hidden="1" x14ac:dyDescent="0.25">
      <c r="A264">
        <v>153</v>
      </c>
      <c r="B264">
        <v>0</v>
      </c>
      <c r="C264">
        <v>3</v>
      </c>
      <c r="D264" t="s">
        <v>750</v>
      </c>
      <c r="E264" s="4">
        <f>LEN(D264)</f>
        <v>16</v>
      </c>
      <c r="F264" t="s">
        <v>24</v>
      </c>
      <c r="G264">
        <v>55.5</v>
      </c>
      <c r="H264">
        <v>0</v>
      </c>
      <c r="I264">
        <v>0</v>
      </c>
      <c r="J264" t="s">
        <v>751</v>
      </c>
      <c r="K264">
        <v>8.0500000000000007</v>
      </c>
      <c r="M264" s="6" t="str">
        <f t="shared" si="30"/>
        <v/>
      </c>
      <c r="N264" s="7" t="str">
        <f t="shared" si="32"/>
        <v/>
      </c>
      <c r="O264" t="str">
        <f t="shared" si="31"/>
        <v>A.</v>
      </c>
      <c r="P264" s="4" t="str">
        <f>LEFT(L264,1)</f>
        <v/>
      </c>
      <c r="Q264" t="s">
        <v>20</v>
      </c>
      <c r="U264" s="3" t="s">
        <v>1265</v>
      </c>
      <c r="V264" s="2">
        <v>2</v>
      </c>
      <c r="W264" s="2">
        <v>2</v>
      </c>
      <c r="X264" s="2">
        <v>4</v>
      </c>
      <c r="Z264" t="str">
        <f t="shared" si="33"/>
        <v>12</v>
      </c>
      <c r="AA264" s="5">
        <f t="shared" si="34"/>
        <v>0.5</v>
      </c>
      <c r="AB264">
        <f t="shared" si="35"/>
        <v>4</v>
      </c>
    </row>
    <row r="265" spans="1:28" hidden="1" x14ac:dyDescent="0.25">
      <c r="A265">
        <v>590</v>
      </c>
      <c r="B265">
        <v>0</v>
      </c>
      <c r="C265">
        <v>3</v>
      </c>
      <c r="D265" t="s">
        <v>963</v>
      </c>
      <c r="E265" s="4">
        <f>LEN(D265)</f>
        <v>19</v>
      </c>
      <c r="F265" t="s">
        <v>24</v>
      </c>
      <c r="H265">
        <v>0</v>
      </c>
      <c r="I265">
        <v>0</v>
      </c>
      <c r="J265" t="s">
        <v>964</v>
      </c>
      <c r="K265">
        <v>8.0500000000000007</v>
      </c>
      <c r="M265" s="6" t="str">
        <f t="shared" si="30"/>
        <v/>
      </c>
      <c r="N265" s="7" t="str">
        <f t="shared" si="32"/>
        <v/>
      </c>
      <c r="O265" t="str">
        <f t="shared" si="31"/>
        <v>A.</v>
      </c>
      <c r="P265" s="4" t="str">
        <f>LEFT(L265,1)</f>
        <v/>
      </c>
      <c r="Q265" t="s">
        <v>20</v>
      </c>
      <c r="U265" s="3" t="s">
        <v>1293</v>
      </c>
      <c r="V265" s="2">
        <v>3</v>
      </c>
      <c r="W265" s="2">
        <v>8</v>
      </c>
      <c r="X265" s="2">
        <v>11</v>
      </c>
      <c r="Z265" t="str">
        <f t="shared" si="33"/>
        <v>13</v>
      </c>
      <c r="AA265" s="5">
        <f t="shared" si="34"/>
        <v>0.72727272727272729</v>
      </c>
      <c r="AB265">
        <f t="shared" si="35"/>
        <v>11</v>
      </c>
    </row>
    <row r="266" spans="1:28" hidden="1" x14ac:dyDescent="0.25">
      <c r="A266">
        <v>38</v>
      </c>
      <c r="B266">
        <v>0</v>
      </c>
      <c r="C266">
        <v>3</v>
      </c>
      <c r="D266" t="s">
        <v>675</v>
      </c>
      <c r="E266" s="4">
        <f>LEN(D266)</f>
        <v>24</v>
      </c>
      <c r="F266" t="s">
        <v>24</v>
      </c>
      <c r="G266">
        <v>21</v>
      </c>
      <c r="H266">
        <v>0</v>
      </c>
      <c r="I266">
        <v>0</v>
      </c>
      <c r="J266" t="s">
        <v>676</v>
      </c>
      <c r="K266">
        <v>8.0500000000000007</v>
      </c>
      <c r="M266" s="6" t="str">
        <f t="shared" si="30"/>
        <v/>
      </c>
      <c r="N266" s="7" t="str">
        <f t="shared" si="32"/>
        <v/>
      </c>
      <c r="O266" t="str">
        <f t="shared" si="31"/>
        <v>A.</v>
      </c>
      <c r="P266" s="4" t="str">
        <f>LEFT(L266,1)</f>
        <v/>
      </c>
      <c r="Q266" t="s">
        <v>20</v>
      </c>
      <c r="U266" s="3" t="s">
        <v>1266</v>
      </c>
      <c r="V266" s="2">
        <v>1</v>
      </c>
      <c r="W266" s="2">
        <v>3</v>
      </c>
      <c r="X266" s="2">
        <v>4</v>
      </c>
      <c r="Z266" t="str">
        <f t="shared" si="33"/>
        <v>14</v>
      </c>
      <c r="AA266" s="5">
        <f t="shared" si="34"/>
        <v>0.75</v>
      </c>
      <c r="AB266">
        <f t="shared" si="35"/>
        <v>4</v>
      </c>
    </row>
    <row r="267" spans="1:28" hidden="1" x14ac:dyDescent="0.25">
      <c r="A267">
        <v>480</v>
      </c>
      <c r="B267">
        <v>1</v>
      </c>
      <c r="C267">
        <v>3</v>
      </c>
      <c r="D267" t="s">
        <v>970</v>
      </c>
      <c r="E267" s="4">
        <f>LEN(D267)</f>
        <v>24</v>
      </c>
      <c r="F267" t="s">
        <v>14</v>
      </c>
      <c r="G267">
        <v>2</v>
      </c>
      <c r="H267">
        <v>0</v>
      </c>
      <c r="I267">
        <v>1</v>
      </c>
      <c r="J267">
        <v>3101298</v>
      </c>
      <c r="K267">
        <v>12.2875</v>
      </c>
      <c r="M267" s="6" t="str">
        <f t="shared" si="30"/>
        <v/>
      </c>
      <c r="N267" s="7" t="str">
        <f t="shared" si="32"/>
        <v/>
      </c>
      <c r="O267" t="str">
        <f t="shared" si="31"/>
        <v>31</v>
      </c>
      <c r="P267" s="4" t="str">
        <f>LEFT(L267,1)</f>
        <v/>
      </c>
      <c r="Q267" t="s">
        <v>20</v>
      </c>
      <c r="U267" s="3" t="s">
        <v>1267</v>
      </c>
      <c r="V267" s="2">
        <v>2</v>
      </c>
      <c r="W267" s="2">
        <v>8</v>
      </c>
      <c r="X267" s="2">
        <v>10</v>
      </c>
      <c r="Z267" t="str">
        <f t="shared" si="33"/>
        <v>16</v>
      </c>
      <c r="AA267" s="5">
        <f t="shared" si="34"/>
        <v>0.8</v>
      </c>
      <c r="AB267">
        <f t="shared" si="35"/>
        <v>10</v>
      </c>
    </row>
    <row r="268" spans="1:28" hidden="1" x14ac:dyDescent="0.25">
      <c r="A268">
        <v>529</v>
      </c>
      <c r="B268">
        <v>0</v>
      </c>
      <c r="C268">
        <v>3</v>
      </c>
      <c r="D268" t="s">
        <v>1006</v>
      </c>
      <c r="E268" s="4">
        <f>LEN(D268)</f>
        <v>25</v>
      </c>
      <c r="F268" t="s">
        <v>24</v>
      </c>
      <c r="G268">
        <v>39</v>
      </c>
      <c r="H268">
        <v>0</v>
      </c>
      <c r="I268">
        <v>0</v>
      </c>
      <c r="J268">
        <v>3101296</v>
      </c>
      <c r="K268">
        <v>7.9249999999999998</v>
      </c>
      <c r="M268" s="6" t="str">
        <f t="shared" si="30"/>
        <v/>
      </c>
      <c r="N268" s="7" t="str">
        <f t="shared" si="32"/>
        <v/>
      </c>
      <c r="O268" t="str">
        <f t="shared" si="31"/>
        <v>31</v>
      </c>
      <c r="P268" s="4" t="str">
        <f>LEFT(L268,1)</f>
        <v/>
      </c>
      <c r="Q268" t="s">
        <v>20</v>
      </c>
      <c r="U268" s="3" t="s">
        <v>1268</v>
      </c>
      <c r="V268" s="2">
        <v>3</v>
      </c>
      <c r="W268" s="2">
        <v>10</v>
      </c>
      <c r="X268" s="2">
        <v>13</v>
      </c>
      <c r="Z268" t="str">
        <f t="shared" si="33"/>
        <v>17</v>
      </c>
      <c r="AA268" s="5">
        <f t="shared" si="34"/>
        <v>0.76923076923076927</v>
      </c>
      <c r="AB268">
        <f t="shared" si="35"/>
        <v>13</v>
      </c>
    </row>
    <row r="269" spans="1:28" hidden="1" x14ac:dyDescent="0.25">
      <c r="A269">
        <v>51</v>
      </c>
      <c r="B269">
        <v>0</v>
      </c>
      <c r="C269">
        <v>3</v>
      </c>
      <c r="D269" t="s">
        <v>687</v>
      </c>
      <c r="E269" s="4">
        <f>LEN(D269)</f>
        <v>26</v>
      </c>
      <c r="F269" t="s">
        <v>24</v>
      </c>
      <c r="G269">
        <v>7</v>
      </c>
      <c r="H269">
        <v>4</v>
      </c>
      <c r="I269">
        <v>1</v>
      </c>
      <c r="J269">
        <v>3101295</v>
      </c>
      <c r="K269">
        <v>39.6875</v>
      </c>
      <c r="M269" s="6" t="str">
        <f t="shared" si="30"/>
        <v/>
      </c>
      <c r="N269" s="7" t="str">
        <f t="shared" si="32"/>
        <v/>
      </c>
      <c r="O269" t="str">
        <f t="shared" si="31"/>
        <v>31</v>
      </c>
      <c r="P269" s="4" t="str">
        <f>LEFT(L269,1)</f>
        <v/>
      </c>
      <c r="Q269" t="s">
        <v>20</v>
      </c>
      <c r="U269" s="3" t="s">
        <v>1269</v>
      </c>
      <c r="V269" s="2">
        <v>5</v>
      </c>
      <c r="W269" s="2">
        <v>11</v>
      </c>
      <c r="X269" s="2">
        <v>16</v>
      </c>
      <c r="Z269" t="str">
        <f t="shared" si="33"/>
        <v>19</v>
      </c>
      <c r="AA269" s="5">
        <f t="shared" si="34"/>
        <v>0.6875</v>
      </c>
      <c r="AB269">
        <f t="shared" si="35"/>
        <v>16</v>
      </c>
    </row>
    <row r="270" spans="1:28" hidden="1" x14ac:dyDescent="0.25">
      <c r="A270">
        <v>165</v>
      </c>
      <c r="B270">
        <v>0</v>
      </c>
      <c r="C270">
        <v>3</v>
      </c>
      <c r="D270" t="s">
        <v>760</v>
      </c>
      <c r="E270" s="4">
        <f>LEN(D270)</f>
        <v>28</v>
      </c>
      <c r="F270" t="s">
        <v>24</v>
      </c>
      <c r="G270">
        <v>1</v>
      </c>
      <c r="H270">
        <v>4</v>
      </c>
      <c r="I270">
        <v>1</v>
      </c>
      <c r="J270">
        <v>3101295</v>
      </c>
      <c r="K270">
        <v>39.6875</v>
      </c>
      <c r="M270" s="6" t="str">
        <f t="shared" si="30"/>
        <v/>
      </c>
      <c r="N270" s="7" t="str">
        <f t="shared" si="32"/>
        <v/>
      </c>
      <c r="O270" t="str">
        <f t="shared" si="31"/>
        <v>31</v>
      </c>
      <c r="P270" s="4" t="str">
        <f>LEFT(L270,1)</f>
        <v/>
      </c>
      <c r="Q270" t="s">
        <v>20</v>
      </c>
      <c r="U270" s="3" t="s">
        <v>1270</v>
      </c>
      <c r="V270" s="2"/>
      <c r="W270" s="2">
        <v>1</v>
      </c>
      <c r="X270" s="2">
        <v>1</v>
      </c>
      <c r="Z270" t="str">
        <f t="shared" si="33"/>
        <v>20</v>
      </c>
      <c r="AA270" s="5">
        <f t="shared" si="34"/>
        <v>1</v>
      </c>
      <c r="AB270">
        <f t="shared" si="35"/>
        <v>1</v>
      </c>
    </row>
    <row r="271" spans="1:28" hidden="1" x14ac:dyDescent="0.25">
      <c r="A271">
        <v>267</v>
      </c>
      <c r="B271">
        <v>0</v>
      </c>
      <c r="C271">
        <v>3</v>
      </c>
      <c r="D271" t="s">
        <v>826</v>
      </c>
      <c r="E271" s="4">
        <f>LEN(D271)</f>
        <v>25</v>
      </c>
      <c r="F271" t="s">
        <v>24</v>
      </c>
      <c r="G271">
        <v>16</v>
      </c>
      <c r="H271">
        <v>4</v>
      </c>
      <c r="I271">
        <v>1</v>
      </c>
      <c r="J271">
        <v>3101295</v>
      </c>
      <c r="K271">
        <v>39.6875</v>
      </c>
      <c r="M271" s="6" t="str">
        <f t="shared" si="30"/>
        <v/>
      </c>
      <c r="N271" s="7" t="str">
        <f t="shared" si="32"/>
        <v/>
      </c>
      <c r="O271" t="str">
        <f t="shared" si="31"/>
        <v>31</v>
      </c>
      <c r="P271" s="4" t="str">
        <f>LEFT(L271,1)</f>
        <v/>
      </c>
      <c r="Q271" t="s">
        <v>20</v>
      </c>
      <c r="U271" s="3" t="s">
        <v>1271</v>
      </c>
      <c r="V271" s="2">
        <v>4</v>
      </c>
      <c r="W271" s="2"/>
      <c r="X271" s="2">
        <v>4</v>
      </c>
      <c r="Z271" t="str">
        <f t="shared" si="33"/>
        <v>21</v>
      </c>
      <c r="AA271" s="5">
        <f t="shared" si="34"/>
        <v>0</v>
      </c>
      <c r="AB271">
        <f t="shared" si="35"/>
        <v>4</v>
      </c>
    </row>
    <row r="272" spans="1:28" hidden="1" x14ac:dyDescent="0.25">
      <c r="A272">
        <v>687</v>
      </c>
      <c r="B272">
        <v>0</v>
      </c>
      <c r="C272">
        <v>3</v>
      </c>
      <c r="D272" t="s">
        <v>1106</v>
      </c>
      <c r="E272" s="4">
        <f>LEN(D272)</f>
        <v>24</v>
      </c>
      <c r="F272" t="s">
        <v>24</v>
      </c>
      <c r="G272">
        <v>14</v>
      </c>
      <c r="H272">
        <v>4</v>
      </c>
      <c r="I272">
        <v>1</v>
      </c>
      <c r="J272">
        <v>3101295</v>
      </c>
      <c r="K272">
        <v>39.6875</v>
      </c>
      <c r="M272" s="6" t="str">
        <f t="shared" si="30"/>
        <v/>
      </c>
      <c r="N272" s="7" t="str">
        <f t="shared" si="32"/>
        <v/>
      </c>
      <c r="O272" t="str">
        <f t="shared" si="31"/>
        <v>31</v>
      </c>
      <c r="P272" s="4" t="str">
        <f>LEFT(L272,1)</f>
        <v/>
      </c>
      <c r="Q272" t="s">
        <v>20</v>
      </c>
      <c r="U272" s="3" t="s">
        <v>1272</v>
      </c>
      <c r="V272" s="2">
        <v>3</v>
      </c>
      <c r="W272" s="2">
        <v>6</v>
      </c>
      <c r="X272" s="2">
        <v>9</v>
      </c>
      <c r="Z272" t="str">
        <f t="shared" si="33"/>
        <v>22</v>
      </c>
      <c r="AA272" s="5">
        <f t="shared" si="34"/>
        <v>0.66666666666666663</v>
      </c>
      <c r="AB272">
        <f t="shared" si="35"/>
        <v>9</v>
      </c>
    </row>
    <row r="273" spans="1:28" hidden="1" x14ac:dyDescent="0.25">
      <c r="A273">
        <v>825</v>
      </c>
      <c r="B273">
        <v>0</v>
      </c>
      <c r="C273">
        <v>3</v>
      </c>
      <c r="D273" t="s">
        <v>1199</v>
      </c>
      <c r="E273" s="4">
        <f>LEN(D273)</f>
        <v>28</v>
      </c>
      <c r="F273" t="s">
        <v>24</v>
      </c>
      <c r="G273">
        <v>2</v>
      </c>
      <c r="H273">
        <v>4</v>
      </c>
      <c r="I273">
        <v>1</v>
      </c>
      <c r="J273">
        <v>3101295</v>
      </c>
      <c r="K273">
        <v>39.6875</v>
      </c>
      <c r="M273" s="6" t="str">
        <f t="shared" si="30"/>
        <v/>
      </c>
      <c r="N273" s="7" t="str">
        <f t="shared" si="32"/>
        <v/>
      </c>
      <c r="O273" t="str">
        <f t="shared" si="31"/>
        <v>31</v>
      </c>
      <c r="P273" s="4" t="str">
        <f>LEFT(L273,1)</f>
        <v/>
      </c>
      <c r="Q273" t="s">
        <v>20</v>
      </c>
      <c r="U273" s="3" t="s">
        <v>1273</v>
      </c>
      <c r="V273" s="2">
        <v>20</v>
      </c>
      <c r="W273" s="2">
        <v>16</v>
      </c>
      <c r="X273" s="2">
        <v>36</v>
      </c>
      <c r="Z273" t="str">
        <f t="shared" si="33"/>
        <v>23</v>
      </c>
      <c r="AA273" s="5">
        <f t="shared" si="34"/>
        <v>0.44444444444444442</v>
      </c>
      <c r="AB273">
        <f t="shared" si="35"/>
        <v>36</v>
      </c>
    </row>
    <row r="274" spans="1:28" hidden="1" x14ac:dyDescent="0.25">
      <c r="A274">
        <v>639</v>
      </c>
      <c r="B274">
        <v>0</v>
      </c>
      <c r="C274">
        <v>3</v>
      </c>
      <c r="D274" t="s">
        <v>1074</v>
      </c>
      <c r="E274" s="4">
        <f>LEN(D274)</f>
        <v>38</v>
      </c>
      <c r="F274" t="s">
        <v>14</v>
      </c>
      <c r="G274">
        <v>41</v>
      </c>
      <c r="H274">
        <v>0</v>
      </c>
      <c r="I274">
        <v>5</v>
      </c>
      <c r="J274">
        <v>3101295</v>
      </c>
      <c r="K274">
        <v>39.6875</v>
      </c>
      <c r="M274" s="6" t="str">
        <f t="shared" si="30"/>
        <v/>
      </c>
      <c r="N274" s="7" t="str">
        <f t="shared" si="32"/>
        <v/>
      </c>
      <c r="O274" t="str">
        <f t="shared" si="31"/>
        <v>31</v>
      </c>
      <c r="P274" s="4" t="str">
        <f>LEFT(L274,1)</f>
        <v/>
      </c>
      <c r="Q274" t="s">
        <v>20</v>
      </c>
      <c r="U274" s="3" t="s">
        <v>1274</v>
      </c>
      <c r="V274" s="2">
        <v>13</v>
      </c>
      <c r="W274" s="2">
        <v>16</v>
      </c>
      <c r="X274" s="2">
        <v>29</v>
      </c>
      <c r="Z274" t="str">
        <f t="shared" si="33"/>
        <v>24</v>
      </c>
      <c r="AA274" s="5">
        <f t="shared" si="34"/>
        <v>0.55172413793103448</v>
      </c>
      <c r="AB274">
        <f t="shared" si="35"/>
        <v>29</v>
      </c>
    </row>
    <row r="275" spans="1:28" x14ac:dyDescent="0.25">
      <c r="A275">
        <v>699</v>
      </c>
      <c r="B275">
        <v>0</v>
      </c>
      <c r="C275">
        <v>1</v>
      </c>
      <c r="D275" t="s">
        <v>351</v>
      </c>
      <c r="E275" s="4">
        <f>LEN(D275)</f>
        <v>24</v>
      </c>
      <c r="F275" t="s">
        <v>24</v>
      </c>
      <c r="G275">
        <v>49</v>
      </c>
      <c r="H275">
        <v>1</v>
      </c>
      <c r="I275">
        <v>1</v>
      </c>
      <c r="J275">
        <v>17421</v>
      </c>
      <c r="K275">
        <v>110.88330000000001</v>
      </c>
      <c r="L275" t="s">
        <v>307</v>
      </c>
      <c r="M275" s="6" t="str">
        <f t="shared" si="30"/>
        <v>68</v>
      </c>
      <c r="N275" s="7">
        <f t="shared" si="32"/>
        <v>68</v>
      </c>
      <c r="O275" t="str">
        <f t="shared" si="31"/>
        <v>17</v>
      </c>
      <c r="P275" s="4" t="str">
        <f>LEFT(L275,1)</f>
        <v>C</v>
      </c>
      <c r="Q275" t="s">
        <v>17</v>
      </c>
      <c r="U275" s="3" t="s">
        <v>1275</v>
      </c>
      <c r="V275" s="2">
        <v>7</v>
      </c>
      <c r="W275" s="2">
        <v>7</v>
      </c>
      <c r="X275" s="2">
        <v>14</v>
      </c>
      <c r="Z275" t="str">
        <f t="shared" si="33"/>
        <v>25</v>
      </c>
      <c r="AA275" s="5">
        <f t="shared" si="34"/>
        <v>0.5</v>
      </c>
      <c r="AB275">
        <f t="shared" si="35"/>
        <v>14</v>
      </c>
    </row>
    <row r="276" spans="1:28" hidden="1" x14ac:dyDescent="0.25">
      <c r="A276">
        <v>69</v>
      </c>
      <c r="B276">
        <v>1</v>
      </c>
      <c r="C276">
        <v>3</v>
      </c>
      <c r="D276" t="s">
        <v>700</v>
      </c>
      <c r="E276" s="4">
        <f>LEN(D276)</f>
        <v>31</v>
      </c>
      <c r="F276" t="s">
        <v>14</v>
      </c>
      <c r="G276">
        <v>17</v>
      </c>
      <c r="H276">
        <v>4</v>
      </c>
      <c r="I276">
        <v>2</v>
      </c>
      <c r="J276">
        <v>3101281</v>
      </c>
      <c r="K276">
        <v>7.9249999999999998</v>
      </c>
      <c r="M276" s="6" t="str">
        <f t="shared" si="30"/>
        <v/>
      </c>
      <c r="N276" s="7" t="str">
        <f t="shared" si="32"/>
        <v/>
      </c>
      <c r="O276" t="str">
        <f t="shared" si="31"/>
        <v>31</v>
      </c>
      <c r="P276" s="4" t="str">
        <f>LEFT(L276,1)</f>
        <v/>
      </c>
      <c r="Q276" t="s">
        <v>20</v>
      </c>
      <c r="U276" s="3" t="s">
        <v>1276</v>
      </c>
      <c r="V276" s="2">
        <v>35</v>
      </c>
      <c r="W276" s="2">
        <v>25</v>
      </c>
      <c r="X276" s="2">
        <v>60</v>
      </c>
      <c r="Z276" t="str">
        <f t="shared" si="33"/>
        <v>26</v>
      </c>
      <c r="AA276" s="5">
        <f t="shared" si="34"/>
        <v>0.41666666666666669</v>
      </c>
      <c r="AB276">
        <f t="shared" si="35"/>
        <v>60</v>
      </c>
    </row>
    <row r="277" spans="1:28" x14ac:dyDescent="0.25">
      <c r="A277">
        <v>320</v>
      </c>
      <c r="B277">
        <v>1</v>
      </c>
      <c r="C277">
        <v>1</v>
      </c>
      <c r="D277" t="s">
        <v>208</v>
      </c>
      <c r="E277" s="4">
        <f>LEN(D277)</f>
        <v>56</v>
      </c>
      <c r="F277" t="s">
        <v>14</v>
      </c>
      <c r="G277">
        <v>40</v>
      </c>
      <c r="H277">
        <v>1</v>
      </c>
      <c r="I277">
        <v>1</v>
      </c>
      <c r="J277">
        <v>16966</v>
      </c>
      <c r="K277">
        <v>134.5</v>
      </c>
      <c r="L277" t="s">
        <v>209</v>
      </c>
      <c r="M277" s="6" t="str">
        <f t="shared" si="30"/>
        <v>34</v>
      </c>
      <c r="N277" s="7">
        <f t="shared" si="32"/>
        <v>34</v>
      </c>
      <c r="O277" t="str">
        <f t="shared" si="31"/>
        <v>16</v>
      </c>
      <c r="P277" s="4" t="str">
        <f>LEFT(L277,1)</f>
        <v>E</v>
      </c>
      <c r="Q277" t="s">
        <v>17</v>
      </c>
      <c r="U277" s="3" t="s">
        <v>1294</v>
      </c>
      <c r="V277" s="2">
        <v>1</v>
      </c>
      <c r="W277" s="2">
        <v>3</v>
      </c>
      <c r="X277" s="2">
        <v>4</v>
      </c>
      <c r="Z277" t="str">
        <f t="shared" si="33"/>
        <v>27</v>
      </c>
      <c r="AA277" s="5">
        <f t="shared" si="34"/>
        <v>0.75</v>
      </c>
      <c r="AB277">
        <f t="shared" si="35"/>
        <v>4</v>
      </c>
    </row>
    <row r="278" spans="1:28" hidden="1" x14ac:dyDescent="0.25">
      <c r="A278">
        <v>207</v>
      </c>
      <c r="B278">
        <v>0</v>
      </c>
      <c r="C278">
        <v>3</v>
      </c>
      <c r="D278" t="s">
        <v>786</v>
      </c>
      <c r="E278" s="4">
        <f>LEN(D278)</f>
        <v>26</v>
      </c>
      <c r="F278" t="s">
        <v>24</v>
      </c>
      <c r="G278">
        <v>32</v>
      </c>
      <c r="H278">
        <v>1</v>
      </c>
      <c r="I278">
        <v>0</v>
      </c>
      <c r="J278">
        <v>3101278</v>
      </c>
      <c r="K278">
        <v>15.85</v>
      </c>
      <c r="M278" s="6" t="str">
        <f t="shared" si="30"/>
        <v/>
      </c>
      <c r="N278" s="7" t="str">
        <f t="shared" si="32"/>
        <v/>
      </c>
      <c r="O278" t="str">
        <f t="shared" si="31"/>
        <v>31</v>
      </c>
      <c r="P278" s="4" t="str">
        <f>LEFT(L278,1)</f>
        <v/>
      </c>
      <c r="Q278" t="s">
        <v>20</v>
      </c>
      <c r="U278" s="3" t="s">
        <v>1277</v>
      </c>
      <c r="V278" s="2">
        <v>10</v>
      </c>
      <c r="W278" s="2">
        <v>2</v>
      </c>
      <c r="X278" s="2">
        <v>12</v>
      </c>
      <c r="Z278" t="str">
        <f t="shared" si="33"/>
        <v>28</v>
      </c>
      <c r="AA278" s="5">
        <f t="shared" si="34"/>
        <v>0.16666666666666666</v>
      </c>
      <c r="AB278">
        <f t="shared" si="35"/>
        <v>12</v>
      </c>
    </row>
    <row r="279" spans="1:28" hidden="1" x14ac:dyDescent="0.25">
      <c r="A279">
        <v>86</v>
      </c>
      <c r="B279">
        <v>1</v>
      </c>
      <c r="C279">
        <v>3</v>
      </c>
      <c r="D279" t="s">
        <v>711</v>
      </c>
      <c r="E279" s="4">
        <f>LEN(D279)</f>
        <v>55</v>
      </c>
      <c r="F279" t="s">
        <v>14</v>
      </c>
      <c r="G279">
        <v>33</v>
      </c>
      <c r="H279">
        <v>3</v>
      </c>
      <c r="I279">
        <v>0</v>
      </c>
      <c r="J279">
        <v>3101278</v>
      </c>
      <c r="K279">
        <v>15.85</v>
      </c>
      <c r="M279" s="6" t="str">
        <f t="shared" si="30"/>
        <v/>
      </c>
      <c r="N279" s="7" t="str">
        <f t="shared" si="32"/>
        <v/>
      </c>
      <c r="O279" t="str">
        <f t="shared" si="31"/>
        <v>31</v>
      </c>
      <c r="P279" s="4" t="str">
        <f>LEFT(L279,1)</f>
        <v/>
      </c>
      <c r="Q279" t="s">
        <v>20</v>
      </c>
      <c r="U279" s="3" t="s">
        <v>1295</v>
      </c>
      <c r="V279" s="2">
        <v>5</v>
      </c>
      <c r="W279" s="2">
        <v>9</v>
      </c>
      <c r="X279" s="2">
        <v>14</v>
      </c>
      <c r="Z279" t="str">
        <f t="shared" si="33"/>
        <v>29</v>
      </c>
      <c r="AA279" s="5">
        <f t="shared" si="34"/>
        <v>0.6428571428571429</v>
      </c>
      <c r="AB279">
        <f t="shared" si="35"/>
        <v>14</v>
      </c>
    </row>
    <row r="280" spans="1:28" hidden="1" x14ac:dyDescent="0.25">
      <c r="A280">
        <v>393</v>
      </c>
      <c r="B280">
        <v>0</v>
      </c>
      <c r="C280">
        <v>3</v>
      </c>
      <c r="D280" t="s">
        <v>903</v>
      </c>
      <c r="E280" s="4">
        <f>LEN(D280)</f>
        <v>28</v>
      </c>
      <c r="F280" t="s">
        <v>24</v>
      </c>
      <c r="G280">
        <v>28</v>
      </c>
      <c r="H280">
        <v>2</v>
      </c>
      <c r="I280">
        <v>0</v>
      </c>
      <c r="J280">
        <v>3101277</v>
      </c>
      <c r="K280">
        <v>7.9249999999999998</v>
      </c>
      <c r="M280" s="6" t="str">
        <f t="shared" si="30"/>
        <v/>
      </c>
      <c r="N280" s="7" t="str">
        <f t="shared" si="32"/>
        <v/>
      </c>
      <c r="O280" t="str">
        <f t="shared" si="31"/>
        <v>31</v>
      </c>
      <c r="P280" s="4" t="str">
        <f>LEFT(L280,1)</f>
        <v/>
      </c>
      <c r="Q280" t="s">
        <v>20</v>
      </c>
      <c r="U280" s="3" t="s">
        <v>1278</v>
      </c>
      <c r="V280" s="2">
        <v>28</v>
      </c>
      <c r="W280" s="2">
        <v>9</v>
      </c>
      <c r="X280" s="2">
        <v>37</v>
      </c>
      <c r="Z280" t="str">
        <f t="shared" si="33"/>
        <v>31</v>
      </c>
      <c r="AA280" s="5">
        <f t="shared" si="34"/>
        <v>0.24324324324324326</v>
      </c>
      <c r="AB280">
        <f t="shared" si="35"/>
        <v>37</v>
      </c>
    </row>
    <row r="281" spans="1:28" hidden="1" x14ac:dyDescent="0.25">
      <c r="A281">
        <v>105</v>
      </c>
      <c r="B281">
        <v>0</v>
      </c>
      <c r="C281">
        <v>3</v>
      </c>
      <c r="D281" t="s">
        <v>722</v>
      </c>
      <c r="E281" s="4">
        <f>LEN(D281)</f>
        <v>30</v>
      </c>
      <c r="F281" t="s">
        <v>24</v>
      </c>
      <c r="G281">
        <v>37</v>
      </c>
      <c r="H281">
        <v>2</v>
      </c>
      <c r="I281">
        <v>0</v>
      </c>
      <c r="J281">
        <v>3101276</v>
      </c>
      <c r="K281">
        <v>7.9249999999999998</v>
      </c>
      <c r="M281" s="6" t="str">
        <f t="shared" si="30"/>
        <v/>
      </c>
      <c r="N281" s="7" t="str">
        <f t="shared" si="32"/>
        <v/>
      </c>
      <c r="O281" t="str">
        <f t="shared" si="31"/>
        <v>31</v>
      </c>
      <c r="P281" s="4" t="str">
        <f>LEFT(L281,1)</f>
        <v/>
      </c>
      <c r="Q281" t="s">
        <v>20</v>
      </c>
      <c r="U281" s="3" t="s">
        <v>1279</v>
      </c>
      <c r="V281" s="2">
        <v>3</v>
      </c>
      <c r="W281" s="2"/>
      <c r="X281" s="2">
        <v>3</v>
      </c>
      <c r="Z281" t="str">
        <f t="shared" si="33"/>
        <v>32</v>
      </c>
      <c r="AA281" s="5">
        <f t="shared" si="34"/>
        <v>0</v>
      </c>
      <c r="AB281">
        <f t="shared" si="35"/>
        <v>3</v>
      </c>
    </row>
    <row r="282" spans="1:28" hidden="1" x14ac:dyDescent="0.25">
      <c r="A282">
        <v>372</v>
      </c>
      <c r="B282">
        <v>0</v>
      </c>
      <c r="C282">
        <v>3</v>
      </c>
      <c r="D282" t="s">
        <v>890</v>
      </c>
      <c r="E282" s="4">
        <f>LEN(D282)</f>
        <v>25</v>
      </c>
      <c r="F282" t="s">
        <v>24</v>
      </c>
      <c r="G282">
        <v>18</v>
      </c>
      <c r="H282">
        <v>1</v>
      </c>
      <c r="I282">
        <v>0</v>
      </c>
      <c r="J282">
        <v>3101267</v>
      </c>
      <c r="K282">
        <v>6.4958</v>
      </c>
      <c r="M282" s="6" t="str">
        <f t="shared" si="30"/>
        <v/>
      </c>
      <c r="N282" s="7" t="str">
        <f t="shared" si="32"/>
        <v/>
      </c>
      <c r="O282" t="str">
        <f t="shared" si="31"/>
        <v>31</v>
      </c>
      <c r="P282" s="4" t="str">
        <f>LEFT(L282,1)</f>
        <v/>
      </c>
      <c r="Q282" t="s">
        <v>20</v>
      </c>
      <c r="U282" s="3" t="s">
        <v>1280</v>
      </c>
      <c r="V282" s="2">
        <v>7</v>
      </c>
      <c r="W282" s="2">
        <v>9</v>
      </c>
      <c r="X282" s="2">
        <v>16</v>
      </c>
      <c r="Z282" t="str">
        <f t="shared" si="33"/>
        <v>33</v>
      </c>
      <c r="AA282" s="5">
        <f t="shared" si="34"/>
        <v>0.5625</v>
      </c>
      <c r="AB282">
        <f t="shared" si="35"/>
        <v>16</v>
      </c>
    </row>
    <row r="283" spans="1:28" hidden="1" x14ac:dyDescent="0.25">
      <c r="A283">
        <v>787</v>
      </c>
      <c r="B283">
        <v>1</v>
      </c>
      <c r="C283">
        <v>3</v>
      </c>
      <c r="D283" t="s">
        <v>1173</v>
      </c>
      <c r="E283" s="4">
        <f>LEN(D283)</f>
        <v>25</v>
      </c>
      <c r="F283" t="s">
        <v>14</v>
      </c>
      <c r="G283">
        <v>18</v>
      </c>
      <c r="H283">
        <v>0</v>
      </c>
      <c r="I283">
        <v>0</v>
      </c>
      <c r="J283">
        <v>3101265</v>
      </c>
      <c r="K283">
        <v>7.4958</v>
      </c>
      <c r="M283" s="6" t="str">
        <f t="shared" si="30"/>
        <v/>
      </c>
      <c r="N283" s="7" t="str">
        <f t="shared" si="32"/>
        <v/>
      </c>
      <c r="O283" t="str">
        <f t="shared" si="31"/>
        <v>31</v>
      </c>
      <c r="P283" s="4" t="str">
        <f>LEFT(L283,1)</f>
        <v/>
      </c>
      <c r="Q283" t="s">
        <v>20</v>
      </c>
      <c r="U283" s="3" t="s">
        <v>1281</v>
      </c>
      <c r="V283" s="2">
        <v>113</v>
      </c>
      <c r="W283" s="2">
        <v>19</v>
      </c>
      <c r="X283" s="2">
        <v>132</v>
      </c>
      <c r="Z283" t="str">
        <f t="shared" si="33"/>
        <v>34</v>
      </c>
      <c r="AA283" s="5">
        <f t="shared" si="34"/>
        <v>0.14393939393939395</v>
      </c>
      <c r="AB283">
        <f t="shared" si="35"/>
        <v>132</v>
      </c>
    </row>
    <row r="284" spans="1:28" hidden="1" x14ac:dyDescent="0.25">
      <c r="A284">
        <v>203</v>
      </c>
      <c r="B284">
        <v>0</v>
      </c>
      <c r="C284">
        <v>3</v>
      </c>
      <c r="D284" t="s">
        <v>781</v>
      </c>
      <c r="E284" s="4">
        <f>LEN(D284)</f>
        <v>26</v>
      </c>
      <c r="F284" t="s">
        <v>24</v>
      </c>
      <c r="G284">
        <v>34</v>
      </c>
      <c r="H284">
        <v>0</v>
      </c>
      <c r="I284">
        <v>0</v>
      </c>
      <c r="J284">
        <v>3101264</v>
      </c>
      <c r="K284">
        <v>6.4958</v>
      </c>
      <c r="M284" s="6" t="str">
        <f t="shared" si="30"/>
        <v/>
      </c>
      <c r="N284" s="7" t="str">
        <f t="shared" si="32"/>
        <v/>
      </c>
      <c r="O284" t="str">
        <f t="shared" si="31"/>
        <v>31</v>
      </c>
      <c r="P284" s="4" t="str">
        <f>LEFT(L284,1)</f>
        <v/>
      </c>
      <c r="Q284" t="s">
        <v>20</v>
      </c>
      <c r="U284" s="3" t="s">
        <v>1282</v>
      </c>
      <c r="V284" s="2">
        <v>19</v>
      </c>
      <c r="W284" s="2">
        <v>8</v>
      </c>
      <c r="X284" s="2">
        <v>27</v>
      </c>
      <c r="Z284" t="str">
        <f t="shared" si="33"/>
        <v>35</v>
      </c>
      <c r="AA284" s="5">
        <f t="shared" si="34"/>
        <v>0.29629629629629628</v>
      </c>
      <c r="AB284">
        <f t="shared" si="35"/>
        <v>27</v>
      </c>
    </row>
    <row r="285" spans="1:28" x14ac:dyDescent="0.25">
      <c r="A285">
        <v>752</v>
      </c>
      <c r="B285">
        <v>1</v>
      </c>
      <c r="C285">
        <v>3</v>
      </c>
      <c r="D285" t="s">
        <v>1146</v>
      </c>
      <c r="E285" s="4">
        <f>LEN(D285)</f>
        <v>19</v>
      </c>
      <c r="F285" t="s">
        <v>24</v>
      </c>
      <c r="G285">
        <v>6</v>
      </c>
      <c r="H285">
        <v>0</v>
      </c>
      <c r="I285">
        <v>1</v>
      </c>
      <c r="J285">
        <v>392096</v>
      </c>
      <c r="K285">
        <v>12.475</v>
      </c>
      <c r="L285" t="s">
        <v>1147</v>
      </c>
      <c r="M285" s="6" t="str">
        <f t="shared" si="30"/>
        <v>121</v>
      </c>
      <c r="N285" s="7">
        <f t="shared" si="32"/>
        <v>121</v>
      </c>
      <c r="O285" t="str">
        <f t="shared" si="31"/>
        <v>39</v>
      </c>
      <c r="P285" s="4" t="str">
        <f>LEFT(L285,1)</f>
        <v>E</v>
      </c>
      <c r="Q285" t="s">
        <v>20</v>
      </c>
      <c r="U285" s="3" t="s">
        <v>1283</v>
      </c>
      <c r="V285" s="2">
        <v>30</v>
      </c>
      <c r="W285" s="2">
        <v>16</v>
      </c>
      <c r="X285" s="2">
        <v>46</v>
      </c>
      <c r="Z285" t="str">
        <f t="shared" si="33"/>
        <v>36</v>
      </c>
      <c r="AA285" s="5">
        <f t="shared" si="34"/>
        <v>0.34782608695652173</v>
      </c>
      <c r="AB285">
        <f t="shared" si="35"/>
        <v>46</v>
      </c>
    </row>
    <row r="286" spans="1:28" x14ac:dyDescent="0.25">
      <c r="A286">
        <v>338</v>
      </c>
      <c r="B286">
        <v>1</v>
      </c>
      <c r="C286">
        <v>1</v>
      </c>
      <c r="D286" t="s">
        <v>218</v>
      </c>
      <c r="E286" s="4">
        <f>LEN(D286)</f>
        <v>31</v>
      </c>
      <c r="F286" t="s">
        <v>14</v>
      </c>
      <c r="G286">
        <v>41</v>
      </c>
      <c r="H286">
        <v>0</v>
      </c>
      <c r="I286">
        <v>0</v>
      </c>
      <c r="J286">
        <v>16966</v>
      </c>
      <c r="K286">
        <v>134.5</v>
      </c>
      <c r="L286" t="s">
        <v>219</v>
      </c>
      <c r="M286" s="6" t="str">
        <f t="shared" si="30"/>
        <v>40</v>
      </c>
      <c r="N286" s="7">
        <f t="shared" si="32"/>
        <v>40</v>
      </c>
      <c r="O286" t="str">
        <f t="shared" si="31"/>
        <v>16</v>
      </c>
      <c r="P286" s="4" t="str">
        <f>LEFT(L286,1)</f>
        <v>E</v>
      </c>
      <c r="Q286" t="s">
        <v>17</v>
      </c>
      <c r="U286" s="3" t="s">
        <v>1284</v>
      </c>
      <c r="V286" s="2">
        <v>19</v>
      </c>
      <c r="W286" s="2">
        <v>6</v>
      </c>
      <c r="X286" s="2">
        <v>25</v>
      </c>
      <c r="Z286" t="str">
        <f t="shared" si="33"/>
        <v>37</v>
      </c>
      <c r="AA286" s="5">
        <f t="shared" si="34"/>
        <v>0.24</v>
      </c>
      <c r="AB286">
        <f t="shared" si="35"/>
        <v>25</v>
      </c>
    </row>
    <row r="287" spans="1:28" x14ac:dyDescent="0.25">
      <c r="A287">
        <v>824</v>
      </c>
      <c r="B287">
        <v>1</v>
      </c>
      <c r="C287">
        <v>3</v>
      </c>
      <c r="D287" t="s">
        <v>1198</v>
      </c>
      <c r="E287" s="4">
        <f>LEN(D287)</f>
        <v>18</v>
      </c>
      <c r="F287" t="s">
        <v>14</v>
      </c>
      <c r="G287">
        <v>27</v>
      </c>
      <c r="H287">
        <v>0</v>
      </c>
      <c r="I287">
        <v>1</v>
      </c>
      <c r="J287">
        <v>392096</v>
      </c>
      <c r="K287">
        <v>12.475</v>
      </c>
      <c r="L287" t="s">
        <v>1147</v>
      </c>
      <c r="M287" s="6" t="str">
        <f t="shared" si="30"/>
        <v>121</v>
      </c>
      <c r="N287" s="7">
        <f t="shared" si="32"/>
        <v>121</v>
      </c>
      <c r="O287" t="str">
        <f t="shared" si="31"/>
        <v>39</v>
      </c>
      <c r="P287" s="4" t="str">
        <f>LEFT(L287,1)</f>
        <v>E</v>
      </c>
      <c r="Q287" t="s">
        <v>20</v>
      </c>
      <c r="U287" s="3" t="s">
        <v>1285</v>
      </c>
      <c r="V287" s="2">
        <v>8</v>
      </c>
      <c r="W287" s="2">
        <v>2</v>
      </c>
      <c r="X287" s="2">
        <v>10</v>
      </c>
      <c r="Z287" t="str">
        <f t="shared" si="33"/>
        <v>38</v>
      </c>
      <c r="AA287" s="5">
        <f t="shared" si="34"/>
        <v>0.2</v>
      </c>
      <c r="AB287">
        <f t="shared" si="35"/>
        <v>10</v>
      </c>
    </row>
    <row r="288" spans="1:28" hidden="1" x14ac:dyDescent="0.25">
      <c r="A288">
        <v>838</v>
      </c>
      <c r="B288">
        <v>0</v>
      </c>
      <c r="C288">
        <v>3</v>
      </c>
      <c r="D288" t="s">
        <v>967</v>
      </c>
      <c r="E288" s="4">
        <f>LEN(D288)</f>
        <v>19</v>
      </c>
      <c r="F288" t="s">
        <v>24</v>
      </c>
      <c r="H288">
        <v>0</v>
      </c>
      <c r="I288">
        <v>0</v>
      </c>
      <c r="J288">
        <v>392092</v>
      </c>
      <c r="K288">
        <v>8.0500000000000007</v>
      </c>
      <c r="M288" s="6" t="str">
        <f t="shared" si="30"/>
        <v/>
      </c>
      <c r="N288" s="7" t="str">
        <f t="shared" si="32"/>
        <v/>
      </c>
      <c r="O288" t="str">
        <f t="shared" si="31"/>
        <v>39</v>
      </c>
      <c r="P288" s="4" t="str">
        <f>LEFT(L288,1)</f>
        <v/>
      </c>
      <c r="Q288" t="s">
        <v>20</v>
      </c>
      <c r="U288" s="3" t="s">
        <v>1286</v>
      </c>
      <c r="V288" s="2">
        <v>2</v>
      </c>
      <c r="W288" s="2">
        <v>3</v>
      </c>
      <c r="X288" s="2">
        <v>5</v>
      </c>
      <c r="Z288" t="str">
        <f t="shared" si="33"/>
        <v>39</v>
      </c>
      <c r="AA288" s="5">
        <f t="shared" si="34"/>
        <v>0.6</v>
      </c>
      <c r="AB288">
        <f t="shared" si="35"/>
        <v>5</v>
      </c>
    </row>
    <row r="289" spans="1:35" hidden="1" x14ac:dyDescent="0.25">
      <c r="A289">
        <v>856</v>
      </c>
      <c r="B289">
        <v>1</v>
      </c>
      <c r="C289">
        <v>3</v>
      </c>
      <c r="D289" t="s">
        <v>1221</v>
      </c>
      <c r="E289" s="4">
        <f>LEN(D289)</f>
        <v>26</v>
      </c>
      <c r="F289" t="s">
        <v>14</v>
      </c>
      <c r="G289">
        <v>18</v>
      </c>
      <c r="H289">
        <v>0</v>
      </c>
      <c r="I289">
        <v>1</v>
      </c>
      <c r="J289">
        <v>392091</v>
      </c>
      <c r="K289">
        <v>9.35</v>
      </c>
      <c r="M289" s="6" t="str">
        <f t="shared" si="30"/>
        <v/>
      </c>
      <c r="N289" s="7" t="str">
        <f t="shared" si="32"/>
        <v/>
      </c>
      <c r="O289" t="str">
        <f t="shared" si="31"/>
        <v>39</v>
      </c>
      <c r="P289" s="4" t="str">
        <f>LEFT(L289,1)</f>
        <v/>
      </c>
      <c r="Q289" t="s">
        <v>20</v>
      </c>
      <c r="U289" s="3" t="s">
        <v>1287</v>
      </c>
      <c r="V289" s="2">
        <v>7</v>
      </c>
      <c r="W289" s="2">
        <v>2</v>
      </c>
      <c r="X289" s="2">
        <v>9</v>
      </c>
      <c r="Z289" t="str">
        <f t="shared" si="33"/>
        <v>41</v>
      </c>
      <c r="AA289" s="5">
        <f t="shared" si="34"/>
        <v>0.22222222222222221</v>
      </c>
      <c r="AB289">
        <f t="shared" si="35"/>
        <v>9</v>
      </c>
    </row>
    <row r="290" spans="1:35" hidden="1" x14ac:dyDescent="0.25">
      <c r="A290">
        <v>348</v>
      </c>
      <c r="B290">
        <v>1</v>
      </c>
      <c r="C290">
        <v>3</v>
      </c>
      <c r="D290" t="s">
        <v>848</v>
      </c>
      <c r="E290" s="4">
        <f>LEN(D290)</f>
        <v>41</v>
      </c>
      <c r="F290" t="s">
        <v>14</v>
      </c>
      <c r="H290">
        <v>1</v>
      </c>
      <c r="I290">
        <v>0</v>
      </c>
      <c r="J290">
        <v>386525</v>
      </c>
      <c r="K290">
        <v>16.100000000000001</v>
      </c>
      <c r="M290" s="6" t="str">
        <f t="shared" si="30"/>
        <v/>
      </c>
      <c r="N290" s="7" t="str">
        <f t="shared" si="32"/>
        <v/>
      </c>
      <c r="O290" t="str">
        <f t="shared" si="31"/>
        <v>38</v>
      </c>
      <c r="P290" s="4" t="str">
        <f>LEFT(L290,1)</f>
        <v/>
      </c>
      <c r="Q290" t="s">
        <v>20</v>
      </c>
      <c r="U290" s="3" t="s">
        <v>1288</v>
      </c>
      <c r="V290" s="2">
        <v>1</v>
      </c>
      <c r="W290" s="2"/>
      <c r="X290" s="2">
        <v>1</v>
      </c>
      <c r="Z290" t="str">
        <f t="shared" si="33"/>
        <v>45</v>
      </c>
      <c r="AA290" s="5">
        <f t="shared" si="34"/>
        <v>0</v>
      </c>
      <c r="AB290">
        <f t="shared" si="35"/>
        <v>1</v>
      </c>
    </row>
    <row r="291" spans="1:35" hidden="1" x14ac:dyDescent="0.25">
      <c r="A291">
        <v>323</v>
      </c>
      <c r="B291">
        <v>1</v>
      </c>
      <c r="C291">
        <v>2</v>
      </c>
      <c r="D291" t="s">
        <v>515</v>
      </c>
      <c r="E291" s="4">
        <f>LEN(D291)</f>
        <v>25</v>
      </c>
      <c r="F291" t="s">
        <v>14</v>
      </c>
      <c r="G291">
        <v>30</v>
      </c>
      <c r="H291">
        <v>0</v>
      </c>
      <c r="I291">
        <v>0</v>
      </c>
      <c r="J291">
        <v>234818</v>
      </c>
      <c r="K291">
        <v>12.35</v>
      </c>
      <c r="M291" s="6" t="str">
        <f t="shared" si="30"/>
        <v/>
      </c>
      <c r="N291" s="7" t="str">
        <f t="shared" si="32"/>
        <v/>
      </c>
      <c r="O291" t="str">
        <f t="shared" si="31"/>
        <v>23</v>
      </c>
      <c r="P291" s="4" t="str">
        <f>LEFT(L291,1)</f>
        <v/>
      </c>
      <c r="Q291" t="s">
        <v>161</v>
      </c>
      <c r="U291" s="3" t="s">
        <v>1289</v>
      </c>
      <c r="V291" s="2">
        <v>2</v>
      </c>
      <c r="W291" s="2"/>
      <c r="X291" s="2">
        <v>2</v>
      </c>
      <c r="Z291" t="str">
        <f t="shared" si="33"/>
        <v>54</v>
      </c>
      <c r="AA291" s="5">
        <f t="shared" si="34"/>
        <v>0</v>
      </c>
      <c r="AB291">
        <f t="shared" si="35"/>
        <v>2</v>
      </c>
    </row>
    <row r="292" spans="1:35" hidden="1" x14ac:dyDescent="0.25">
      <c r="A292">
        <v>744</v>
      </c>
      <c r="B292">
        <v>0</v>
      </c>
      <c r="C292">
        <v>3</v>
      </c>
      <c r="D292" t="s">
        <v>1141</v>
      </c>
      <c r="E292" s="4">
        <f>LEN(D292)</f>
        <v>17</v>
      </c>
      <c r="F292" t="s">
        <v>24</v>
      </c>
      <c r="G292">
        <v>24</v>
      </c>
      <c r="H292">
        <v>1</v>
      </c>
      <c r="I292">
        <v>0</v>
      </c>
      <c r="J292">
        <v>376566</v>
      </c>
      <c r="K292">
        <v>16.100000000000001</v>
      </c>
      <c r="M292" s="6" t="str">
        <f t="shared" si="30"/>
        <v/>
      </c>
      <c r="N292" s="7" t="str">
        <f t="shared" si="32"/>
        <v/>
      </c>
      <c r="O292" t="str">
        <f t="shared" si="31"/>
        <v>37</v>
      </c>
      <c r="P292" s="4" t="str">
        <f>LEFT(L292,1)</f>
        <v/>
      </c>
      <c r="Q292" t="s">
        <v>20</v>
      </c>
      <c r="U292" s="3" t="s">
        <v>1296</v>
      </c>
      <c r="V292" s="2">
        <v>1</v>
      </c>
      <c r="W292" s="2"/>
      <c r="X292" s="2">
        <v>1</v>
      </c>
      <c r="Z292" t="str">
        <f t="shared" si="33"/>
        <v>57</v>
      </c>
      <c r="AA292" s="5">
        <f t="shared" si="34"/>
        <v>0</v>
      </c>
      <c r="AB292">
        <f t="shared" si="35"/>
        <v>1</v>
      </c>
    </row>
    <row r="293" spans="1:35" hidden="1" x14ac:dyDescent="0.25">
      <c r="A293">
        <v>640</v>
      </c>
      <c r="B293">
        <v>0</v>
      </c>
      <c r="C293">
        <v>3</v>
      </c>
      <c r="D293" t="s">
        <v>841</v>
      </c>
      <c r="E293" s="4">
        <f>LEN(D293)</f>
        <v>26</v>
      </c>
      <c r="F293" t="s">
        <v>24</v>
      </c>
      <c r="H293">
        <v>1</v>
      </c>
      <c r="I293">
        <v>0</v>
      </c>
      <c r="J293">
        <v>376564</v>
      </c>
      <c r="K293">
        <v>16.100000000000001</v>
      </c>
      <c r="M293" s="6" t="str">
        <f t="shared" si="30"/>
        <v/>
      </c>
      <c r="N293" s="7" t="str">
        <f t="shared" si="32"/>
        <v/>
      </c>
      <c r="O293" t="str">
        <f t="shared" si="31"/>
        <v>37</v>
      </c>
      <c r="P293" s="4" t="str">
        <f>LEFT(L293,1)</f>
        <v/>
      </c>
      <c r="Q293" t="s">
        <v>20</v>
      </c>
      <c r="U293" s="3" t="s">
        <v>1290</v>
      </c>
      <c r="V293" s="2">
        <v>3</v>
      </c>
      <c r="W293" s="2">
        <v>1</v>
      </c>
      <c r="X293" s="2">
        <v>4</v>
      </c>
      <c r="Z293" t="str">
        <f t="shared" si="33"/>
        <v>65</v>
      </c>
      <c r="AA293" s="5">
        <f t="shared" si="34"/>
        <v>0.25</v>
      </c>
      <c r="AB293">
        <f t="shared" si="35"/>
        <v>4</v>
      </c>
    </row>
    <row r="294" spans="1:35" hidden="1" x14ac:dyDescent="0.25">
      <c r="A294">
        <v>432</v>
      </c>
      <c r="B294">
        <v>1</v>
      </c>
      <c r="C294">
        <v>3</v>
      </c>
      <c r="D294" t="s">
        <v>850</v>
      </c>
      <c r="E294" s="4">
        <f>LEN(D294)</f>
        <v>49</v>
      </c>
      <c r="F294" t="s">
        <v>14</v>
      </c>
      <c r="H294">
        <v>1</v>
      </c>
      <c r="I294">
        <v>0</v>
      </c>
      <c r="J294">
        <v>376564</v>
      </c>
      <c r="K294">
        <v>16.100000000000001</v>
      </c>
      <c r="M294" s="6" t="str">
        <f t="shared" si="30"/>
        <v/>
      </c>
      <c r="N294" s="7" t="str">
        <f t="shared" si="32"/>
        <v/>
      </c>
      <c r="O294" t="str">
        <f t="shared" si="31"/>
        <v>37</v>
      </c>
      <c r="P294" s="4" t="str">
        <f>LEFT(L294,1)</f>
        <v/>
      </c>
      <c r="Q294" t="s">
        <v>20</v>
      </c>
      <c r="U294" s="3" t="s">
        <v>1291</v>
      </c>
      <c r="V294" s="2">
        <v>2</v>
      </c>
      <c r="W294" s="2"/>
      <c r="X294" s="2">
        <v>2</v>
      </c>
      <c r="Z294" t="str">
        <f t="shared" si="33"/>
        <v>69</v>
      </c>
      <c r="AA294" s="5">
        <f t="shared" si="34"/>
        <v>0</v>
      </c>
      <c r="AB294">
        <f t="shared" si="35"/>
        <v>2</v>
      </c>
    </row>
    <row r="295" spans="1:35" x14ac:dyDescent="0.25">
      <c r="A295">
        <v>304</v>
      </c>
      <c r="B295">
        <v>1</v>
      </c>
      <c r="C295">
        <v>2</v>
      </c>
      <c r="D295" t="s">
        <v>532</v>
      </c>
      <c r="E295" s="4">
        <f>LEN(D295)</f>
        <v>19</v>
      </c>
      <c r="F295" t="s">
        <v>14</v>
      </c>
      <c r="H295">
        <v>0</v>
      </c>
      <c r="I295">
        <v>0</v>
      </c>
      <c r="J295">
        <v>226593</v>
      </c>
      <c r="K295">
        <v>12.35</v>
      </c>
      <c r="L295" t="s">
        <v>454</v>
      </c>
      <c r="M295" s="6" t="str">
        <f t="shared" si="30"/>
        <v>101</v>
      </c>
      <c r="N295" s="7">
        <f t="shared" si="32"/>
        <v>101</v>
      </c>
      <c r="O295" t="str">
        <f t="shared" si="31"/>
        <v>22</v>
      </c>
      <c r="P295" s="4" t="str">
        <f>LEFT(L295,1)</f>
        <v>E</v>
      </c>
      <c r="Q295" t="s">
        <v>161</v>
      </c>
      <c r="U295" s="3" t="s">
        <v>1297</v>
      </c>
      <c r="V295" s="2">
        <v>1</v>
      </c>
      <c r="W295" s="2"/>
      <c r="X295" s="2">
        <v>1</v>
      </c>
      <c r="Z295" t="str">
        <f t="shared" si="33"/>
        <v>72</v>
      </c>
      <c r="AA295" s="5">
        <f t="shared" si="34"/>
        <v>0</v>
      </c>
      <c r="AB295">
        <f t="shared" si="35"/>
        <v>1</v>
      </c>
    </row>
    <row r="296" spans="1:35" hidden="1" x14ac:dyDescent="0.25">
      <c r="A296">
        <v>96</v>
      </c>
      <c r="B296">
        <v>0</v>
      </c>
      <c r="C296">
        <v>3</v>
      </c>
      <c r="D296" t="s">
        <v>936</v>
      </c>
      <c r="E296" s="4">
        <f>LEN(D296)</f>
        <v>27</v>
      </c>
      <c r="F296" t="s">
        <v>24</v>
      </c>
      <c r="H296">
        <v>0</v>
      </c>
      <c r="I296">
        <v>0</v>
      </c>
      <c r="J296">
        <v>374910</v>
      </c>
      <c r="K296">
        <v>8.0500000000000007</v>
      </c>
      <c r="M296" s="6" t="str">
        <f t="shared" si="30"/>
        <v/>
      </c>
      <c r="N296" s="7" t="str">
        <f t="shared" si="32"/>
        <v/>
      </c>
      <c r="O296" t="str">
        <f t="shared" si="31"/>
        <v>37</v>
      </c>
      <c r="P296" s="4" t="str">
        <f>LEFT(L296,1)</f>
        <v/>
      </c>
      <c r="Q296" t="s">
        <v>20</v>
      </c>
      <c r="U296" s="3" t="s">
        <v>1298</v>
      </c>
      <c r="V296" s="2">
        <v>7</v>
      </c>
      <c r="W296" s="2">
        <v>1</v>
      </c>
      <c r="X296" s="2">
        <v>8</v>
      </c>
      <c r="Z296" t="str">
        <f t="shared" si="33"/>
        <v>75</v>
      </c>
      <c r="AA296" s="5">
        <f t="shared" si="34"/>
        <v>0.125</v>
      </c>
      <c r="AB296">
        <f t="shared" si="35"/>
        <v>8</v>
      </c>
    </row>
    <row r="297" spans="1:35" hidden="1" x14ac:dyDescent="0.25">
      <c r="A297">
        <v>786</v>
      </c>
      <c r="B297">
        <v>0</v>
      </c>
      <c r="C297">
        <v>3</v>
      </c>
      <c r="D297" t="s">
        <v>1172</v>
      </c>
      <c r="E297" s="4">
        <f>LEN(D297)</f>
        <v>34</v>
      </c>
      <c r="F297" t="s">
        <v>24</v>
      </c>
      <c r="G297">
        <v>25</v>
      </c>
      <c r="H297">
        <v>0</v>
      </c>
      <c r="I297">
        <v>0</v>
      </c>
      <c r="J297">
        <v>374887</v>
      </c>
      <c r="K297">
        <v>7.25</v>
      </c>
      <c r="M297" s="6" t="str">
        <f t="shared" si="30"/>
        <v/>
      </c>
      <c r="N297" s="7" t="str">
        <f t="shared" si="32"/>
        <v/>
      </c>
      <c r="O297" t="str">
        <f t="shared" si="31"/>
        <v>37</v>
      </c>
      <c r="P297" s="4" t="str">
        <f>LEFT(L297,1)</f>
        <v/>
      </c>
      <c r="Q297" t="s">
        <v>20</v>
      </c>
      <c r="U297" s="3" t="s">
        <v>1299</v>
      </c>
      <c r="V297" s="2">
        <v>2</v>
      </c>
      <c r="W297" s="2"/>
      <c r="X297" s="2">
        <v>2</v>
      </c>
      <c r="Z297" t="str">
        <f t="shared" si="33"/>
        <v>84</v>
      </c>
      <c r="AA297" s="5">
        <f t="shared" si="34"/>
        <v>0</v>
      </c>
      <c r="AB297">
        <f t="shared" si="35"/>
        <v>2</v>
      </c>
    </row>
    <row r="298" spans="1:35" hidden="1" x14ac:dyDescent="0.25">
      <c r="A298">
        <v>78</v>
      </c>
      <c r="B298">
        <v>0</v>
      </c>
      <c r="C298">
        <v>3</v>
      </c>
      <c r="D298" t="s">
        <v>930</v>
      </c>
      <c r="E298" s="4">
        <f>LEN(D298)</f>
        <v>24</v>
      </c>
      <c r="F298" t="s">
        <v>24</v>
      </c>
      <c r="H298">
        <v>0</v>
      </c>
      <c r="I298">
        <v>0</v>
      </c>
      <c r="J298">
        <v>374746</v>
      </c>
      <c r="K298">
        <v>8.0500000000000007</v>
      </c>
      <c r="M298" s="6" t="str">
        <f t="shared" si="30"/>
        <v/>
      </c>
      <c r="N298" s="7" t="str">
        <f t="shared" si="32"/>
        <v/>
      </c>
      <c r="O298" t="str">
        <f t="shared" si="31"/>
        <v>37</v>
      </c>
      <c r="P298" s="4" t="str">
        <f>LEFT(L298,1)</f>
        <v/>
      </c>
      <c r="Q298" t="s">
        <v>20</v>
      </c>
      <c r="U298" s="3" t="s">
        <v>1292</v>
      </c>
      <c r="V298" s="2"/>
      <c r="W298" s="2">
        <v>1</v>
      </c>
      <c r="X298" s="2">
        <v>1</v>
      </c>
      <c r="Z298" t="str">
        <f t="shared" si="33"/>
        <v>92</v>
      </c>
      <c r="AA298" s="5">
        <f t="shared" si="34"/>
        <v>1</v>
      </c>
      <c r="AB298">
        <f t="shared" si="35"/>
        <v>1</v>
      </c>
      <c r="AG298" t="s">
        <v>1323</v>
      </c>
      <c r="AH298" t="s">
        <v>27</v>
      </c>
      <c r="AI298" t="s">
        <v>28</v>
      </c>
    </row>
    <row r="299" spans="1:35" hidden="1" x14ac:dyDescent="0.25">
      <c r="A299">
        <v>5</v>
      </c>
      <c r="B299">
        <v>0</v>
      </c>
      <c r="C299">
        <v>3</v>
      </c>
      <c r="D299" t="s">
        <v>658</v>
      </c>
      <c r="E299" s="4">
        <f>LEN(D299)</f>
        <v>24</v>
      </c>
      <c r="F299" t="s">
        <v>24</v>
      </c>
      <c r="G299">
        <v>35</v>
      </c>
      <c r="H299">
        <v>0</v>
      </c>
      <c r="I299">
        <v>0</v>
      </c>
      <c r="J299">
        <v>373450</v>
      </c>
      <c r="K299">
        <v>8.0500000000000007</v>
      </c>
      <c r="M299" s="6" t="str">
        <f t="shared" si="30"/>
        <v/>
      </c>
      <c r="N299" s="7" t="str">
        <f t="shared" si="32"/>
        <v/>
      </c>
      <c r="O299" t="str">
        <f t="shared" si="31"/>
        <v>37</v>
      </c>
      <c r="P299" s="4" t="str">
        <f>LEFT(L299,1)</f>
        <v/>
      </c>
      <c r="Q299" t="s">
        <v>20</v>
      </c>
      <c r="U299" s="3" t="s">
        <v>1300</v>
      </c>
      <c r="V299" s="2">
        <v>4</v>
      </c>
      <c r="W299" s="2"/>
      <c r="X299" s="2">
        <v>4</v>
      </c>
      <c r="Z299" t="str">
        <f t="shared" si="33"/>
        <v>A.</v>
      </c>
      <c r="AA299" s="5">
        <f t="shared" si="34"/>
        <v>0</v>
      </c>
      <c r="AB299">
        <f t="shared" si="35"/>
        <v>4</v>
      </c>
      <c r="AG299" t="s">
        <v>1310</v>
      </c>
      <c r="AH299">
        <v>0.65</v>
      </c>
      <c r="AI299">
        <v>60</v>
      </c>
    </row>
    <row r="300" spans="1:35" x14ac:dyDescent="0.25">
      <c r="A300">
        <v>540</v>
      </c>
      <c r="B300">
        <v>1</v>
      </c>
      <c r="C300">
        <v>1</v>
      </c>
      <c r="D300" t="s">
        <v>287</v>
      </c>
      <c r="E300" s="4">
        <f>LEN(D300)</f>
        <v>34</v>
      </c>
      <c r="F300" t="s">
        <v>14</v>
      </c>
      <c r="G300">
        <v>22</v>
      </c>
      <c r="H300">
        <v>0</v>
      </c>
      <c r="I300">
        <v>2</v>
      </c>
      <c r="J300">
        <v>13568</v>
      </c>
      <c r="K300">
        <v>49.5</v>
      </c>
      <c r="L300" t="s">
        <v>288</v>
      </c>
      <c r="M300" s="6" t="str">
        <f t="shared" si="30"/>
        <v>39</v>
      </c>
      <c r="N300" s="7">
        <f t="shared" si="32"/>
        <v>39</v>
      </c>
      <c r="O300" t="str">
        <f t="shared" si="31"/>
        <v>13</v>
      </c>
      <c r="P300" s="4" t="str">
        <f>LEFT(L300,1)</f>
        <v>B</v>
      </c>
      <c r="Q300" t="s">
        <v>17</v>
      </c>
      <c r="U300" s="3" t="s">
        <v>1301</v>
      </c>
      <c r="V300" s="2">
        <v>22</v>
      </c>
      <c r="W300" s="2">
        <v>2</v>
      </c>
      <c r="X300" s="2">
        <v>24</v>
      </c>
      <c r="Z300" t="str">
        <f t="shared" si="33"/>
        <v>A/</v>
      </c>
      <c r="AA300" s="5">
        <f t="shared" si="34"/>
        <v>8.3333333333333329E-2</v>
      </c>
      <c r="AB300">
        <f t="shared" si="35"/>
        <v>24</v>
      </c>
      <c r="AG300" t="s">
        <v>1304</v>
      </c>
      <c r="AH300">
        <v>0.4642857142857143</v>
      </c>
      <c r="AI300">
        <v>28</v>
      </c>
    </row>
    <row r="301" spans="1:35" x14ac:dyDescent="0.25">
      <c r="A301">
        <v>588</v>
      </c>
      <c r="B301">
        <v>1</v>
      </c>
      <c r="C301">
        <v>1</v>
      </c>
      <c r="D301" t="s">
        <v>312</v>
      </c>
      <c r="E301" s="4">
        <f>LEN(D301)</f>
        <v>32</v>
      </c>
      <c r="F301" t="s">
        <v>24</v>
      </c>
      <c r="G301">
        <v>60</v>
      </c>
      <c r="H301">
        <v>1</v>
      </c>
      <c r="I301">
        <v>1</v>
      </c>
      <c r="J301">
        <v>13567</v>
      </c>
      <c r="K301">
        <v>79.2</v>
      </c>
      <c r="L301" t="s">
        <v>313</v>
      </c>
      <c r="M301" s="6" t="str">
        <f t="shared" si="30"/>
        <v>41</v>
      </c>
      <c r="N301" s="7">
        <f t="shared" si="32"/>
        <v>41</v>
      </c>
      <c r="O301" t="str">
        <f t="shared" si="31"/>
        <v>13</v>
      </c>
      <c r="P301" s="4" t="str">
        <f>LEFT(L301,1)</f>
        <v>B</v>
      </c>
      <c r="Q301" t="s">
        <v>17</v>
      </c>
      <c r="U301" s="3" t="s">
        <v>1302</v>
      </c>
      <c r="V301" s="2">
        <v>1</v>
      </c>
      <c r="W301" s="2"/>
      <c r="X301" s="2">
        <v>1</v>
      </c>
      <c r="Z301" t="str">
        <f t="shared" si="33"/>
        <v>A4</v>
      </c>
      <c r="AA301" s="5">
        <f t="shared" si="34"/>
        <v>0</v>
      </c>
      <c r="AB301">
        <f t="shared" si="35"/>
        <v>1</v>
      </c>
      <c r="AG301" t="s">
        <v>1301</v>
      </c>
      <c r="AH301">
        <v>8.3333333333333329E-2</v>
      </c>
      <c r="AI301">
        <v>24</v>
      </c>
    </row>
    <row r="302" spans="1:35" hidden="1" x14ac:dyDescent="0.25">
      <c r="A302">
        <v>161</v>
      </c>
      <c r="B302">
        <v>0</v>
      </c>
      <c r="C302">
        <v>3</v>
      </c>
      <c r="D302" t="s">
        <v>757</v>
      </c>
      <c r="E302" s="4">
        <f>LEN(D302)</f>
        <v>24</v>
      </c>
      <c r="F302" t="s">
        <v>24</v>
      </c>
      <c r="G302">
        <v>44</v>
      </c>
      <c r="H302">
        <v>0</v>
      </c>
      <c r="I302">
        <v>1</v>
      </c>
      <c r="J302">
        <v>371362</v>
      </c>
      <c r="K302">
        <v>16.100000000000001</v>
      </c>
      <c r="M302" s="6" t="str">
        <f t="shared" si="30"/>
        <v/>
      </c>
      <c r="N302" s="7" t="str">
        <f t="shared" si="32"/>
        <v/>
      </c>
      <c r="O302" t="str">
        <f t="shared" si="31"/>
        <v>37</v>
      </c>
      <c r="P302" s="4" t="str">
        <f>LEFT(L302,1)</f>
        <v/>
      </c>
      <c r="Q302" t="s">
        <v>20</v>
      </c>
      <c r="U302" s="3" t="s">
        <v>1303</v>
      </c>
      <c r="V302" s="2">
        <v>3</v>
      </c>
      <c r="W302" s="2">
        <v>2</v>
      </c>
      <c r="X302" s="2">
        <v>5</v>
      </c>
      <c r="Z302" t="str">
        <f t="shared" si="33"/>
        <v xml:space="preserve">C </v>
      </c>
      <c r="AA302" s="5">
        <f t="shared" si="34"/>
        <v>0.4</v>
      </c>
      <c r="AB302">
        <f t="shared" si="35"/>
        <v>5</v>
      </c>
      <c r="AG302" t="s">
        <v>1314</v>
      </c>
      <c r="AH302">
        <v>0.16666666666666666</v>
      </c>
      <c r="AI302">
        <v>18</v>
      </c>
    </row>
    <row r="303" spans="1:35" hidden="1" x14ac:dyDescent="0.25">
      <c r="A303">
        <v>255</v>
      </c>
      <c r="B303">
        <v>0</v>
      </c>
      <c r="C303">
        <v>3</v>
      </c>
      <c r="D303" t="s">
        <v>819</v>
      </c>
      <c r="E303" s="4">
        <f>LEN(D303)</f>
        <v>40</v>
      </c>
      <c r="F303" t="s">
        <v>14</v>
      </c>
      <c r="G303">
        <v>41</v>
      </c>
      <c r="H303">
        <v>0</v>
      </c>
      <c r="I303">
        <v>2</v>
      </c>
      <c r="J303">
        <v>370129</v>
      </c>
      <c r="K303">
        <v>20.212499999999999</v>
      </c>
      <c r="M303" s="6" t="str">
        <f t="shared" si="30"/>
        <v/>
      </c>
      <c r="N303" s="7" t="str">
        <f t="shared" si="32"/>
        <v/>
      </c>
      <c r="O303" t="str">
        <f t="shared" si="31"/>
        <v>37</v>
      </c>
      <c r="P303" s="4" t="str">
        <f>LEFT(L303,1)</f>
        <v/>
      </c>
      <c r="Q303" t="s">
        <v>20</v>
      </c>
      <c r="U303" s="3" t="s">
        <v>1304</v>
      </c>
      <c r="V303" s="2">
        <v>15</v>
      </c>
      <c r="W303" s="2">
        <v>13</v>
      </c>
      <c r="X303" s="2">
        <v>28</v>
      </c>
      <c r="Z303" t="str">
        <f t="shared" si="33"/>
        <v>C.</v>
      </c>
      <c r="AA303" s="5">
        <f t="shared" si="34"/>
        <v>0.4642857142857143</v>
      </c>
      <c r="AB303">
        <f t="shared" si="35"/>
        <v>28</v>
      </c>
      <c r="AG303" t="s">
        <v>1315</v>
      </c>
      <c r="AH303">
        <v>0.44444444444444442</v>
      </c>
      <c r="AI303">
        <v>18</v>
      </c>
    </row>
    <row r="304" spans="1:35" hidden="1" x14ac:dyDescent="0.25">
      <c r="A304">
        <v>425</v>
      </c>
      <c r="B304">
        <v>0</v>
      </c>
      <c r="C304">
        <v>3</v>
      </c>
      <c r="D304" t="s">
        <v>929</v>
      </c>
      <c r="E304" s="4">
        <f>LEN(D304)</f>
        <v>27</v>
      </c>
      <c r="F304" t="s">
        <v>24</v>
      </c>
      <c r="G304">
        <v>18</v>
      </c>
      <c r="H304">
        <v>1</v>
      </c>
      <c r="I304">
        <v>1</v>
      </c>
      <c r="J304">
        <v>370129</v>
      </c>
      <c r="K304">
        <v>20.212499999999999</v>
      </c>
      <c r="M304" s="6" t="str">
        <f t="shared" si="30"/>
        <v/>
      </c>
      <c r="N304" s="7" t="str">
        <f t="shared" si="32"/>
        <v/>
      </c>
      <c r="O304" t="str">
        <f t="shared" si="31"/>
        <v>37</v>
      </c>
      <c r="P304" s="4" t="str">
        <f>LEFT(L304,1)</f>
        <v/>
      </c>
      <c r="Q304" t="s">
        <v>20</v>
      </c>
      <c r="U304" s="3" t="s">
        <v>1305</v>
      </c>
      <c r="V304" s="2">
        <v>13</v>
      </c>
      <c r="W304" s="2">
        <v>1</v>
      </c>
      <c r="X304" s="2">
        <v>14</v>
      </c>
      <c r="Z304" t="str">
        <f t="shared" si="33"/>
        <v>CA</v>
      </c>
      <c r="AA304" s="5">
        <f t="shared" si="34"/>
        <v>7.1428571428571425E-2</v>
      </c>
      <c r="AB304">
        <f t="shared" si="35"/>
        <v>14</v>
      </c>
      <c r="AG304" t="s">
        <v>1305</v>
      </c>
      <c r="AH304">
        <v>7.1428571428571425E-2</v>
      </c>
      <c r="AI304">
        <v>14</v>
      </c>
    </row>
    <row r="305" spans="1:35" hidden="1" x14ac:dyDescent="0.25">
      <c r="A305">
        <v>80</v>
      </c>
      <c r="B305">
        <v>1</v>
      </c>
      <c r="C305">
        <v>3</v>
      </c>
      <c r="D305" t="s">
        <v>708</v>
      </c>
      <c r="E305" s="4">
        <f>LEN(D305)</f>
        <v>24</v>
      </c>
      <c r="F305" t="s">
        <v>14</v>
      </c>
      <c r="G305">
        <v>30</v>
      </c>
      <c r="H305">
        <v>0</v>
      </c>
      <c r="I305">
        <v>0</v>
      </c>
      <c r="J305">
        <v>364516</v>
      </c>
      <c r="K305">
        <v>12.475</v>
      </c>
      <c r="M305" s="6" t="str">
        <f t="shared" si="30"/>
        <v/>
      </c>
      <c r="N305" s="7" t="str">
        <f t="shared" si="32"/>
        <v/>
      </c>
      <c r="O305" t="str">
        <f t="shared" si="31"/>
        <v>36</v>
      </c>
      <c r="P305" s="4" t="str">
        <f>LEFT(L305,1)</f>
        <v/>
      </c>
      <c r="Q305" t="s">
        <v>20</v>
      </c>
      <c r="U305" s="3" t="s">
        <v>1306</v>
      </c>
      <c r="V305" s="2">
        <v>2</v>
      </c>
      <c r="W305" s="2">
        <v>4</v>
      </c>
      <c r="X305" s="2">
        <v>6</v>
      </c>
      <c r="Z305" t="str">
        <f t="shared" si="33"/>
        <v>F.</v>
      </c>
      <c r="AA305" s="5">
        <f t="shared" si="34"/>
        <v>0.66666666666666663</v>
      </c>
      <c r="AB305">
        <f t="shared" si="35"/>
        <v>6</v>
      </c>
      <c r="AG305" t="s">
        <v>1312</v>
      </c>
      <c r="AH305">
        <v>0.14285714285714285</v>
      </c>
      <c r="AI305">
        <v>14</v>
      </c>
    </row>
    <row r="306" spans="1:35" hidden="1" x14ac:dyDescent="0.25">
      <c r="A306">
        <v>778</v>
      </c>
      <c r="B306">
        <v>1</v>
      </c>
      <c r="C306">
        <v>3</v>
      </c>
      <c r="D306" t="s">
        <v>1166</v>
      </c>
      <c r="E306" s="4">
        <f>LEN(D306)</f>
        <v>29</v>
      </c>
      <c r="F306" t="s">
        <v>14</v>
      </c>
      <c r="G306">
        <v>5</v>
      </c>
      <c r="H306">
        <v>0</v>
      </c>
      <c r="I306">
        <v>0</v>
      </c>
      <c r="J306">
        <v>364516</v>
      </c>
      <c r="K306">
        <v>12.475</v>
      </c>
      <c r="M306" s="6" t="str">
        <f t="shared" si="30"/>
        <v/>
      </c>
      <c r="N306" s="7" t="str">
        <f t="shared" si="32"/>
        <v/>
      </c>
      <c r="O306" t="str">
        <f t="shared" si="31"/>
        <v>36</v>
      </c>
      <c r="P306" s="4" t="str">
        <f>LEFT(L306,1)</f>
        <v/>
      </c>
      <c r="Q306" t="s">
        <v>20</v>
      </c>
      <c r="U306" s="3" t="s">
        <v>1307</v>
      </c>
      <c r="V306" s="2">
        <v>1</v>
      </c>
      <c r="W306" s="2"/>
      <c r="X306" s="2">
        <v>1</v>
      </c>
      <c r="Z306" t="str">
        <f t="shared" si="33"/>
        <v>Fa</v>
      </c>
      <c r="AA306" s="5">
        <f t="shared" si="34"/>
        <v>0</v>
      </c>
      <c r="AB306">
        <f t="shared" si="35"/>
        <v>1</v>
      </c>
      <c r="AG306" t="s">
        <v>1313</v>
      </c>
      <c r="AH306">
        <v>0.5</v>
      </c>
      <c r="AI306">
        <v>14</v>
      </c>
    </row>
    <row r="307" spans="1:35" hidden="1" x14ac:dyDescent="0.25">
      <c r="A307">
        <v>615</v>
      </c>
      <c r="B307">
        <v>0</v>
      </c>
      <c r="C307">
        <v>3</v>
      </c>
      <c r="D307" t="s">
        <v>1060</v>
      </c>
      <c r="E307" s="4">
        <f>LEN(D307)</f>
        <v>31</v>
      </c>
      <c r="F307" t="s">
        <v>24</v>
      </c>
      <c r="G307">
        <v>35</v>
      </c>
      <c r="H307">
        <v>0</v>
      </c>
      <c r="I307">
        <v>0</v>
      </c>
      <c r="J307">
        <v>364512</v>
      </c>
      <c r="K307">
        <v>8.0500000000000007</v>
      </c>
      <c r="M307" s="6" t="str">
        <f t="shared" si="30"/>
        <v/>
      </c>
      <c r="N307" s="7" t="str">
        <f t="shared" si="32"/>
        <v/>
      </c>
      <c r="O307" t="str">
        <f t="shared" si="31"/>
        <v>36</v>
      </c>
      <c r="P307" s="4" t="str">
        <f>LEFT(L307,1)</f>
        <v/>
      </c>
      <c r="Q307" t="s">
        <v>20</v>
      </c>
      <c r="U307" s="3" t="s">
        <v>1308</v>
      </c>
      <c r="V307" s="2">
        <v>3</v>
      </c>
      <c r="W307" s="2">
        <v>1</v>
      </c>
      <c r="X307" s="2">
        <v>4</v>
      </c>
      <c r="Z307" t="str">
        <f t="shared" si="33"/>
        <v>LI</v>
      </c>
      <c r="AA307" s="5">
        <f t="shared" si="34"/>
        <v>0.25</v>
      </c>
      <c r="AB307">
        <f t="shared" si="35"/>
        <v>4</v>
      </c>
      <c r="AG307" t="s">
        <v>1317</v>
      </c>
      <c r="AH307">
        <v>0.1</v>
      </c>
      <c r="AI307">
        <v>10</v>
      </c>
    </row>
    <row r="308" spans="1:35" hidden="1" x14ac:dyDescent="0.25">
      <c r="A308">
        <v>604</v>
      </c>
      <c r="B308">
        <v>0</v>
      </c>
      <c r="C308">
        <v>3</v>
      </c>
      <c r="D308" t="s">
        <v>1052</v>
      </c>
      <c r="E308" s="4">
        <f>LEN(D308)</f>
        <v>25</v>
      </c>
      <c r="F308" t="s">
        <v>24</v>
      </c>
      <c r="G308">
        <v>44</v>
      </c>
      <c r="H308">
        <v>0</v>
      </c>
      <c r="I308">
        <v>0</v>
      </c>
      <c r="J308">
        <v>364511</v>
      </c>
      <c r="K308">
        <v>8.0500000000000007</v>
      </c>
      <c r="M308" s="6" t="str">
        <f t="shared" si="30"/>
        <v/>
      </c>
      <c r="N308" s="7" t="str">
        <f t="shared" si="32"/>
        <v/>
      </c>
      <c r="O308" t="str">
        <f t="shared" si="31"/>
        <v>36</v>
      </c>
      <c r="P308" s="4" t="str">
        <f>LEFT(L308,1)</f>
        <v/>
      </c>
      <c r="Q308" t="s">
        <v>20</v>
      </c>
      <c r="U308" s="3" t="s">
        <v>1309</v>
      </c>
      <c r="V308" s="2">
        <v>1</v>
      </c>
      <c r="W308" s="2">
        <v>1</v>
      </c>
      <c r="X308" s="2">
        <v>2</v>
      </c>
      <c r="Z308" t="str">
        <f t="shared" si="33"/>
        <v>P/</v>
      </c>
      <c r="AA308" s="5">
        <f t="shared" si="34"/>
        <v>0.5</v>
      </c>
      <c r="AB308">
        <f t="shared" si="35"/>
        <v>2</v>
      </c>
      <c r="AG308" t="s">
        <v>1306</v>
      </c>
      <c r="AH308">
        <v>0.66666666666666663</v>
      </c>
      <c r="AI308">
        <v>6</v>
      </c>
    </row>
    <row r="309" spans="1:35" hidden="1" x14ac:dyDescent="0.25">
      <c r="A309">
        <v>462</v>
      </c>
      <c r="B309">
        <v>0</v>
      </c>
      <c r="C309">
        <v>3</v>
      </c>
      <c r="D309" t="s">
        <v>953</v>
      </c>
      <c r="E309" s="4">
        <f>LEN(D309)</f>
        <v>19</v>
      </c>
      <c r="F309" t="s">
        <v>24</v>
      </c>
      <c r="G309">
        <v>34</v>
      </c>
      <c r="H309">
        <v>0</v>
      </c>
      <c r="I309">
        <v>0</v>
      </c>
      <c r="J309">
        <v>364506</v>
      </c>
      <c r="K309">
        <v>8.0500000000000007</v>
      </c>
      <c r="M309" s="6" t="str">
        <f t="shared" si="30"/>
        <v/>
      </c>
      <c r="N309" s="7" t="str">
        <f t="shared" si="32"/>
        <v/>
      </c>
      <c r="O309" t="str">
        <f t="shared" si="31"/>
        <v>36</v>
      </c>
      <c r="P309" s="4" t="str">
        <f>LEFT(L309,1)</f>
        <v/>
      </c>
      <c r="Q309" t="s">
        <v>20</v>
      </c>
      <c r="U309" s="3" t="s">
        <v>1310</v>
      </c>
      <c r="V309" s="2">
        <v>21</v>
      </c>
      <c r="W309" s="2">
        <v>39</v>
      </c>
      <c r="X309" s="2">
        <v>60</v>
      </c>
      <c r="Z309" t="str">
        <f t="shared" si="33"/>
        <v>PC</v>
      </c>
      <c r="AA309" s="5">
        <f t="shared" si="34"/>
        <v>0.65</v>
      </c>
      <c r="AB309">
        <f t="shared" si="35"/>
        <v>60</v>
      </c>
      <c r="AG309" t="s">
        <v>1303</v>
      </c>
      <c r="AH309">
        <v>0.4</v>
      </c>
      <c r="AI309">
        <v>5</v>
      </c>
    </row>
    <row r="310" spans="1:35" hidden="1" x14ac:dyDescent="0.25">
      <c r="A310">
        <v>95</v>
      </c>
      <c r="B310">
        <v>0</v>
      </c>
      <c r="C310">
        <v>3</v>
      </c>
      <c r="D310" t="s">
        <v>719</v>
      </c>
      <c r="E310" s="4">
        <f>LEN(D310)</f>
        <v>17</v>
      </c>
      <c r="F310" t="s">
        <v>24</v>
      </c>
      <c r="G310">
        <v>59</v>
      </c>
      <c r="H310">
        <v>0</v>
      </c>
      <c r="I310">
        <v>0</v>
      </c>
      <c r="J310">
        <v>364500</v>
      </c>
      <c r="K310">
        <v>7.25</v>
      </c>
      <c r="M310" s="6" t="str">
        <f t="shared" si="30"/>
        <v/>
      </c>
      <c r="N310" s="7" t="str">
        <f t="shared" si="32"/>
        <v/>
      </c>
      <c r="O310" t="str">
        <f t="shared" si="31"/>
        <v>36</v>
      </c>
      <c r="P310" s="4" t="str">
        <f>LEFT(L310,1)</f>
        <v/>
      </c>
      <c r="Q310" t="s">
        <v>20</v>
      </c>
      <c r="U310" s="3" t="s">
        <v>1311</v>
      </c>
      <c r="V310" s="2">
        <v>1</v>
      </c>
      <c r="W310" s="2">
        <v>2</v>
      </c>
      <c r="X310" s="2">
        <v>3</v>
      </c>
      <c r="Z310" t="str">
        <f t="shared" si="33"/>
        <v>PP</v>
      </c>
      <c r="AA310" s="5">
        <f t="shared" si="34"/>
        <v>0.66666666666666663</v>
      </c>
      <c r="AB310">
        <f t="shared" si="35"/>
        <v>3</v>
      </c>
      <c r="AG310" t="s">
        <v>1300</v>
      </c>
      <c r="AH310">
        <v>0</v>
      </c>
      <c r="AI310">
        <v>4</v>
      </c>
    </row>
    <row r="311" spans="1:35" hidden="1" x14ac:dyDescent="0.25">
      <c r="A311">
        <v>815</v>
      </c>
      <c r="B311">
        <v>0</v>
      </c>
      <c r="C311">
        <v>3</v>
      </c>
      <c r="D311" t="s">
        <v>1190</v>
      </c>
      <c r="E311" s="4">
        <f>LEN(D311)</f>
        <v>26</v>
      </c>
      <c r="F311" t="s">
        <v>24</v>
      </c>
      <c r="G311">
        <v>30.5</v>
      </c>
      <c r="H311">
        <v>0</v>
      </c>
      <c r="I311">
        <v>0</v>
      </c>
      <c r="J311">
        <v>364499</v>
      </c>
      <c r="K311">
        <v>8.0500000000000007</v>
      </c>
      <c r="M311" s="6" t="str">
        <f t="shared" si="30"/>
        <v/>
      </c>
      <c r="N311" s="7" t="str">
        <f t="shared" si="32"/>
        <v/>
      </c>
      <c r="O311" t="str">
        <f t="shared" si="31"/>
        <v>36</v>
      </c>
      <c r="P311" s="4" t="str">
        <f>LEFT(L311,1)</f>
        <v/>
      </c>
      <c r="Q311" t="s">
        <v>20</v>
      </c>
      <c r="U311" s="3" t="s">
        <v>1312</v>
      </c>
      <c r="V311" s="2">
        <v>12</v>
      </c>
      <c r="W311" s="2">
        <v>2</v>
      </c>
      <c r="X311" s="2">
        <v>14</v>
      </c>
      <c r="Z311" t="str">
        <f t="shared" si="33"/>
        <v>S.</v>
      </c>
      <c r="AA311" s="5">
        <f t="shared" si="34"/>
        <v>0.14285714285714285</v>
      </c>
      <c r="AB311">
        <f t="shared" si="35"/>
        <v>14</v>
      </c>
      <c r="AG311" t="s">
        <v>1308</v>
      </c>
      <c r="AH311">
        <v>0.25</v>
      </c>
      <c r="AI311">
        <v>4</v>
      </c>
    </row>
    <row r="312" spans="1:35" hidden="1" x14ac:dyDescent="0.25">
      <c r="A312">
        <v>539</v>
      </c>
      <c r="B312">
        <v>0</v>
      </c>
      <c r="C312">
        <v>3</v>
      </c>
      <c r="D312" t="s">
        <v>878</v>
      </c>
      <c r="E312" s="4">
        <f>LEN(D312)</f>
        <v>24</v>
      </c>
      <c r="F312" t="s">
        <v>24</v>
      </c>
      <c r="H312">
        <v>0</v>
      </c>
      <c r="I312">
        <v>0</v>
      </c>
      <c r="J312">
        <v>364498</v>
      </c>
      <c r="K312">
        <v>14.5</v>
      </c>
      <c r="M312" s="6" t="str">
        <f t="shared" si="30"/>
        <v/>
      </c>
      <c r="N312" s="7" t="str">
        <f t="shared" si="32"/>
        <v/>
      </c>
      <c r="O312" t="str">
        <f t="shared" si="31"/>
        <v>36</v>
      </c>
      <c r="P312" s="4" t="str">
        <f>LEFT(L312,1)</f>
        <v/>
      </c>
      <c r="Q312" t="s">
        <v>20</v>
      </c>
      <c r="U312" s="3" t="s">
        <v>1313</v>
      </c>
      <c r="V312" s="2">
        <v>7</v>
      </c>
      <c r="W312" s="2">
        <v>7</v>
      </c>
      <c r="X312" s="2">
        <v>14</v>
      </c>
      <c r="Z312" t="str">
        <f t="shared" si="33"/>
        <v>SC</v>
      </c>
      <c r="AA312" s="5">
        <f t="shared" si="34"/>
        <v>0.5</v>
      </c>
      <c r="AB312">
        <f t="shared" si="35"/>
        <v>14</v>
      </c>
      <c r="AG312" t="s">
        <v>1311</v>
      </c>
      <c r="AH312">
        <v>0.66666666666666663</v>
      </c>
      <c r="AI312">
        <v>3</v>
      </c>
    </row>
    <row r="313" spans="1:35" hidden="1" x14ac:dyDescent="0.25">
      <c r="A313">
        <v>697</v>
      </c>
      <c r="B313">
        <v>0</v>
      </c>
      <c r="C313">
        <v>3</v>
      </c>
      <c r="D313" t="s">
        <v>1112</v>
      </c>
      <c r="E313" s="4">
        <f>LEN(D313)</f>
        <v>16</v>
      </c>
      <c r="F313" t="s">
        <v>24</v>
      </c>
      <c r="G313">
        <v>44</v>
      </c>
      <c r="H313">
        <v>0</v>
      </c>
      <c r="I313">
        <v>0</v>
      </c>
      <c r="J313">
        <v>363592</v>
      </c>
      <c r="K313">
        <v>8.0500000000000007</v>
      </c>
      <c r="M313" s="6" t="str">
        <f t="shared" si="30"/>
        <v/>
      </c>
      <c r="N313" s="7" t="str">
        <f t="shared" si="32"/>
        <v/>
      </c>
      <c r="O313" t="str">
        <f t="shared" si="31"/>
        <v>36</v>
      </c>
      <c r="P313" s="4" t="str">
        <f>LEFT(L313,1)</f>
        <v/>
      </c>
      <c r="Q313" t="s">
        <v>20</v>
      </c>
      <c r="U313" s="3" t="s">
        <v>1314</v>
      </c>
      <c r="V313" s="2">
        <v>15</v>
      </c>
      <c r="W313" s="2">
        <v>3</v>
      </c>
      <c r="X313" s="2">
        <v>18</v>
      </c>
      <c r="Z313" t="str">
        <f t="shared" si="33"/>
        <v>SO</v>
      </c>
      <c r="AA313" s="5">
        <f t="shared" si="34"/>
        <v>0.16666666666666666</v>
      </c>
      <c r="AB313">
        <f t="shared" si="35"/>
        <v>18</v>
      </c>
      <c r="AG313" t="s">
        <v>1309</v>
      </c>
      <c r="AH313">
        <v>0.5</v>
      </c>
      <c r="AI313">
        <v>2</v>
      </c>
    </row>
    <row r="314" spans="1:35" hidden="1" x14ac:dyDescent="0.25">
      <c r="A314">
        <v>759</v>
      </c>
      <c r="B314">
        <v>0</v>
      </c>
      <c r="C314">
        <v>3</v>
      </c>
      <c r="D314" t="s">
        <v>1151</v>
      </c>
      <c r="E314" s="4">
        <f>LEN(D314)</f>
        <v>28</v>
      </c>
      <c r="F314" t="s">
        <v>24</v>
      </c>
      <c r="G314">
        <v>34</v>
      </c>
      <c r="H314">
        <v>0</v>
      </c>
      <c r="I314">
        <v>0</v>
      </c>
      <c r="J314">
        <v>363294</v>
      </c>
      <c r="K314">
        <v>8.0500000000000007</v>
      </c>
      <c r="M314" s="6" t="str">
        <f t="shared" si="30"/>
        <v/>
      </c>
      <c r="N314" s="7" t="str">
        <f t="shared" si="32"/>
        <v/>
      </c>
      <c r="O314" t="str">
        <f t="shared" si="31"/>
        <v>36</v>
      </c>
      <c r="P314" s="4" t="str">
        <f>LEFT(L314,1)</f>
        <v/>
      </c>
      <c r="Q314" t="s">
        <v>20</v>
      </c>
      <c r="U314" s="3" t="s">
        <v>1315</v>
      </c>
      <c r="V314" s="2">
        <v>10</v>
      </c>
      <c r="W314" s="2">
        <v>8</v>
      </c>
      <c r="X314" s="2">
        <v>18</v>
      </c>
      <c r="Z314" t="str">
        <f t="shared" si="33"/>
        <v>ST</v>
      </c>
      <c r="AA314" s="5">
        <f t="shared" si="34"/>
        <v>0.44444444444444442</v>
      </c>
      <c r="AB314">
        <f t="shared" si="35"/>
        <v>18</v>
      </c>
      <c r="AG314" t="s">
        <v>1319</v>
      </c>
      <c r="AH314">
        <v>0.5</v>
      </c>
      <c r="AI314">
        <v>2</v>
      </c>
    </row>
    <row r="315" spans="1:35" hidden="1" x14ac:dyDescent="0.25">
      <c r="A315">
        <v>166</v>
      </c>
      <c r="B315">
        <v>1</v>
      </c>
      <c r="C315">
        <v>3</v>
      </c>
      <c r="D315" t="s">
        <v>761</v>
      </c>
      <c r="E315" s="4">
        <f>LEN(D315)</f>
        <v>47</v>
      </c>
      <c r="F315" t="s">
        <v>24</v>
      </c>
      <c r="G315">
        <v>9</v>
      </c>
      <c r="H315">
        <v>0</v>
      </c>
      <c r="I315">
        <v>2</v>
      </c>
      <c r="J315">
        <v>363291</v>
      </c>
      <c r="K315">
        <v>20.524999999999999</v>
      </c>
      <c r="M315" s="6" t="str">
        <f t="shared" si="30"/>
        <v/>
      </c>
      <c r="N315" s="7" t="str">
        <f t="shared" si="32"/>
        <v/>
      </c>
      <c r="O315" t="str">
        <f t="shared" si="31"/>
        <v>36</v>
      </c>
      <c r="P315" s="4" t="str">
        <f>LEFT(L315,1)</f>
        <v/>
      </c>
      <c r="Q315" t="s">
        <v>20</v>
      </c>
      <c r="U315" s="3" t="s">
        <v>1316</v>
      </c>
      <c r="V315" s="2"/>
      <c r="W315" s="2">
        <v>1</v>
      </c>
      <c r="X315" s="2">
        <v>1</v>
      </c>
      <c r="Z315" t="str">
        <f t="shared" si="33"/>
        <v>SW</v>
      </c>
      <c r="AA315" s="5">
        <f t="shared" si="34"/>
        <v>1</v>
      </c>
      <c r="AB315">
        <f t="shared" si="35"/>
        <v>1</v>
      </c>
      <c r="AG315" t="s">
        <v>1302</v>
      </c>
      <c r="AH315">
        <v>0</v>
      </c>
      <c r="AI315">
        <v>1</v>
      </c>
    </row>
    <row r="316" spans="1:35" x14ac:dyDescent="0.25">
      <c r="A316">
        <v>633</v>
      </c>
      <c r="B316">
        <v>1</v>
      </c>
      <c r="C316">
        <v>1</v>
      </c>
      <c r="D316" t="s">
        <v>328</v>
      </c>
      <c r="E316" s="4">
        <f>LEN(D316)</f>
        <v>25</v>
      </c>
      <c r="F316" t="s">
        <v>24</v>
      </c>
      <c r="G316">
        <v>32</v>
      </c>
      <c r="H316">
        <v>0</v>
      </c>
      <c r="I316">
        <v>0</v>
      </c>
      <c r="J316">
        <v>13214</v>
      </c>
      <c r="K316">
        <v>30.5</v>
      </c>
      <c r="L316" t="s">
        <v>329</v>
      </c>
      <c r="M316" s="6" t="str">
        <f t="shared" si="30"/>
        <v>50</v>
      </c>
      <c r="N316" s="7">
        <f t="shared" si="32"/>
        <v>50</v>
      </c>
      <c r="O316" t="str">
        <f t="shared" si="31"/>
        <v>13</v>
      </c>
      <c r="P316" s="4" t="str">
        <f>LEFT(L316,1)</f>
        <v>B</v>
      </c>
      <c r="Q316" t="s">
        <v>17</v>
      </c>
      <c r="U316" s="3" t="s">
        <v>1317</v>
      </c>
      <c r="V316" s="2">
        <v>9</v>
      </c>
      <c r="W316" s="2">
        <v>1</v>
      </c>
      <c r="X316" s="2">
        <v>10</v>
      </c>
      <c r="Z316" t="str">
        <f t="shared" si="33"/>
        <v>W.</v>
      </c>
      <c r="AA316" s="5">
        <f t="shared" si="34"/>
        <v>0.1</v>
      </c>
      <c r="AB316">
        <f t="shared" si="35"/>
        <v>10</v>
      </c>
      <c r="AG316" t="s">
        <v>1307</v>
      </c>
      <c r="AH316">
        <v>0</v>
      </c>
      <c r="AI316">
        <v>1</v>
      </c>
    </row>
    <row r="317" spans="1:35" hidden="1" x14ac:dyDescent="0.25">
      <c r="A317">
        <v>329</v>
      </c>
      <c r="B317">
        <v>1</v>
      </c>
      <c r="C317">
        <v>3</v>
      </c>
      <c r="D317" t="s">
        <v>864</v>
      </c>
      <c r="E317" s="4">
        <f>LEN(D317)</f>
        <v>46</v>
      </c>
      <c r="F317" t="s">
        <v>14</v>
      </c>
      <c r="G317">
        <v>31</v>
      </c>
      <c r="H317">
        <v>1</v>
      </c>
      <c r="I317">
        <v>1</v>
      </c>
      <c r="J317">
        <v>363291</v>
      </c>
      <c r="K317">
        <v>20.524999999999999</v>
      </c>
      <c r="M317" s="6" t="str">
        <f t="shared" si="30"/>
        <v/>
      </c>
      <c r="N317" s="7" t="str">
        <f t="shared" si="32"/>
        <v/>
      </c>
      <c r="O317" t="str">
        <f t="shared" si="31"/>
        <v>36</v>
      </c>
      <c r="P317" s="4" t="str">
        <f>LEFT(L317,1)</f>
        <v/>
      </c>
      <c r="Q317" t="s">
        <v>20</v>
      </c>
      <c r="U317" s="3" t="s">
        <v>1318</v>
      </c>
      <c r="V317" s="2">
        <v>1</v>
      </c>
      <c r="W317" s="2"/>
      <c r="X317" s="2">
        <v>1</v>
      </c>
      <c r="Z317" t="str">
        <f t="shared" si="33"/>
        <v>W/</v>
      </c>
      <c r="AA317" s="5">
        <f t="shared" si="34"/>
        <v>0</v>
      </c>
      <c r="AB317">
        <f t="shared" si="35"/>
        <v>1</v>
      </c>
      <c r="AG317" t="s">
        <v>1316</v>
      </c>
      <c r="AH317">
        <v>1</v>
      </c>
      <c r="AI317">
        <v>1</v>
      </c>
    </row>
    <row r="318" spans="1:35" hidden="1" x14ac:dyDescent="0.25">
      <c r="A318">
        <v>549</v>
      </c>
      <c r="B318">
        <v>0</v>
      </c>
      <c r="C318">
        <v>3</v>
      </c>
      <c r="D318" t="s">
        <v>1015</v>
      </c>
      <c r="E318" s="4">
        <f>LEN(D318)</f>
        <v>25</v>
      </c>
      <c r="F318" t="s">
        <v>24</v>
      </c>
      <c r="G318">
        <v>33</v>
      </c>
      <c r="H318">
        <v>1</v>
      </c>
      <c r="I318">
        <v>1</v>
      </c>
      <c r="J318">
        <v>363291</v>
      </c>
      <c r="K318">
        <v>20.524999999999999</v>
      </c>
      <c r="M318" s="6" t="str">
        <f t="shared" si="30"/>
        <v/>
      </c>
      <c r="N318" s="7" t="str">
        <f t="shared" si="32"/>
        <v/>
      </c>
      <c r="O318" t="str">
        <f t="shared" si="31"/>
        <v>36</v>
      </c>
      <c r="P318" s="4" t="str">
        <f>LEFT(L318,1)</f>
        <v/>
      </c>
      <c r="Q318" t="s">
        <v>20</v>
      </c>
      <c r="U318" s="3" t="s">
        <v>1319</v>
      </c>
      <c r="V318" s="2">
        <v>1</v>
      </c>
      <c r="W318" s="2">
        <v>1</v>
      </c>
      <c r="X318" s="2">
        <v>2</v>
      </c>
      <c r="Z318" t="str">
        <f t="shared" si="33"/>
        <v>WE</v>
      </c>
      <c r="AA318" s="5">
        <f t="shared" si="34"/>
        <v>0.5</v>
      </c>
      <c r="AB318">
        <f t="shared" si="35"/>
        <v>2</v>
      </c>
      <c r="AG318" t="s">
        <v>1318</v>
      </c>
      <c r="AH318">
        <v>0</v>
      </c>
      <c r="AI318">
        <v>1</v>
      </c>
    </row>
    <row r="319" spans="1:35" x14ac:dyDescent="0.25">
      <c r="A319">
        <v>648</v>
      </c>
      <c r="B319">
        <v>1</v>
      </c>
      <c r="C319">
        <v>1</v>
      </c>
      <c r="D319" t="s">
        <v>332</v>
      </c>
      <c r="E319" s="4">
        <f>LEN(D319)</f>
        <v>35</v>
      </c>
      <c r="F319" t="s">
        <v>24</v>
      </c>
      <c r="G319">
        <v>56</v>
      </c>
      <c r="H319">
        <v>0</v>
      </c>
      <c r="I319">
        <v>0</v>
      </c>
      <c r="J319">
        <v>13213</v>
      </c>
      <c r="K319">
        <v>35.5</v>
      </c>
      <c r="L319" t="s">
        <v>333</v>
      </c>
      <c r="M319" s="6" t="str">
        <f t="shared" si="30"/>
        <v>26</v>
      </c>
      <c r="N319" s="7">
        <f t="shared" si="32"/>
        <v>26</v>
      </c>
      <c r="O319" t="str">
        <f t="shared" si="31"/>
        <v>13</v>
      </c>
      <c r="P319" s="4" t="str">
        <f>LEFT(L319,1)</f>
        <v>A</v>
      </c>
      <c r="Q319" t="s">
        <v>17</v>
      </c>
      <c r="U319" s="3" t="s">
        <v>80</v>
      </c>
      <c r="V319" s="2">
        <v>549</v>
      </c>
      <c r="W319" s="2">
        <v>342</v>
      </c>
      <c r="X319" s="2">
        <v>891</v>
      </c>
    </row>
    <row r="320" spans="1:35" hidden="1" x14ac:dyDescent="0.25">
      <c r="A320">
        <v>251</v>
      </c>
      <c r="B320">
        <v>0</v>
      </c>
      <c r="C320">
        <v>3</v>
      </c>
      <c r="D320" t="s">
        <v>1137</v>
      </c>
      <c r="E320" s="4">
        <f>LEN(D320)</f>
        <v>22</v>
      </c>
      <c r="F320" t="s">
        <v>24</v>
      </c>
      <c r="H320">
        <v>0</v>
      </c>
      <c r="I320">
        <v>0</v>
      </c>
      <c r="J320">
        <v>362316</v>
      </c>
      <c r="K320">
        <v>7.25</v>
      </c>
      <c r="M320" s="6" t="str">
        <f t="shared" si="30"/>
        <v/>
      </c>
      <c r="N320" s="7" t="str">
        <f t="shared" si="32"/>
        <v/>
      </c>
      <c r="O320" t="str">
        <f t="shared" si="31"/>
        <v>36</v>
      </c>
      <c r="P320" s="4" t="str">
        <f>LEFT(L320,1)</f>
        <v/>
      </c>
      <c r="Q320" t="s">
        <v>20</v>
      </c>
    </row>
    <row r="321" spans="1:17" hidden="1" x14ac:dyDescent="0.25">
      <c r="A321">
        <v>761</v>
      </c>
      <c r="B321">
        <v>0</v>
      </c>
      <c r="C321">
        <v>3</v>
      </c>
      <c r="D321" t="s">
        <v>880</v>
      </c>
      <c r="E321" s="4">
        <f>LEN(D321)</f>
        <v>18</v>
      </c>
      <c r="F321" t="s">
        <v>24</v>
      </c>
      <c r="H321">
        <v>0</v>
      </c>
      <c r="I321">
        <v>0</v>
      </c>
      <c r="J321">
        <v>358585</v>
      </c>
      <c r="K321">
        <v>14.5</v>
      </c>
      <c r="M321" s="6" t="str">
        <f t="shared" si="30"/>
        <v/>
      </c>
      <c r="N321" s="7" t="str">
        <f t="shared" si="32"/>
        <v/>
      </c>
      <c r="O321" t="str">
        <f t="shared" si="31"/>
        <v>35</v>
      </c>
      <c r="P321" s="4" t="str">
        <f>LEFT(L321,1)</f>
        <v/>
      </c>
      <c r="Q321" t="s">
        <v>20</v>
      </c>
    </row>
    <row r="322" spans="1:17" hidden="1" x14ac:dyDescent="0.25">
      <c r="A322">
        <v>576</v>
      </c>
      <c r="B322">
        <v>0</v>
      </c>
      <c r="C322">
        <v>3</v>
      </c>
      <c r="D322" t="s">
        <v>1034</v>
      </c>
      <c r="E322" s="4">
        <f>LEN(D322)</f>
        <v>20</v>
      </c>
      <c r="F322" t="s">
        <v>24</v>
      </c>
      <c r="G322">
        <v>19</v>
      </c>
      <c r="H322">
        <v>0</v>
      </c>
      <c r="I322">
        <v>0</v>
      </c>
      <c r="J322">
        <v>358585</v>
      </c>
      <c r="K322">
        <v>14.5</v>
      </c>
      <c r="M322" s="6" t="str">
        <f t="shared" si="30"/>
        <v/>
      </c>
      <c r="N322" s="7" t="str">
        <f t="shared" si="32"/>
        <v/>
      </c>
      <c r="O322" t="str">
        <f t="shared" si="31"/>
        <v>35</v>
      </c>
      <c r="P322" s="4" t="str">
        <f>LEFT(L322,1)</f>
        <v/>
      </c>
      <c r="Q322" t="s">
        <v>20</v>
      </c>
    </row>
    <row r="323" spans="1:17" hidden="1" x14ac:dyDescent="0.25">
      <c r="A323">
        <v>570</v>
      </c>
      <c r="B323">
        <v>1</v>
      </c>
      <c r="C323">
        <v>3</v>
      </c>
      <c r="D323" t="s">
        <v>1030</v>
      </c>
      <c r="E323" s="4">
        <f>LEN(D323)</f>
        <v>17</v>
      </c>
      <c r="F323" t="s">
        <v>24</v>
      </c>
      <c r="G323">
        <v>32</v>
      </c>
      <c r="H323">
        <v>0</v>
      </c>
      <c r="I323">
        <v>0</v>
      </c>
      <c r="J323">
        <v>350417</v>
      </c>
      <c r="K323">
        <v>7.8541999999999996</v>
      </c>
      <c r="M323" s="6" t="str">
        <f t="shared" ref="M323:M386" si="36">IF(LEN(L323)&gt;3,RIGHT((LEFT(L323,4)),3),IF(LEN(L323)=3,RIGHT(L323,2),RIGHT(L323,1)))</f>
        <v/>
      </c>
      <c r="N323" s="7" t="str">
        <f t="shared" si="32"/>
        <v/>
      </c>
      <c r="O323" t="str">
        <f t="shared" ref="O323:O386" si="37">LEFT(J323,2)</f>
        <v>35</v>
      </c>
      <c r="P323" s="4" t="str">
        <f>LEFT(L323,1)</f>
        <v/>
      </c>
      <c r="Q323" t="s">
        <v>20</v>
      </c>
    </row>
    <row r="324" spans="1:17" hidden="1" x14ac:dyDescent="0.25">
      <c r="A324">
        <v>397</v>
      </c>
      <c r="B324">
        <v>0</v>
      </c>
      <c r="C324">
        <v>3</v>
      </c>
      <c r="D324" t="s">
        <v>906</v>
      </c>
      <c r="E324" s="4">
        <f>LEN(D324)</f>
        <v>19</v>
      </c>
      <c r="F324" t="s">
        <v>14</v>
      </c>
      <c r="G324">
        <v>31</v>
      </c>
      <c r="H324">
        <v>0</v>
      </c>
      <c r="I324">
        <v>0</v>
      </c>
      <c r="J324">
        <v>350407</v>
      </c>
      <c r="K324">
        <v>7.8541999999999996</v>
      </c>
      <c r="M324" s="6" t="str">
        <f t="shared" si="36"/>
        <v/>
      </c>
      <c r="N324" s="7" t="str">
        <f t="shared" ref="N324:N387" si="38">IF(LEN(M324)&gt;1, M324+0,"")</f>
        <v/>
      </c>
      <c r="O324" t="str">
        <f t="shared" si="37"/>
        <v>35</v>
      </c>
      <c r="P324" s="4" t="str">
        <f>LEFT(L324,1)</f>
        <v/>
      </c>
      <c r="Q324" t="s">
        <v>20</v>
      </c>
    </row>
    <row r="325" spans="1:17" hidden="1" x14ac:dyDescent="0.25">
      <c r="A325">
        <v>15</v>
      </c>
      <c r="B325">
        <v>0</v>
      </c>
      <c r="C325">
        <v>3</v>
      </c>
      <c r="D325" t="s">
        <v>667</v>
      </c>
      <c r="E325" s="4">
        <f>LEN(D325)</f>
        <v>36</v>
      </c>
      <c r="F325" t="s">
        <v>14</v>
      </c>
      <c r="G325">
        <v>14</v>
      </c>
      <c r="H325">
        <v>0</v>
      </c>
      <c r="I325">
        <v>0</v>
      </c>
      <c r="J325">
        <v>350406</v>
      </c>
      <c r="K325">
        <v>7.8541999999999996</v>
      </c>
      <c r="M325" s="6" t="str">
        <f t="shared" si="36"/>
        <v/>
      </c>
      <c r="N325" s="7" t="str">
        <f t="shared" si="38"/>
        <v/>
      </c>
      <c r="O325" t="str">
        <f t="shared" si="37"/>
        <v>35</v>
      </c>
      <c r="P325" s="4" t="str">
        <f>LEFT(L325,1)</f>
        <v/>
      </c>
      <c r="Q325" t="s">
        <v>20</v>
      </c>
    </row>
    <row r="326" spans="1:17" hidden="1" x14ac:dyDescent="0.25">
      <c r="A326">
        <v>176</v>
      </c>
      <c r="B326">
        <v>0</v>
      </c>
      <c r="C326">
        <v>3</v>
      </c>
      <c r="D326" t="s">
        <v>768</v>
      </c>
      <c r="E326" s="4">
        <f>LEN(D326)</f>
        <v>22</v>
      </c>
      <c r="F326" t="s">
        <v>24</v>
      </c>
      <c r="G326">
        <v>18</v>
      </c>
      <c r="H326">
        <v>1</v>
      </c>
      <c r="I326">
        <v>1</v>
      </c>
      <c r="J326">
        <v>350404</v>
      </c>
      <c r="K326">
        <v>7.8541999999999996</v>
      </c>
      <c r="M326" s="6" t="str">
        <f t="shared" si="36"/>
        <v/>
      </c>
      <c r="N326" s="7" t="str">
        <f t="shared" si="38"/>
        <v/>
      </c>
      <c r="O326" t="str">
        <f t="shared" si="37"/>
        <v>35</v>
      </c>
      <c r="P326" s="4" t="str">
        <f>LEFT(L326,1)</f>
        <v/>
      </c>
      <c r="Q326" t="s">
        <v>20</v>
      </c>
    </row>
    <row r="327" spans="1:17" hidden="1" x14ac:dyDescent="0.25">
      <c r="A327">
        <v>479</v>
      </c>
      <c r="B327">
        <v>0</v>
      </c>
      <c r="C327">
        <v>3</v>
      </c>
      <c r="D327" t="s">
        <v>969</v>
      </c>
      <c r="E327" s="4">
        <f>LEN(D327)</f>
        <v>25</v>
      </c>
      <c r="F327" t="s">
        <v>24</v>
      </c>
      <c r="G327">
        <v>22</v>
      </c>
      <c r="H327">
        <v>0</v>
      </c>
      <c r="I327">
        <v>0</v>
      </c>
      <c r="J327">
        <v>350060</v>
      </c>
      <c r="K327">
        <v>7.5208000000000004</v>
      </c>
      <c r="M327" s="6" t="str">
        <f t="shared" si="36"/>
        <v/>
      </c>
      <c r="N327" s="7" t="str">
        <f t="shared" si="38"/>
        <v/>
      </c>
      <c r="O327" t="str">
        <f t="shared" si="37"/>
        <v>35</v>
      </c>
      <c r="P327" s="4" t="str">
        <f>LEFT(L327,1)</f>
        <v/>
      </c>
      <c r="Q327" t="s">
        <v>20</v>
      </c>
    </row>
    <row r="328" spans="1:17" hidden="1" x14ac:dyDescent="0.25">
      <c r="A328">
        <v>396</v>
      </c>
      <c r="B328">
        <v>0</v>
      </c>
      <c r="C328">
        <v>3</v>
      </c>
      <c r="D328" t="s">
        <v>905</v>
      </c>
      <c r="E328" s="4">
        <f>LEN(D328)</f>
        <v>19</v>
      </c>
      <c r="F328" t="s">
        <v>24</v>
      </c>
      <c r="G328">
        <v>22</v>
      </c>
      <c r="H328">
        <v>0</v>
      </c>
      <c r="I328">
        <v>0</v>
      </c>
      <c r="J328">
        <v>350052</v>
      </c>
      <c r="K328">
        <v>7.7957999999999998</v>
      </c>
      <c r="M328" s="6" t="str">
        <f t="shared" si="36"/>
        <v/>
      </c>
      <c r="N328" s="7" t="str">
        <f t="shared" si="38"/>
        <v/>
      </c>
      <c r="O328" t="str">
        <f t="shared" si="37"/>
        <v>35</v>
      </c>
      <c r="P328" s="4" t="str">
        <f>LEFT(L328,1)</f>
        <v/>
      </c>
      <c r="Q328" t="s">
        <v>20</v>
      </c>
    </row>
    <row r="329" spans="1:17" hidden="1" x14ac:dyDescent="0.25">
      <c r="A329">
        <v>641</v>
      </c>
      <c r="B329">
        <v>0</v>
      </c>
      <c r="C329">
        <v>3</v>
      </c>
      <c r="D329" t="s">
        <v>1076</v>
      </c>
      <c r="E329" s="4">
        <f>LEN(D329)</f>
        <v>22</v>
      </c>
      <c r="F329" t="s">
        <v>24</v>
      </c>
      <c r="G329">
        <v>20</v>
      </c>
      <c r="H329">
        <v>0</v>
      </c>
      <c r="I329">
        <v>0</v>
      </c>
      <c r="J329">
        <v>350050</v>
      </c>
      <c r="K329">
        <v>7.8541999999999996</v>
      </c>
      <c r="M329" s="6" t="str">
        <f t="shared" si="36"/>
        <v/>
      </c>
      <c r="N329" s="7" t="str">
        <f t="shared" si="38"/>
        <v/>
      </c>
      <c r="O329" t="str">
        <f t="shared" si="37"/>
        <v>35</v>
      </c>
      <c r="P329" s="4" t="str">
        <f>LEFT(L329,1)</f>
        <v/>
      </c>
      <c r="Q329" t="s">
        <v>20</v>
      </c>
    </row>
    <row r="330" spans="1:17" x14ac:dyDescent="0.25">
      <c r="A330">
        <v>584</v>
      </c>
      <c r="B330">
        <v>0</v>
      </c>
      <c r="C330">
        <v>1</v>
      </c>
      <c r="D330" t="s">
        <v>308</v>
      </c>
      <c r="E330" s="4">
        <f>LEN(D330)</f>
        <v>19</v>
      </c>
      <c r="F330" t="s">
        <v>24</v>
      </c>
      <c r="G330">
        <v>36</v>
      </c>
      <c r="H330">
        <v>0</v>
      </c>
      <c r="I330">
        <v>0</v>
      </c>
      <c r="J330">
        <v>13049</v>
      </c>
      <c r="K330">
        <v>40.125</v>
      </c>
      <c r="L330" t="s">
        <v>309</v>
      </c>
      <c r="M330" s="6" t="str">
        <f t="shared" si="36"/>
        <v>10</v>
      </c>
      <c r="N330" s="7">
        <f t="shared" si="38"/>
        <v>10</v>
      </c>
      <c r="O330" t="str">
        <f t="shared" si="37"/>
        <v>13</v>
      </c>
      <c r="P330" s="4" t="str">
        <f>LEFT(L330,1)</f>
        <v>A</v>
      </c>
      <c r="Q330" t="s">
        <v>17</v>
      </c>
    </row>
    <row r="331" spans="1:17" hidden="1" x14ac:dyDescent="0.25">
      <c r="A331">
        <v>722</v>
      </c>
      <c r="B331">
        <v>0</v>
      </c>
      <c r="C331">
        <v>3</v>
      </c>
      <c r="D331" t="s">
        <v>1126</v>
      </c>
      <c r="E331" s="4">
        <f>LEN(D331)</f>
        <v>25</v>
      </c>
      <c r="F331" t="s">
        <v>24</v>
      </c>
      <c r="G331">
        <v>17</v>
      </c>
      <c r="H331">
        <v>1</v>
      </c>
      <c r="I331">
        <v>0</v>
      </c>
      <c r="J331">
        <v>350048</v>
      </c>
      <c r="K331">
        <v>7.0541999999999998</v>
      </c>
      <c r="M331" s="6" t="str">
        <f t="shared" si="36"/>
        <v/>
      </c>
      <c r="N331" s="7" t="str">
        <f t="shared" si="38"/>
        <v/>
      </c>
      <c r="O331" t="str">
        <f t="shared" si="37"/>
        <v>35</v>
      </c>
      <c r="P331" s="4" t="str">
        <f>LEFT(L331,1)</f>
        <v/>
      </c>
      <c r="Q331" t="s">
        <v>20</v>
      </c>
    </row>
    <row r="332" spans="1:17" hidden="1" x14ac:dyDescent="0.25">
      <c r="A332">
        <v>772</v>
      </c>
      <c r="B332">
        <v>0</v>
      </c>
      <c r="C332">
        <v>3</v>
      </c>
      <c r="D332" t="s">
        <v>1162</v>
      </c>
      <c r="E332" s="4">
        <f>LEN(D332)</f>
        <v>23</v>
      </c>
      <c r="F332" t="s">
        <v>24</v>
      </c>
      <c r="G332">
        <v>48</v>
      </c>
      <c r="H332">
        <v>0</v>
      </c>
      <c r="I332">
        <v>0</v>
      </c>
      <c r="J332">
        <v>350047</v>
      </c>
      <c r="K332">
        <v>7.8541999999999996</v>
      </c>
      <c r="M332" s="6" t="str">
        <f t="shared" si="36"/>
        <v/>
      </c>
      <c r="N332" s="7" t="str">
        <f t="shared" si="38"/>
        <v/>
      </c>
      <c r="O332" t="str">
        <f t="shared" si="37"/>
        <v>35</v>
      </c>
      <c r="P332" s="4" t="str">
        <f>LEFT(L332,1)</f>
        <v/>
      </c>
      <c r="Q332" t="s">
        <v>20</v>
      </c>
    </row>
    <row r="333" spans="1:17" hidden="1" x14ac:dyDescent="0.25">
      <c r="A333">
        <v>193</v>
      </c>
      <c r="B333">
        <v>1</v>
      </c>
      <c r="C333">
        <v>3</v>
      </c>
      <c r="D333" t="s">
        <v>775</v>
      </c>
      <c r="E333" s="4">
        <f>LEN(D333)</f>
        <v>47</v>
      </c>
      <c r="F333" t="s">
        <v>14</v>
      </c>
      <c r="G333">
        <v>19</v>
      </c>
      <c r="H333">
        <v>1</v>
      </c>
      <c r="I333">
        <v>0</v>
      </c>
      <c r="J333">
        <v>350046</v>
      </c>
      <c r="K333">
        <v>7.8541999999999996</v>
      </c>
      <c r="M333" s="6" t="str">
        <f t="shared" si="36"/>
        <v/>
      </c>
      <c r="N333" s="7" t="str">
        <f t="shared" si="38"/>
        <v/>
      </c>
      <c r="O333" t="str">
        <f t="shared" si="37"/>
        <v>35</v>
      </c>
      <c r="P333" s="4" t="str">
        <f>LEFT(L333,1)</f>
        <v/>
      </c>
      <c r="Q333" t="s">
        <v>20</v>
      </c>
    </row>
    <row r="334" spans="1:17" hidden="1" x14ac:dyDescent="0.25">
      <c r="A334">
        <v>147</v>
      </c>
      <c r="B334">
        <v>1</v>
      </c>
      <c r="C334">
        <v>3</v>
      </c>
      <c r="D334" t="s">
        <v>748</v>
      </c>
      <c r="E334" s="4">
        <f>LEN(D334)</f>
        <v>44</v>
      </c>
      <c r="F334" t="s">
        <v>24</v>
      </c>
      <c r="G334">
        <v>27</v>
      </c>
      <c r="H334">
        <v>0</v>
      </c>
      <c r="I334">
        <v>0</v>
      </c>
      <c r="J334">
        <v>350043</v>
      </c>
      <c r="K334">
        <v>7.7957999999999998</v>
      </c>
      <c r="M334" s="6" t="str">
        <f t="shared" si="36"/>
        <v/>
      </c>
      <c r="N334" s="7" t="str">
        <f t="shared" si="38"/>
        <v/>
      </c>
      <c r="O334" t="str">
        <f t="shared" si="37"/>
        <v>35</v>
      </c>
      <c r="P334" s="4" t="str">
        <f>LEFT(L334,1)</f>
        <v/>
      </c>
      <c r="Q334" t="s">
        <v>20</v>
      </c>
    </row>
    <row r="335" spans="1:17" hidden="1" x14ac:dyDescent="0.25">
      <c r="A335">
        <v>757</v>
      </c>
      <c r="B335">
        <v>0</v>
      </c>
      <c r="C335">
        <v>3</v>
      </c>
      <c r="D335" t="s">
        <v>1150</v>
      </c>
      <c r="E335" s="4">
        <f>LEN(D335)</f>
        <v>28</v>
      </c>
      <c r="F335" t="s">
        <v>24</v>
      </c>
      <c r="G335">
        <v>28</v>
      </c>
      <c r="H335">
        <v>0</v>
      </c>
      <c r="I335">
        <v>0</v>
      </c>
      <c r="J335">
        <v>350042</v>
      </c>
      <c r="K335">
        <v>7.7957999999999998</v>
      </c>
      <c r="M335" s="6" t="str">
        <f t="shared" si="36"/>
        <v/>
      </c>
      <c r="N335" s="7" t="str">
        <f t="shared" si="38"/>
        <v/>
      </c>
      <c r="O335" t="str">
        <f t="shared" si="37"/>
        <v>35</v>
      </c>
      <c r="P335" s="4" t="str">
        <f>LEFT(L335,1)</f>
        <v/>
      </c>
      <c r="Q335" t="s">
        <v>20</v>
      </c>
    </row>
    <row r="336" spans="1:17" hidden="1" x14ac:dyDescent="0.25">
      <c r="A336">
        <v>689</v>
      </c>
      <c r="B336">
        <v>0</v>
      </c>
      <c r="C336">
        <v>3</v>
      </c>
      <c r="D336" t="s">
        <v>1108</v>
      </c>
      <c r="E336" s="4">
        <f>LEN(D336)</f>
        <v>31</v>
      </c>
      <c r="F336" t="s">
        <v>24</v>
      </c>
      <c r="G336">
        <v>18</v>
      </c>
      <c r="H336">
        <v>0</v>
      </c>
      <c r="I336">
        <v>0</v>
      </c>
      <c r="J336">
        <v>350036</v>
      </c>
      <c r="K336">
        <v>7.7957999999999998</v>
      </c>
      <c r="M336" s="6" t="str">
        <f t="shared" si="36"/>
        <v/>
      </c>
      <c r="N336" s="7" t="str">
        <f t="shared" si="38"/>
        <v/>
      </c>
      <c r="O336" t="str">
        <f t="shared" si="37"/>
        <v>35</v>
      </c>
      <c r="P336" s="4" t="str">
        <f>LEFT(L336,1)</f>
        <v/>
      </c>
      <c r="Q336" t="s">
        <v>20</v>
      </c>
    </row>
    <row r="337" spans="1:17" hidden="1" x14ac:dyDescent="0.25">
      <c r="A337">
        <v>500</v>
      </c>
      <c r="B337">
        <v>0</v>
      </c>
      <c r="C337">
        <v>3</v>
      </c>
      <c r="D337" t="s">
        <v>987</v>
      </c>
      <c r="E337" s="4">
        <f>LEN(D337)</f>
        <v>18</v>
      </c>
      <c r="F337" t="s">
        <v>24</v>
      </c>
      <c r="G337">
        <v>24</v>
      </c>
      <c r="H337">
        <v>0</v>
      </c>
      <c r="I337">
        <v>0</v>
      </c>
      <c r="J337">
        <v>350035</v>
      </c>
      <c r="K337">
        <v>7.7957999999999998</v>
      </c>
      <c r="M337" s="6" t="str">
        <f t="shared" si="36"/>
        <v/>
      </c>
      <c r="N337" s="7" t="str">
        <f t="shared" si="38"/>
        <v/>
      </c>
      <c r="O337" t="str">
        <f t="shared" si="37"/>
        <v>35</v>
      </c>
      <c r="P337" s="4" t="str">
        <f>LEFT(L337,1)</f>
        <v/>
      </c>
      <c r="Q337" t="s">
        <v>20</v>
      </c>
    </row>
    <row r="338" spans="1:17" hidden="1" x14ac:dyDescent="0.25">
      <c r="A338">
        <v>392</v>
      </c>
      <c r="B338">
        <v>1</v>
      </c>
      <c r="C338">
        <v>3</v>
      </c>
      <c r="D338" t="s">
        <v>902</v>
      </c>
      <c r="E338" s="4">
        <f>LEN(D338)</f>
        <v>22</v>
      </c>
      <c r="F338" t="s">
        <v>24</v>
      </c>
      <c r="G338">
        <v>21</v>
      </c>
      <c r="H338">
        <v>0</v>
      </c>
      <c r="I338">
        <v>0</v>
      </c>
      <c r="J338">
        <v>350034</v>
      </c>
      <c r="K338">
        <v>7.7957999999999998</v>
      </c>
      <c r="M338" s="6" t="str">
        <f t="shared" si="36"/>
        <v/>
      </c>
      <c r="N338" s="7" t="str">
        <f t="shared" si="38"/>
        <v/>
      </c>
      <c r="O338" t="str">
        <f t="shared" si="37"/>
        <v>35</v>
      </c>
      <c r="P338" s="4" t="str">
        <f>LEFT(L338,1)</f>
        <v/>
      </c>
      <c r="Q338" t="s">
        <v>20</v>
      </c>
    </row>
    <row r="339" spans="1:17" x14ac:dyDescent="0.25">
      <c r="A339">
        <v>292</v>
      </c>
      <c r="B339">
        <v>1</v>
      </c>
      <c r="C339">
        <v>1</v>
      </c>
      <c r="D339" t="s">
        <v>188</v>
      </c>
      <c r="E339" s="4">
        <f>LEN(D339)</f>
        <v>39</v>
      </c>
      <c r="F339" t="s">
        <v>14</v>
      </c>
      <c r="G339">
        <v>19</v>
      </c>
      <c r="H339">
        <v>1</v>
      </c>
      <c r="I339">
        <v>0</v>
      </c>
      <c r="J339">
        <v>11967</v>
      </c>
      <c r="K339">
        <v>91.0792</v>
      </c>
      <c r="L339" t="s">
        <v>189</v>
      </c>
      <c r="M339" s="6" t="str">
        <f t="shared" si="36"/>
        <v>49</v>
      </c>
      <c r="N339" s="7">
        <f t="shared" si="38"/>
        <v>49</v>
      </c>
      <c r="O339" t="str">
        <f t="shared" si="37"/>
        <v>11</v>
      </c>
      <c r="P339" s="4" t="str">
        <f>LEFT(L339,1)</f>
        <v>B</v>
      </c>
      <c r="Q339" t="s">
        <v>17</v>
      </c>
    </row>
    <row r="340" spans="1:17" hidden="1" x14ac:dyDescent="0.25">
      <c r="A340">
        <v>624</v>
      </c>
      <c r="B340">
        <v>0</v>
      </c>
      <c r="C340">
        <v>3</v>
      </c>
      <c r="D340" t="s">
        <v>1065</v>
      </c>
      <c r="E340" s="4">
        <f>LEN(D340)</f>
        <v>27</v>
      </c>
      <c r="F340" t="s">
        <v>24</v>
      </c>
      <c r="G340">
        <v>21</v>
      </c>
      <c r="H340">
        <v>0</v>
      </c>
      <c r="I340">
        <v>0</v>
      </c>
      <c r="J340">
        <v>350029</v>
      </c>
      <c r="K340">
        <v>7.8541999999999996</v>
      </c>
      <c r="M340" s="6" t="str">
        <f t="shared" si="36"/>
        <v/>
      </c>
      <c r="N340" s="7" t="str">
        <f t="shared" si="38"/>
        <v/>
      </c>
      <c r="O340" t="str">
        <f t="shared" si="37"/>
        <v>35</v>
      </c>
      <c r="P340" s="4" t="str">
        <f>LEFT(L340,1)</f>
        <v/>
      </c>
      <c r="Q340" t="s">
        <v>20</v>
      </c>
    </row>
    <row r="341" spans="1:17" hidden="1" x14ac:dyDescent="0.25">
      <c r="A341">
        <v>861</v>
      </c>
      <c r="B341">
        <v>0</v>
      </c>
      <c r="C341">
        <v>3</v>
      </c>
      <c r="D341" t="s">
        <v>1223</v>
      </c>
      <c r="E341" s="4">
        <f>LEN(D341)</f>
        <v>23</v>
      </c>
      <c r="F341" t="s">
        <v>24</v>
      </c>
      <c r="G341">
        <v>41</v>
      </c>
      <c r="H341">
        <v>2</v>
      </c>
      <c r="I341">
        <v>0</v>
      </c>
      <c r="J341">
        <v>350026</v>
      </c>
      <c r="K341">
        <v>14.1083</v>
      </c>
      <c r="M341" s="6" t="str">
        <f t="shared" si="36"/>
        <v/>
      </c>
      <c r="N341" s="7" t="str">
        <f t="shared" si="38"/>
        <v/>
      </c>
      <c r="O341" t="str">
        <f t="shared" si="37"/>
        <v>35</v>
      </c>
      <c r="P341" s="4" t="str">
        <f>LEFT(L341,1)</f>
        <v/>
      </c>
      <c r="Q341" t="s">
        <v>20</v>
      </c>
    </row>
    <row r="342" spans="1:17" hidden="1" x14ac:dyDescent="0.25">
      <c r="A342">
        <v>705</v>
      </c>
      <c r="B342">
        <v>0</v>
      </c>
      <c r="C342">
        <v>3</v>
      </c>
      <c r="D342" t="s">
        <v>1118</v>
      </c>
      <c r="E342" s="4">
        <f>LEN(D342)</f>
        <v>23</v>
      </c>
      <c r="F342" t="s">
        <v>24</v>
      </c>
      <c r="G342">
        <v>26</v>
      </c>
      <c r="H342">
        <v>1</v>
      </c>
      <c r="I342">
        <v>0</v>
      </c>
      <c r="J342">
        <v>350025</v>
      </c>
      <c r="K342">
        <v>7.8541999999999996</v>
      </c>
      <c r="M342" s="6" t="str">
        <f t="shared" si="36"/>
        <v/>
      </c>
      <c r="N342" s="7" t="str">
        <f t="shared" si="38"/>
        <v/>
      </c>
      <c r="O342" t="str">
        <f t="shared" si="37"/>
        <v>35</v>
      </c>
      <c r="P342" s="4" t="str">
        <f>LEFT(L342,1)</f>
        <v/>
      </c>
      <c r="Q342" t="s">
        <v>20</v>
      </c>
    </row>
    <row r="343" spans="1:17" hidden="1" x14ac:dyDescent="0.25">
      <c r="A343">
        <v>676</v>
      </c>
      <c r="B343">
        <v>0</v>
      </c>
      <c r="C343">
        <v>3</v>
      </c>
      <c r="D343" t="s">
        <v>1099</v>
      </c>
      <c r="E343" s="4">
        <f>LEN(D343)</f>
        <v>30</v>
      </c>
      <c r="F343" t="s">
        <v>24</v>
      </c>
      <c r="G343">
        <v>18</v>
      </c>
      <c r="H343">
        <v>0</v>
      </c>
      <c r="I343">
        <v>0</v>
      </c>
      <c r="J343">
        <v>349912</v>
      </c>
      <c r="K343">
        <v>7.7750000000000004</v>
      </c>
      <c r="M343" s="6" t="str">
        <f t="shared" si="36"/>
        <v/>
      </c>
      <c r="N343" s="7" t="str">
        <f t="shared" si="38"/>
        <v/>
      </c>
      <c r="O343" t="str">
        <f t="shared" si="37"/>
        <v>34</v>
      </c>
      <c r="P343" s="4" t="str">
        <f>LEFT(L343,1)</f>
        <v/>
      </c>
      <c r="Q343" t="s">
        <v>20</v>
      </c>
    </row>
    <row r="344" spans="1:17" x14ac:dyDescent="0.25">
      <c r="A344">
        <v>485</v>
      </c>
      <c r="B344">
        <v>1</v>
      </c>
      <c r="C344">
        <v>1</v>
      </c>
      <c r="D344" t="s">
        <v>259</v>
      </c>
      <c r="E344" s="4">
        <f>LEN(D344)</f>
        <v>23</v>
      </c>
      <c r="F344" t="s">
        <v>24</v>
      </c>
      <c r="G344">
        <v>25</v>
      </c>
      <c r="H344">
        <v>1</v>
      </c>
      <c r="I344">
        <v>0</v>
      </c>
      <c r="J344">
        <v>11967</v>
      </c>
      <c r="K344">
        <v>91.0792</v>
      </c>
      <c r="L344" t="s">
        <v>189</v>
      </c>
      <c r="M344" s="6" t="str">
        <f t="shared" si="36"/>
        <v>49</v>
      </c>
      <c r="N344" s="7">
        <f t="shared" si="38"/>
        <v>49</v>
      </c>
      <c r="O344" t="str">
        <f t="shared" si="37"/>
        <v>11</v>
      </c>
      <c r="P344" s="4" t="str">
        <f>LEFT(L344,1)</f>
        <v>B</v>
      </c>
      <c r="Q344" t="s">
        <v>17</v>
      </c>
    </row>
    <row r="345" spans="1:17" hidden="1" x14ac:dyDescent="0.25">
      <c r="A345">
        <v>606</v>
      </c>
      <c r="B345">
        <v>0</v>
      </c>
      <c r="C345">
        <v>3</v>
      </c>
      <c r="D345" t="s">
        <v>1053</v>
      </c>
      <c r="E345" s="4">
        <f>LEN(D345)</f>
        <v>29</v>
      </c>
      <c r="F345" t="s">
        <v>24</v>
      </c>
      <c r="G345">
        <v>36</v>
      </c>
      <c r="H345">
        <v>1</v>
      </c>
      <c r="I345">
        <v>0</v>
      </c>
      <c r="J345">
        <v>349910</v>
      </c>
      <c r="K345">
        <v>15.55</v>
      </c>
      <c r="M345" s="6" t="str">
        <f t="shared" si="36"/>
        <v/>
      </c>
      <c r="N345" s="7" t="str">
        <f t="shared" si="38"/>
        <v/>
      </c>
      <c r="O345" t="str">
        <f t="shared" si="37"/>
        <v>34</v>
      </c>
      <c r="P345" s="4" t="str">
        <f>LEFT(L345,1)</f>
        <v/>
      </c>
      <c r="Q345" t="s">
        <v>20</v>
      </c>
    </row>
    <row r="346" spans="1:17" x14ac:dyDescent="0.25">
      <c r="A346">
        <v>219</v>
      </c>
      <c r="B346">
        <v>1</v>
      </c>
      <c r="C346">
        <v>1</v>
      </c>
      <c r="D346" t="s">
        <v>154</v>
      </c>
      <c r="E346" s="4">
        <f>LEN(D346)</f>
        <v>21</v>
      </c>
      <c r="F346" t="s">
        <v>14</v>
      </c>
      <c r="G346">
        <v>32</v>
      </c>
      <c r="H346">
        <v>0</v>
      </c>
      <c r="I346">
        <v>0</v>
      </c>
      <c r="J346">
        <v>11813</v>
      </c>
      <c r="K346">
        <v>76.291700000000006</v>
      </c>
      <c r="L346" t="s">
        <v>155</v>
      </c>
      <c r="M346" s="6" t="str">
        <f t="shared" si="36"/>
        <v>15</v>
      </c>
      <c r="N346" s="7">
        <f t="shared" si="38"/>
        <v>15</v>
      </c>
      <c r="O346" t="str">
        <f t="shared" si="37"/>
        <v>11</v>
      </c>
      <c r="P346" s="4" t="str">
        <f>LEFT(L346,1)</f>
        <v>D</v>
      </c>
      <c r="Q346" t="s">
        <v>17</v>
      </c>
    </row>
    <row r="347" spans="1:17" hidden="1" x14ac:dyDescent="0.25">
      <c r="A347">
        <v>8</v>
      </c>
      <c r="B347">
        <v>0</v>
      </c>
      <c r="C347">
        <v>3</v>
      </c>
      <c r="D347" t="s">
        <v>659</v>
      </c>
      <c r="E347" s="4">
        <f>LEN(D347)</f>
        <v>30</v>
      </c>
      <c r="F347" t="s">
        <v>24</v>
      </c>
      <c r="G347">
        <v>2</v>
      </c>
      <c r="H347">
        <v>3</v>
      </c>
      <c r="I347">
        <v>1</v>
      </c>
      <c r="J347">
        <v>349909</v>
      </c>
      <c r="K347">
        <v>21.074999999999999</v>
      </c>
      <c r="M347" s="6" t="str">
        <f t="shared" si="36"/>
        <v/>
      </c>
      <c r="N347" s="7" t="str">
        <f t="shared" si="38"/>
        <v/>
      </c>
      <c r="O347" t="str">
        <f t="shared" si="37"/>
        <v>34</v>
      </c>
      <c r="P347" s="4" t="str">
        <f>LEFT(L347,1)</f>
        <v/>
      </c>
      <c r="Q347" t="s">
        <v>20</v>
      </c>
    </row>
    <row r="348" spans="1:17" hidden="1" x14ac:dyDescent="0.25">
      <c r="A348">
        <v>25</v>
      </c>
      <c r="B348">
        <v>0</v>
      </c>
      <c r="C348">
        <v>3</v>
      </c>
      <c r="D348" t="s">
        <v>671</v>
      </c>
      <c r="E348" s="4">
        <f>LEN(D348)</f>
        <v>29</v>
      </c>
      <c r="F348" t="s">
        <v>14</v>
      </c>
      <c r="G348">
        <v>8</v>
      </c>
      <c r="H348">
        <v>3</v>
      </c>
      <c r="I348">
        <v>1</v>
      </c>
      <c r="J348">
        <v>349909</v>
      </c>
      <c r="K348">
        <v>21.074999999999999</v>
      </c>
      <c r="M348" s="6" t="str">
        <f t="shared" si="36"/>
        <v/>
      </c>
      <c r="N348" s="7" t="str">
        <f t="shared" si="38"/>
        <v/>
      </c>
      <c r="O348" t="str">
        <f t="shared" si="37"/>
        <v>34</v>
      </c>
      <c r="P348" s="4" t="str">
        <f>LEFT(L348,1)</f>
        <v/>
      </c>
      <c r="Q348" t="s">
        <v>20</v>
      </c>
    </row>
    <row r="349" spans="1:17" hidden="1" x14ac:dyDescent="0.25">
      <c r="A349">
        <v>627</v>
      </c>
      <c r="B349">
        <v>0</v>
      </c>
      <c r="C349">
        <v>2</v>
      </c>
      <c r="D349" t="s">
        <v>590</v>
      </c>
      <c r="E349" s="4">
        <f>LEN(D349)</f>
        <v>30</v>
      </c>
      <c r="F349" t="s">
        <v>24</v>
      </c>
      <c r="G349">
        <v>57</v>
      </c>
      <c r="H349">
        <v>0</v>
      </c>
      <c r="I349">
        <v>0</v>
      </c>
      <c r="J349">
        <v>219533</v>
      </c>
      <c r="K349">
        <v>12.35</v>
      </c>
      <c r="M349" s="6" t="str">
        <f t="shared" si="36"/>
        <v/>
      </c>
      <c r="N349" s="7" t="str">
        <f t="shared" si="38"/>
        <v/>
      </c>
      <c r="O349" t="str">
        <f t="shared" si="37"/>
        <v>21</v>
      </c>
      <c r="P349" s="4" t="str">
        <f>LEFT(L349,1)</f>
        <v/>
      </c>
      <c r="Q349" t="s">
        <v>161</v>
      </c>
    </row>
    <row r="350" spans="1:17" hidden="1" x14ac:dyDescent="0.25">
      <c r="A350">
        <v>375</v>
      </c>
      <c r="B350">
        <v>0</v>
      </c>
      <c r="C350">
        <v>3</v>
      </c>
      <c r="D350" t="s">
        <v>892</v>
      </c>
      <c r="E350" s="4">
        <f>LEN(D350)</f>
        <v>26</v>
      </c>
      <c r="F350" t="s">
        <v>14</v>
      </c>
      <c r="G350">
        <v>3</v>
      </c>
      <c r="H350">
        <v>3</v>
      </c>
      <c r="I350">
        <v>1</v>
      </c>
      <c r="J350">
        <v>349909</v>
      </c>
      <c r="K350">
        <v>21.074999999999999</v>
      </c>
      <c r="M350" s="6" t="str">
        <f t="shared" si="36"/>
        <v/>
      </c>
      <c r="N350" s="7" t="str">
        <f t="shared" si="38"/>
        <v/>
      </c>
      <c r="O350" t="str">
        <f t="shared" si="37"/>
        <v>34</v>
      </c>
      <c r="P350" s="4" t="str">
        <f>LEFT(L350,1)</f>
        <v/>
      </c>
      <c r="Q350" t="s">
        <v>20</v>
      </c>
    </row>
    <row r="351" spans="1:17" hidden="1" x14ac:dyDescent="0.25">
      <c r="A351">
        <v>568</v>
      </c>
      <c r="B351">
        <v>0</v>
      </c>
      <c r="C351">
        <v>3</v>
      </c>
      <c r="D351" t="s">
        <v>1028</v>
      </c>
      <c r="E351" s="4">
        <f>LEN(D351)</f>
        <v>43</v>
      </c>
      <c r="F351" t="s">
        <v>14</v>
      </c>
      <c r="G351">
        <v>29</v>
      </c>
      <c r="H351">
        <v>0</v>
      </c>
      <c r="I351">
        <v>4</v>
      </c>
      <c r="J351">
        <v>349909</v>
      </c>
      <c r="K351">
        <v>21.074999999999999</v>
      </c>
      <c r="M351" s="6" t="str">
        <f t="shared" si="36"/>
        <v/>
      </c>
      <c r="N351" s="7" t="str">
        <f t="shared" si="38"/>
        <v/>
      </c>
      <c r="O351" t="str">
        <f t="shared" si="37"/>
        <v>34</v>
      </c>
      <c r="P351" s="4" t="str">
        <f>LEFT(L351,1)</f>
        <v/>
      </c>
      <c r="Q351" t="s">
        <v>20</v>
      </c>
    </row>
    <row r="352" spans="1:17" hidden="1" x14ac:dyDescent="0.25">
      <c r="A352">
        <v>882</v>
      </c>
      <c r="B352">
        <v>0</v>
      </c>
      <c r="C352">
        <v>3</v>
      </c>
      <c r="D352" t="s">
        <v>1230</v>
      </c>
      <c r="E352" s="4">
        <f>LEN(D352)</f>
        <v>18</v>
      </c>
      <c r="F352" t="s">
        <v>24</v>
      </c>
      <c r="G352">
        <v>33</v>
      </c>
      <c r="H352">
        <v>0</v>
      </c>
      <c r="I352">
        <v>0</v>
      </c>
      <c r="J352">
        <v>349257</v>
      </c>
      <c r="K352">
        <v>7.8958000000000004</v>
      </c>
      <c r="M352" s="6" t="str">
        <f t="shared" si="36"/>
        <v/>
      </c>
      <c r="N352" s="7" t="str">
        <f t="shared" si="38"/>
        <v/>
      </c>
      <c r="O352" t="str">
        <f t="shared" si="37"/>
        <v>34</v>
      </c>
      <c r="P352" s="4" t="str">
        <f>LEFT(L352,1)</f>
        <v/>
      </c>
      <c r="Q352" t="s">
        <v>20</v>
      </c>
    </row>
    <row r="353" spans="1:17" hidden="1" x14ac:dyDescent="0.25">
      <c r="A353">
        <v>522</v>
      </c>
      <c r="B353">
        <v>0</v>
      </c>
      <c r="C353">
        <v>3</v>
      </c>
      <c r="D353" t="s">
        <v>1001</v>
      </c>
      <c r="E353" s="4">
        <f>LEN(D353)</f>
        <v>15</v>
      </c>
      <c r="F353" t="s">
        <v>24</v>
      </c>
      <c r="G353">
        <v>22</v>
      </c>
      <c r="H353">
        <v>0</v>
      </c>
      <c r="I353">
        <v>0</v>
      </c>
      <c r="J353">
        <v>349252</v>
      </c>
      <c r="K353">
        <v>7.8958000000000004</v>
      </c>
      <c r="M353" s="6" t="str">
        <f t="shared" si="36"/>
        <v/>
      </c>
      <c r="N353" s="7" t="str">
        <f t="shared" si="38"/>
        <v/>
      </c>
      <c r="O353" t="str">
        <f t="shared" si="37"/>
        <v>34</v>
      </c>
      <c r="P353" s="4" t="str">
        <f>LEFT(L353,1)</f>
        <v/>
      </c>
      <c r="Q353" t="s">
        <v>20</v>
      </c>
    </row>
    <row r="354" spans="1:17" hidden="1" x14ac:dyDescent="0.25">
      <c r="A354">
        <v>562</v>
      </c>
      <c r="B354">
        <v>0</v>
      </c>
      <c r="C354">
        <v>3</v>
      </c>
      <c r="D354" t="s">
        <v>1022</v>
      </c>
      <c r="E354" s="4">
        <f>LEN(D354)</f>
        <v>17</v>
      </c>
      <c r="F354" t="s">
        <v>24</v>
      </c>
      <c r="G354">
        <v>40</v>
      </c>
      <c r="H354">
        <v>0</v>
      </c>
      <c r="I354">
        <v>0</v>
      </c>
      <c r="J354">
        <v>349251</v>
      </c>
      <c r="K354">
        <v>7.8958000000000004</v>
      </c>
      <c r="M354" s="6" t="str">
        <f t="shared" si="36"/>
        <v/>
      </c>
      <c r="N354" s="7" t="str">
        <f t="shared" si="38"/>
        <v/>
      </c>
      <c r="O354" t="str">
        <f t="shared" si="37"/>
        <v>34</v>
      </c>
      <c r="P354" s="4" t="str">
        <f>LEFT(L354,1)</f>
        <v/>
      </c>
      <c r="Q354" t="s">
        <v>20</v>
      </c>
    </row>
    <row r="355" spans="1:17" hidden="1" x14ac:dyDescent="0.25">
      <c r="A355">
        <v>109</v>
      </c>
      <c r="B355">
        <v>0</v>
      </c>
      <c r="C355">
        <v>3</v>
      </c>
      <c r="D355" t="s">
        <v>725</v>
      </c>
      <c r="E355" s="4">
        <f>LEN(D355)</f>
        <v>15</v>
      </c>
      <c r="F355" t="s">
        <v>24</v>
      </c>
      <c r="G355">
        <v>38</v>
      </c>
      <c r="H355">
        <v>0</v>
      </c>
      <c r="I355">
        <v>0</v>
      </c>
      <c r="J355">
        <v>349249</v>
      </c>
      <c r="K355">
        <v>7.8958000000000004</v>
      </c>
      <c r="M355" s="6" t="str">
        <f t="shared" si="36"/>
        <v/>
      </c>
      <c r="N355" s="7" t="str">
        <f t="shared" si="38"/>
        <v/>
      </c>
      <c r="O355" t="str">
        <f t="shared" si="37"/>
        <v>34</v>
      </c>
      <c r="P355" s="4" t="str">
        <f>LEFT(L355,1)</f>
        <v/>
      </c>
      <c r="Q355" t="s">
        <v>20</v>
      </c>
    </row>
    <row r="356" spans="1:17" hidden="1" x14ac:dyDescent="0.25">
      <c r="A356">
        <v>871</v>
      </c>
      <c r="B356">
        <v>0</v>
      </c>
      <c r="C356">
        <v>3</v>
      </c>
      <c r="D356" t="s">
        <v>1225</v>
      </c>
      <c r="E356" s="4">
        <f>LEN(D356)</f>
        <v>17</v>
      </c>
      <c r="F356" t="s">
        <v>24</v>
      </c>
      <c r="G356">
        <v>26</v>
      </c>
      <c r="H356">
        <v>0</v>
      </c>
      <c r="I356">
        <v>0</v>
      </c>
      <c r="J356">
        <v>349248</v>
      </c>
      <c r="K356">
        <v>7.8958000000000004</v>
      </c>
      <c r="M356" s="6" t="str">
        <f t="shared" si="36"/>
        <v/>
      </c>
      <c r="N356" s="7" t="str">
        <f t="shared" si="38"/>
        <v/>
      </c>
      <c r="O356" t="str">
        <f t="shared" si="37"/>
        <v>34</v>
      </c>
      <c r="P356" s="4" t="str">
        <f>LEFT(L356,1)</f>
        <v/>
      </c>
      <c r="Q356" t="s">
        <v>20</v>
      </c>
    </row>
    <row r="357" spans="1:17" hidden="1" x14ac:dyDescent="0.25">
      <c r="A357">
        <v>190</v>
      </c>
      <c r="B357">
        <v>0</v>
      </c>
      <c r="C357">
        <v>3</v>
      </c>
      <c r="D357" t="s">
        <v>774</v>
      </c>
      <c r="E357" s="4">
        <f>LEN(D357)</f>
        <v>19</v>
      </c>
      <c r="F357" t="s">
        <v>24</v>
      </c>
      <c r="G357">
        <v>36</v>
      </c>
      <c r="H357">
        <v>0</v>
      </c>
      <c r="I357">
        <v>0</v>
      </c>
      <c r="J357">
        <v>349247</v>
      </c>
      <c r="K357">
        <v>7.8958000000000004</v>
      </c>
      <c r="M357" s="6" t="str">
        <f t="shared" si="36"/>
        <v/>
      </c>
      <c r="N357" s="7" t="str">
        <f t="shared" si="38"/>
        <v/>
      </c>
      <c r="O357" t="str">
        <f t="shared" si="37"/>
        <v>34</v>
      </c>
      <c r="P357" s="4" t="str">
        <f>LEFT(L357,1)</f>
        <v/>
      </c>
      <c r="Q357" t="s">
        <v>20</v>
      </c>
    </row>
    <row r="358" spans="1:17" hidden="1" x14ac:dyDescent="0.25">
      <c r="A358">
        <v>607</v>
      </c>
      <c r="B358">
        <v>0</v>
      </c>
      <c r="C358">
        <v>3</v>
      </c>
      <c r="D358" t="s">
        <v>1054</v>
      </c>
      <c r="E358" s="4">
        <f>LEN(D358)</f>
        <v>17</v>
      </c>
      <c r="F358" t="s">
        <v>24</v>
      </c>
      <c r="G358">
        <v>30</v>
      </c>
      <c r="H358">
        <v>0</v>
      </c>
      <c r="I358">
        <v>0</v>
      </c>
      <c r="J358">
        <v>349246</v>
      </c>
      <c r="K358">
        <v>7.8958000000000004</v>
      </c>
      <c r="M358" s="6" t="str">
        <f t="shared" si="36"/>
        <v/>
      </c>
      <c r="N358" s="7" t="str">
        <f t="shared" si="38"/>
        <v/>
      </c>
      <c r="O358" t="str">
        <f t="shared" si="37"/>
        <v>34</v>
      </c>
      <c r="P358" s="4" t="str">
        <f>LEFT(L358,1)</f>
        <v/>
      </c>
      <c r="Q358" t="s">
        <v>20</v>
      </c>
    </row>
    <row r="359" spans="1:17" hidden="1" x14ac:dyDescent="0.25">
      <c r="A359">
        <v>101</v>
      </c>
      <c r="B359">
        <v>0</v>
      </c>
      <c r="C359">
        <v>3</v>
      </c>
      <c r="D359" t="s">
        <v>720</v>
      </c>
      <c r="E359" s="4">
        <f>LEN(D359)</f>
        <v>23</v>
      </c>
      <c r="F359" t="s">
        <v>14</v>
      </c>
      <c r="G359">
        <v>28</v>
      </c>
      <c r="H359">
        <v>0</v>
      </c>
      <c r="I359">
        <v>0</v>
      </c>
      <c r="J359">
        <v>349245</v>
      </c>
      <c r="K359">
        <v>7.8958000000000004</v>
      </c>
      <c r="M359" s="6" t="str">
        <f t="shared" si="36"/>
        <v/>
      </c>
      <c r="N359" s="7" t="str">
        <f t="shared" si="38"/>
        <v/>
      </c>
      <c r="O359" t="str">
        <f t="shared" si="37"/>
        <v>34</v>
      </c>
      <c r="P359" s="4" t="str">
        <f>LEFT(L359,1)</f>
        <v/>
      </c>
      <c r="Q359" t="s">
        <v>20</v>
      </c>
    </row>
    <row r="360" spans="1:17" hidden="1" x14ac:dyDescent="0.25">
      <c r="A360">
        <v>798</v>
      </c>
      <c r="B360">
        <v>1</v>
      </c>
      <c r="C360">
        <v>3</v>
      </c>
      <c r="D360" t="s">
        <v>1180</v>
      </c>
      <c r="E360" s="4">
        <f>LEN(D360)</f>
        <v>16</v>
      </c>
      <c r="F360" t="s">
        <v>14</v>
      </c>
      <c r="G360">
        <v>31</v>
      </c>
      <c r="H360">
        <v>0</v>
      </c>
      <c r="I360">
        <v>0</v>
      </c>
      <c r="J360">
        <v>349244</v>
      </c>
      <c r="K360">
        <v>8.6832999999999991</v>
      </c>
      <c r="M360" s="6" t="str">
        <f t="shared" si="36"/>
        <v/>
      </c>
      <c r="N360" s="7" t="str">
        <f t="shared" si="38"/>
        <v/>
      </c>
      <c r="O360" t="str">
        <f t="shared" si="37"/>
        <v>34</v>
      </c>
      <c r="P360" s="4" t="str">
        <f>LEFT(L360,1)</f>
        <v/>
      </c>
      <c r="Q360" t="s">
        <v>20</v>
      </c>
    </row>
    <row r="361" spans="1:17" hidden="1" x14ac:dyDescent="0.25">
      <c r="A361">
        <v>314</v>
      </c>
      <c r="B361">
        <v>0</v>
      </c>
      <c r="C361">
        <v>3</v>
      </c>
      <c r="D361" t="s">
        <v>857</v>
      </c>
      <c r="E361" s="4">
        <f>LEN(D361)</f>
        <v>22</v>
      </c>
      <c r="F361" t="s">
        <v>24</v>
      </c>
      <c r="G361">
        <v>28</v>
      </c>
      <c r="H361">
        <v>0</v>
      </c>
      <c r="I361">
        <v>0</v>
      </c>
      <c r="J361">
        <v>349243</v>
      </c>
      <c r="K361">
        <v>7.8958000000000004</v>
      </c>
      <c r="M361" s="6" t="str">
        <f t="shared" si="36"/>
        <v/>
      </c>
      <c r="N361" s="7" t="str">
        <f t="shared" si="38"/>
        <v/>
      </c>
      <c r="O361" t="str">
        <f t="shared" si="37"/>
        <v>34</v>
      </c>
      <c r="P361" s="4" t="str">
        <f>LEFT(L361,1)</f>
        <v/>
      </c>
      <c r="Q361" t="s">
        <v>20</v>
      </c>
    </row>
    <row r="362" spans="1:17" hidden="1" x14ac:dyDescent="0.25">
      <c r="A362">
        <v>520</v>
      </c>
      <c r="B362">
        <v>0</v>
      </c>
      <c r="C362">
        <v>3</v>
      </c>
      <c r="D362" t="s">
        <v>1000</v>
      </c>
      <c r="E362" s="4">
        <f>LEN(D362)</f>
        <v>19</v>
      </c>
      <c r="F362" t="s">
        <v>24</v>
      </c>
      <c r="G362">
        <v>32</v>
      </c>
      <c r="H362">
        <v>0</v>
      </c>
      <c r="I362">
        <v>0</v>
      </c>
      <c r="J362">
        <v>349242</v>
      </c>
      <c r="K362">
        <v>7.8958000000000004</v>
      </c>
      <c r="M362" s="6" t="str">
        <f t="shared" si="36"/>
        <v/>
      </c>
      <c r="N362" s="7" t="str">
        <f t="shared" si="38"/>
        <v/>
      </c>
      <c r="O362" t="str">
        <f t="shared" si="37"/>
        <v>34</v>
      </c>
      <c r="P362" s="4" t="str">
        <f>LEFT(L362,1)</f>
        <v/>
      </c>
      <c r="Q362" t="s">
        <v>20</v>
      </c>
    </row>
    <row r="363" spans="1:17" hidden="1" x14ac:dyDescent="0.25">
      <c r="A363">
        <v>50</v>
      </c>
      <c r="B363">
        <v>0</v>
      </c>
      <c r="C363">
        <v>3</v>
      </c>
      <c r="D363" t="s">
        <v>686</v>
      </c>
      <c r="E363" s="4">
        <f>LEN(D363)</f>
        <v>45</v>
      </c>
      <c r="F363" t="s">
        <v>14</v>
      </c>
      <c r="G363">
        <v>18</v>
      </c>
      <c r="H363">
        <v>1</v>
      </c>
      <c r="I363">
        <v>0</v>
      </c>
      <c r="J363">
        <v>349237</v>
      </c>
      <c r="K363">
        <v>17.8</v>
      </c>
      <c r="M363" s="6" t="str">
        <f t="shared" si="36"/>
        <v/>
      </c>
      <c r="N363" s="7" t="str">
        <f t="shared" si="38"/>
        <v/>
      </c>
      <c r="O363" t="str">
        <f t="shared" si="37"/>
        <v>34</v>
      </c>
      <c r="P363" s="4" t="str">
        <f>LEFT(L363,1)</f>
        <v/>
      </c>
      <c r="Q363" t="s">
        <v>20</v>
      </c>
    </row>
    <row r="364" spans="1:17" hidden="1" x14ac:dyDescent="0.25">
      <c r="A364">
        <v>354</v>
      </c>
      <c r="B364">
        <v>0</v>
      </c>
      <c r="C364">
        <v>3</v>
      </c>
      <c r="D364" t="s">
        <v>877</v>
      </c>
      <c r="E364" s="4">
        <f>LEN(D364)</f>
        <v>25</v>
      </c>
      <c r="F364" t="s">
        <v>24</v>
      </c>
      <c r="G364">
        <v>25</v>
      </c>
      <c r="H364">
        <v>1</v>
      </c>
      <c r="I364">
        <v>0</v>
      </c>
      <c r="J364">
        <v>349237</v>
      </c>
      <c r="K364">
        <v>17.8</v>
      </c>
      <c r="M364" s="6" t="str">
        <f t="shared" si="36"/>
        <v/>
      </c>
      <c r="N364" s="7" t="str">
        <f t="shared" si="38"/>
        <v/>
      </c>
      <c r="O364" t="str">
        <f t="shared" si="37"/>
        <v>34</v>
      </c>
      <c r="P364" s="4" t="str">
        <f>LEFT(L364,1)</f>
        <v/>
      </c>
      <c r="Q364" t="s">
        <v>20</v>
      </c>
    </row>
    <row r="365" spans="1:17" hidden="1" x14ac:dyDescent="0.25">
      <c r="A365">
        <v>294</v>
      </c>
      <c r="B365">
        <v>0</v>
      </c>
      <c r="C365">
        <v>3</v>
      </c>
      <c r="D365" t="s">
        <v>846</v>
      </c>
      <c r="E365" s="4">
        <f>LEN(D365)</f>
        <v>19</v>
      </c>
      <c r="F365" t="s">
        <v>14</v>
      </c>
      <c r="G365">
        <v>24</v>
      </c>
      <c r="H365">
        <v>0</v>
      </c>
      <c r="I365">
        <v>0</v>
      </c>
      <c r="J365">
        <v>349236</v>
      </c>
      <c r="K365">
        <v>8.85</v>
      </c>
      <c r="M365" s="6" t="str">
        <f t="shared" si="36"/>
        <v/>
      </c>
      <c r="N365" s="7" t="str">
        <f t="shared" si="38"/>
        <v/>
      </c>
      <c r="O365" t="str">
        <f t="shared" si="37"/>
        <v>34</v>
      </c>
      <c r="P365" s="4" t="str">
        <f>LEFT(L365,1)</f>
        <v/>
      </c>
      <c r="Q365" t="s">
        <v>20</v>
      </c>
    </row>
    <row r="366" spans="1:17" hidden="1" x14ac:dyDescent="0.25">
      <c r="A366">
        <v>224</v>
      </c>
      <c r="B366">
        <v>0</v>
      </c>
      <c r="C366">
        <v>3</v>
      </c>
      <c r="D366" t="s">
        <v>986</v>
      </c>
      <c r="E366" s="4">
        <f>LEN(D366)</f>
        <v>20</v>
      </c>
      <c r="F366" t="s">
        <v>24</v>
      </c>
      <c r="H366">
        <v>0</v>
      </c>
      <c r="I366">
        <v>0</v>
      </c>
      <c r="J366">
        <v>349234</v>
      </c>
      <c r="K366">
        <v>7.8958000000000004</v>
      </c>
      <c r="M366" s="6" t="str">
        <f t="shared" si="36"/>
        <v/>
      </c>
      <c r="N366" s="7" t="str">
        <f t="shared" si="38"/>
        <v/>
      </c>
      <c r="O366" t="str">
        <f t="shared" si="37"/>
        <v>34</v>
      </c>
      <c r="P366" s="4" t="str">
        <f>LEFT(L366,1)</f>
        <v/>
      </c>
      <c r="Q366" t="s">
        <v>20</v>
      </c>
    </row>
    <row r="367" spans="1:17" hidden="1" x14ac:dyDescent="0.25">
      <c r="A367">
        <v>295</v>
      </c>
      <c r="B367">
        <v>0</v>
      </c>
      <c r="C367">
        <v>3</v>
      </c>
      <c r="D367" t="s">
        <v>847</v>
      </c>
      <c r="E367" s="4">
        <f>LEN(D367)</f>
        <v>16</v>
      </c>
      <c r="F367" t="s">
        <v>24</v>
      </c>
      <c r="G367">
        <v>24</v>
      </c>
      <c r="H367">
        <v>0</v>
      </c>
      <c r="I367">
        <v>0</v>
      </c>
      <c r="J367">
        <v>349233</v>
      </c>
      <c r="K367">
        <v>7.8958000000000004</v>
      </c>
      <c r="M367" s="6" t="str">
        <f t="shared" si="36"/>
        <v/>
      </c>
      <c r="N367" s="7" t="str">
        <f t="shared" si="38"/>
        <v/>
      </c>
      <c r="O367" t="str">
        <f t="shared" si="37"/>
        <v>34</v>
      </c>
      <c r="P367" s="4" t="str">
        <f>LEFT(L367,1)</f>
        <v/>
      </c>
      <c r="Q367" t="s">
        <v>20</v>
      </c>
    </row>
    <row r="368" spans="1:17" hidden="1" x14ac:dyDescent="0.25">
      <c r="A368">
        <v>647</v>
      </c>
      <c r="B368">
        <v>0</v>
      </c>
      <c r="C368">
        <v>3</v>
      </c>
      <c r="D368" t="s">
        <v>1080</v>
      </c>
      <c r="E368" s="4">
        <f>LEN(D368)</f>
        <v>17</v>
      </c>
      <c r="F368" t="s">
        <v>24</v>
      </c>
      <c r="G368">
        <v>19</v>
      </c>
      <c r="H368">
        <v>0</v>
      </c>
      <c r="I368">
        <v>0</v>
      </c>
      <c r="J368">
        <v>349231</v>
      </c>
      <c r="K368">
        <v>7.8958000000000004</v>
      </c>
      <c r="M368" s="6" t="str">
        <f t="shared" si="36"/>
        <v/>
      </c>
      <c r="N368" s="7" t="str">
        <f t="shared" si="38"/>
        <v/>
      </c>
      <c r="O368" t="str">
        <f t="shared" si="37"/>
        <v>34</v>
      </c>
      <c r="P368" s="4" t="str">
        <f>LEFT(L368,1)</f>
        <v/>
      </c>
      <c r="Q368" t="s">
        <v>20</v>
      </c>
    </row>
    <row r="369" spans="1:17" hidden="1" x14ac:dyDescent="0.25">
      <c r="A369">
        <v>688</v>
      </c>
      <c r="B369">
        <v>0</v>
      </c>
      <c r="C369">
        <v>3</v>
      </c>
      <c r="D369" t="s">
        <v>1107</v>
      </c>
      <c r="E369" s="4">
        <f>LEN(D369)</f>
        <v>17</v>
      </c>
      <c r="F369" t="s">
        <v>24</v>
      </c>
      <c r="G369">
        <v>19</v>
      </c>
      <c r="H369">
        <v>0</v>
      </c>
      <c r="I369">
        <v>0</v>
      </c>
      <c r="J369">
        <v>349228</v>
      </c>
      <c r="K369">
        <v>10.1708</v>
      </c>
      <c r="M369" s="6" t="str">
        <f t="shared" si="36"/>
        <v/>
      </c>
      <c r="N369" s="7" t="str">
        <f t="shared" si="38"/>
        <v/>
      </c>
      <c r="O369" t="str">
        <f t="shared" si="37"/>
        <v>34</v>
      </c>
      <c r="P369" s="4" t="str">
        <f>LEFT(L369,1)</f>
        <v/>
      </c>
      <c r="Q369" t="s">
        <v>20</v>
      </c>
    </row>
    <row r="370" spans="1:17" hidden="1" x14ac:dyDescent="0.25">
      <c r="A370">
        <v>385</v>
      </c>
      <c r="B370">
        <v>0</v>
      </c>
      <c r="C370">
        <v>3</v>
      </c>
      <c r="D370" t="s">
        <v>992</v>
      </c>
      <c r="E370" s="4">
        <f>LEN(D370)</f>
        <v>22</v>
      </c>
      <c r="F370" t="s">
        <v>24</v>
      </c>
      <c r="H370">
        <v>0</v>
      </c>
      <c r="I370">
        <v>0</v>
      </c>
      <c r="J370">
        <v>349227</v>
      </c>
      <c r="K370">
        <v>7.8958000000000004</v>
      </c>
      <c r="M370" s="6" t="str">
        <f t="shared" si="36"/>
        <v/>
      </c>
      <c r="N370" s="7" t="str">
        <f t="shared" si="38"/>
        <v/>
      </c>
      <c r="O370" t="str">
        <f t="shared" si="37"/>
        <v>34</v>
      </c>
      <c r="P370" s="4" t="str">
        <f>LEFT(L370,1)</f>
        <v/>
      </c>
      <c r="Q370" t="s">
        <v>20</v>
      </c>
    </row>
    <row r="371" spans="1:17" hidden="1" x14ac:dyDescent="0.25">
      <c r="A371">
        <v>336</v>
      </c>
      <c r="B371">
        <v>0</v>
      </c>
      <c r="C371">
        <v>3</v>
      </c>
      <c r="D371" t="s">
        <v>990</v>
      </c>
      <c r="E371" s="4">
        <f>LEN(D371)</f>
        <v>18</v>
      </c>
      <c r="F371" t="s">
        <v>24</v>
      </c>
      <c r="H371">
        <v>0</v>
      </c>
      <c r="I371">
        <v>0</v>
      </c>
      <c r="J371">
        <v>349225</v>
      </c>
      <c r="K371">
        <v>7.8958000000000004</v>
      </c>
      <c r="M371" s="6" t="str">
        <f t="shared" si="36"/>
        <v/>
      </c>
      <c r="N371" s="7" t="str">
        <f t="shared" si="38"/>
        <v/>
      </c>
      <c r="O371" t="str">
        <f t="shared" si="37"/>
        <v>34</v>
      </c>
      <c r="P371" s="4" t="str">
        <f>LEFT(L371,1)</f>
        <v/>
      </c>
      <c r="Q371" t="s">
        <v>20</v>
      </c>
    </row>
    <row r="372" spans="1:17" hidden="1" x14ac:dyDescent="0.25">
      <c r="A372">
        <v>629</v>
      </c>
      <c r="B372">
        <v>0</v>
      </c>
      <c r="C372">
        <v>3</v>
      </c>
      <c r="D372" t="s">
        <v>1067</v>
      </c>
      <c r="E372" s="4">
        <f>LEN(D372)</f>
        <v>25</v>
      </c>
      <c r="F372" t="s">
        <v>24</v>
      </c>
      <c r="G372">
        <v>26</v>
      </c>
      <c r="H372">
        <v>0</v>
      </c>
      <c r="I372">
        <v>0</v>
      </c>
      <c r="J372">
        <v>349224</v>
      </c>
      <c r="K372">
        <v>7.8958000000000004</v>
      </c>
      <c r="M372" s="6" t="str">
        <f t="shared" si="36"/>
        <v/>
      </c>
      <c r="N372" s="7" t="str">
        <f t="shared" si="38"/>
        <v/>
      </c>
      <c r="O372" t="str">
        <f t="shared" si="37"/>
        <v>34</v>
      </c>
      <c r="P372" s="4" t="str">
        <f>LEFT(L372,1)</f>
        <v/>
      </c>
      <c r="Q372" t="s">
        <v>20</v>
      </c>
    </row>
    <row r="373" spans="1:17" hidden="1" x14ac:dyDescent="0.25">
      <c r="A373">
        <v>657</v>
      </c>
      <c r="B373">
        <v>0</v>
      </c>
      <c r="C373">
        <v>3</v>
      </c>
      <c r="D373" t="s">
        <v>1005</v>
      </c>
      <c r="E373" s="4">
        <f>LEN(D373)</f>
        <v>21</v>
      </c>
      <c r="F373" t="s">
        <v>24</v>
      </c>
      <c r="H373">
        <v>0</v>
      </c>
      <c r="I373">
        <v>0</v>
      </c>
      <c r="J373">
        <v>349223</v>
      </c>
      <c r="K373">
        <v>7.8958000000000004</v>
      </c>
      <c r="M373" s="6" t="str">
        <f t="shared" si="36"/>
        <v/>
      </c>
      <c r="N373" s="7" t="str">
        <f t="shared" si="38"/>
        <v/>
      </c>
      <c r="O373" t="str">
        <f t="shared" si="37"/>
        <v>34</v>
      </c>
      <c r="P373" s="4" t="str">
        <f>LEFT(L373,1)</f>
        <v/>
      </c>
      <c r="Q373" t="s">
        <v>20</v>
      </c>
    </row>
    <row r="374" spans="1:17" hidden="1" x14ac:dyDescent="0.25">
      <c r="A374">
        <v>411</v>
      </c>
      <c r="B374">
        <v>0</v>
      </c>
      <c r="C374">
        <v>3</v>
      </c>
      <c r="D374" t="s">
        <v>997</v>
      </c>
      <c r="E374" s="4">
        <f>LEN(D374)</f>
        <v>18</v>
      </c>
      <c r="F374" t="s">
        <v>24</v>
      </c>
      <c r="H374">
        <v>0</v>
      </c>
      <c r="I374">
        <v>0</v>
      </c>
      <c r="J374">
        <v>349222</v>
      </c>
      <c r="K374">
        <v>7.8958000000000004</v>
      </c>
      <c r="M374" s="6" t="str">
        <f t="shared" si="36"/>
        <v/>
      </c>
      <c r="N374" s="7" t="str">
        <f t="shared" si="38"/>
        <v/>
      </c>
      <c r="O374" t="str">
        <f t="shared" si="37"/>
        <v>34</v>
      </c>
      <c r="P374" s="4" t="str">
        <f>LEFT(L374,1)</f>
        <v/>
      </c>
      <c r="Q374" t="s">
        <v>20</v>
      </c>
    </row>
    <row r="375" spans="1:17" hidden="1" x14ac:dyDescent="0.25">
      <c r="A375">
        <v>651</v>
      </c>
      <c r="B375">
        <v>0</v>
      </c>
      <c r="C375">
        <v>3</v>
      </c>
      <c r="D375" t="s">
        <v>1003</v>
      </c>
      <c r="E375" s="4">
        <f>LEN(D375)</f>
        <v>17</v>
      </c>
      <c r="F375" t="s">
        <v>24</v>
      </c>
      <c r="H375">
        <v>0</v>
      </c>
      <c r="I375">
        <v>0</v>
      </c>
      <c r="J375">
        <v>349221</v>
      </c>
      <c r="K375">
        <v>7.8958000000000004</v>
      </c>
      <c r="M375" s="6" t="str">
        <f t="shared" si="36"/>
        <v/>
      </c>
      <c r="N375" s="7" t="str">
        <f t="shared" si="38"/>
        <v/>
      </c>
      <c r="O375" t="str">
        <f t="shared" si="37"/>
        <v>34</v>
      </c>
      <c r="P375" s="4" t="str">
        <f>LEFT(L375,1)</f>
        <v/>
      </c>
      <c r="Q375" t="s">
        <v>20</v>
      </c>
    </row>
    <row r="376" spans="1:17" hidden="1" x14ac:dyDescent="0.25">
      <c r="A376">
        <v>322</v>
      </c>
      <c r="B376">
        <v>0</v>
      </c>
      <c r="C376">
        <v>3</v>
      </c>
      <c r="D376" t="s">
        <v>861</v>
      </c>
      <c r="E376" s="4">
        <f>LEN(D376)</f>
        <v>16</v>
      </c>
      <c r="F376" t="s">
        <v>24</v>
      </c>
      <c r="G376">
        <v>27</v>
      </c>
      <c r="H376">
        <v>0</v>
      </c>
      <c r="I376">
        <v>0</v>
      </c>
      <c r="J376">
        <v>349219</v>
      </c>
      <c r="K376">
        <v>7.8958000000000004</v>
      </c>
      <c r="M376" s="6" t="str">
        <f t="shared" si="36"/>
        <v/>
      </c>
      <c r="N376" s="7" t="str">
        <f t="shared" si="38"/>
        <v/>
      </c>
      <c r="O376" t="str">
        <f t="shared" si="37"/>
        <v>34</v>
      </c>
      <c r="P376" s="4" t="str">
        <f>LEFT(L376,1)</f>
        <v/>
      </c>
      <c r="Q376" t="s">
        <v>20</v>
      </c>
    </row>
    <row r="377" spans="1:17" hidden="1" x14ac:dyDescent="0.25">
      <c r="A377">
        <v>740</v>
      </c>
      <c r="B377">
        <v>0</v>
      </c>
      <c r="C377">
        <v>3</v>
      </c>
      <c r="D377" t="s">
        <v>1009</v>
      </c>
      <c r="E377" s="4">
        <f>LEN(D377)</f>
        <v>18</v>
      </c>
      <c r="F377" t="s">
        <v>24</v>
      </c>
      <c r="H377">
        <v>0</v>
      </c>
      <c r="I377">
        <v>0</v>
      </c>
      <c r="J377">
        <v>349218</v>
      </c>
      <c r="K377">
        <v>7.8958000000000004</v>
      </c>
      <c r="M377" s="6" t="str">
        <f t="shared" si="36"/>
        <v/>
      </c>
      <c r="N377" s="7" t="str">
        <f t="shared" si="38"/>
        <v/>
      </c>
      <c r="O377" t="str">
        <f t="shared" si="37"/>
        <v>34</v>
      </c>
      <c r="P377" s="4" t="str">
        <f>LEFT(L377,1)</f>
        <v/>
      </c>
      <c r="Q377" t="s">
        <v>20</v>
      </c>
    </row>
    <row r="378" spans="1:17" hidden="1" x14ac:dyDescent="0.25">
      <c r="A378">
        <v>879</v>
      </c>
      <c r="B378">
        <v>0</v>
      </c>
      <c r="C378">
        <v>3</v>
      </c>
      <c r="D378" t="s">
        <v>1011</v>
      </c>
      <c r="E378" s="4">
        <f>LEN(D378)</f>
        <v>18</v>
      </c>
      <c r="F378" t="s">
        <v>24</v>
      </c>
      <c r="H378">
        <v>0</v>
      </c>
      <c r="I378">
        <v>0</v>
      </c>
      <c r="J378">
        <v>349217</v>
      </c>
      <c r="K378">
        <v>7.8958000000000004</v>
      </c>
      <c r="M378" s="6" t="str">
        <f t="shared" si="36"/>
        <v/>
      </c>
      <c r="N378" s="7" t="str">
        <f t="shared" si="38"/>
        <v/>
      </c>
      <c r="O378" t="str">
        <f t="shared" si="37"/>
        <v>34</v>
      </c>
      <c r="P378" s="4" t="str">
        <f>LEFT(L378,1)</f>
        <v/>
      </c>
      <c r="Q378" t="s">
        <v>20</v>
      </c>
    </row>
    <row r="379" spans="1:17" hidden="1" x14ac:dyDescent="0.25">
      <c r="A379">
        <v>30</v>
      </c>
      <c r="B379">
        <v>0</v>
      </c>
      <c r="C379">
        <v>3</v>
      </c>
      <c r="D379" t="s">
        <v>972</v>
      </c>
      <c r="E379" s="4">
        <f>LEN(D379)</f>
        <v>19</v>
      </c>
      <c r="F379" t="s">
        <v>24</v>
      </c>
      <c r="H379">
        <v>0</v>
      </c>
      <c r="I379">
        <v>0</v>
      </c>
      <c r="J379">
        <v>349216</v>
      </c>
      <c r="K379">
        <v>7.8958000000000004</v>
      </c>
      <c r="M379" s="6" t="str">
        <f t="shared" si="36"/>
        <v/>
      </c>
      <c r="N379" s="7" t="str">
        <f t="shared" si="38"/>
        <v/>
      </c>
      <c r="O379" t="str">
        <f t="shared" si="37"/>
        <v>34</v>
      </c>
      <c r="P379" s="4" t="str">
        <f>LEFT(L379,1)</f>
        <v/>
      </c>
      <c r="Q379" t="s">
        <v>20</v>
      </c>
    </row>
    <row r="380" spans="1:17" hidden="1" x14ac:dyDescent="0.25">
      <c r="A380">
        <v>102</v>
      </c>
      <c r="B380">
        <v>0</v>
      </c>
      <c r="C380">
        <v>3</v>
      </c>
      <c r="D380" t="s">
        <v>985</v>
      </c>
      <c r="E380" s="4">
        <f>LEN(D380)</f>
        <v>32</v>
      </c>
      <c r="F380" t="s">
        <v>24</v>
      </c>
      <c r="H380">
        <v>0</v>
      </c>
      <c r="I380">
        <v>0</v>
      </c>
      <c r="J380">
        <v>349215</v>
      </c>
      <c r="K380">
        <v>7.8958000000000004</v>
      </c>
      <c r="M380" s="6" t="str">
        <f t="shared" si="36"/>
        <v/>
      </c>
      <c r="N380" s="7" t="str">
        <f t="shared" si="38"/>
        <v/>
      </c>
      <c r="O380" t="str">
        <f t="shared" si="37"/>
        <v>34</v>
      </c>
      <c r="P380" s="4" t="str">
        <f>LEFT(L380,1)</f>
        <v/>
      </c>
      <c r="Q380" t="s">
        <v>20</v>
      </c>
    </row>
    <row r="381" spans="1:17" hidden="1" x14ac:dyDescent="0.25">
      <c r="A381">
        <v>602</v>
      </c>
      <c r="B381">
        <v>0</v>
      </c>
      <c r="C381">
        <v>3</v>
      </c>
      <c r="D381" t="s">
        <v>1002</v>
      </c>
      <c r="E381" s="4">
        <f>LEN(D381)</f>
        <v>20</v>
      </c>
      <c r="F381" t="s">
        <v>24</v>
      </c>
      <c r="H381">
        <v>0</v>
      </c>
      <c r="I381">
        <v>0</v>
      </c>
      <c r="J381">
        <v>349214</v>
      </c>
      <c r="K381">
        <v>7.8958000000000004</v>
      </c>
      <c r="M381" s="6" t="str">
        <f t="shared" si="36"/>
        <v/>
      </c>
      <c r="N381" s="7" t="str">
        <f t="shared" si="38"/>
        <v/>
      </c>
      <c r="O381" t="str">
        <f t="shared" si="37"/>
        <v>34</v>
      </c>
      <c r="P381" s="4" t="str">
        <f>LEFT(L381,1)</f>
        <v/>
      </c>
      <c r="Q381" t="s">
        <v>20</v>
      </c>
    </row>
    <row r="382" spans="1:17" hidden="1" x14ac:dyDescent="0.25">
      <c r="A382">
        <v>878</v>
      </c>
      <c r="B382">
        <v>0</v>
      </c>
      <c r="C382">
        <v>3</v>
      </c>
      <c r="D382" t="s">
        <v>1229</v>
      </c>
      <c r="E382" s="4">
        <f>LEN(D382)</f>
        <v>20</v>
      </c>
      <c r="F382" t="s">
        <v>24</v>
      </c>
      <c r="G382">
        <v>19</v>
      </c>
      <c r="H382">
        <v>0</v>
      </c>
      <c r="I382">
        <v>0</v>
      </c>
      <c r="J382">
        <v>349212</v>
      </c>
      <c r="K382">
        <v>7.8958000000000004</v>
      </c>
      <c r="M382" s="6" t="str">
        <f t="shared" si="36"/>
        <v/>
      </c>
      <c r="N382" s="7" t="str">
        <f t="shared" si="38"/>
        <v/>
      </c>
      <c r="O382" t="str">
        <f t="shared" si="37"/>
        <v>34</v>
      </c>
      <c r="P382" s="4" t="str">
        <f>LEFT(L382,1)</f>
        <v/>
      </c>
      <c r="Q382" t="s">
        <v>20</v>
      </c>
    </row>
    <row r="383" spans="1:17" hidden="1" x14ac:dyDescent="0.25">
      <c r="A383">
        <v>664</v>
      </c>
      <c r="B383">
        <v>0</v>
      </c>
      <c r="C383">
        <v>3</v>
      </c>
      <c r="D383" t="s">
        <v>1091</v>
      </c>
      <c r="E383" s="4">
        <f>LEN(D383)</f>
        <v>16</v>
      </c>
      <c r="F383" t="s">
        <v>24</v>
      </c>
      <c r="G383">
        <v>36</v>
      </c>
      <c r="H383">
        <v>0</v>
      </c>
      <c r="I383">
        <v>0</v>
      </c>
      <c r="J383">
        <v>349210</v>
      </c>
      <c r="K383">
        <v>7.4958</v>
      </c>
      <c r="M383" s="6" t="str">
        <f t="shared" si="36"/>
        <v/>
      </c>
      <c r="N383" s="7" t="str">
        <f t="shared" si="38"/>
        <v/>
      </c>
      <c r="O383" t="str">
        <f t="shared" si="37"/>
        <v>34</v>
      </c>
      <c r="P383" s="4" t="str">
        <f>LEFT(L383,1)</f>
        <v/>
      </c>
      <c r="Q383" t="s">
        <v>20</v>
      </c>
    </row>
    <row r="384" spans="1:17" hidden="1" x14ac:dyDescent="0.25">
      <c r="A384">
        <v>515</v>
      </c>
      <c r="B384">
        <v>0</v>
      </c>
      <c r="C384">
        <v>3</v>
      </c>
      <c r="D384" t="s">
        <v>998</v>
      </c>
      <c r="E384" s="4">
        <f>LEN(D384)</f>
        <v>17</v>
      </c>
      <c r="F384" t="s">
        <v>24</v>
      </c>
      <c r="G384">
        <v>24</v>
      </c>
      <c r="H384">
        <v>0</v>
      </c>
      <c r="I384">
        <v>0</v>
      </c>
      <c r="J384">
        <v>349209</v>
      </c>
      <c r="K384">
        <v>7.4958</v>
      </c>
      <c r="M384" s="6" t="str">
        <f t="shared" si="36"/>
        <v/>
      </c>
      <c r="N384" s="7" t="str">
        <f t="shared" si="38"/>
        <v/>
      </c>
      <c r="O384" t="str">
        <f t="shared" si="37"/>
        <v>34</v>
      </c>
      <c r="P384" s="4" t="str">
        <f>LEFT(L384,1)</f>
        <v/>
      </c>
      <c r="Q384" t="s">
        <v>20</v>
      </c>
    </row>
    <row r="385" spans="1:17" hidden="1" x14ac:dyDescent="0.25">
      <c r="A385">
        <v>77</v>
      </c>
      <c r="B385">
        <v>0</v>
      </c>
      <c r="C385">
        <v>3</v>
      </c>
      <c r="D385" t="s">
        <v>980</v>
      </c>
      <c r="E385" s="4">
        <f>LEN(D385)</f>
        <v>17</v>
      </c>
      <c r="F385" t="s">
        <v>24</v>
      </c>
      <c r="H385">
        <v>0</v>
      </c>
      <c r="I385">
        <v>0</v>
      </c>
      <c r="J385">
        <v>349208</v>
      </c>
      <c r="K385">
        <v>7.8958000000000004</v>
      </c>
      <c r="M385" s="6" t="str">
        <f t="shared" si="36"/>
        <v/>
      </c>
      <c r="N385" s="7" t="str">
        <f t="shared" si="38"/>
        <v/>
      </c>
      <c r="O385" t="str">
        <f t="shared" si="37"/>
        <v>34</v>
      </c>
      <c r="P385" s="4" t="str">
        <f>LEFT(L385,1)</f>
        <v/>
      </c>
      <c r="Q385" t="s">
        <v>20</v>
      </c>
    </row>
    <row r="386" spans="1:17" hidden="1" x14ac:dyDescent="0.25">
      <c r="A386">
        <v>106</v>
      </c>
      <c r="B386">
        <v>0</v>
      </c>
      <c r="C386">
        <v>3</v>
      </c>
      <c r="D386" t="s">
        <v>723</v>
      </c>
      <c r="E386" s="4">
        <f>LEN(D386)</f>
        <v>21</v>
      </c>
      <c r="F386" t="s">
        <v>24</v>
      </c>
      <c r="G386">
        <v>28</v>
      </c>
      <c r="H386">
        <v>0</v>
      </c>
      <c r="I386">
        <v>0</v>
      </c>
      <c r="J386">
        <v>349207</v>
      </c>
      <c r="K386">
        <v>7.8958000000000004</v>
      </c>
      <c r="M386" s="6" t="str">
        <f t="shared" si="36"/>
        <v/>
      </c>
      <c r="N386" s="7" t="str">
        <f t="shared" si="38"/>
        <v/>
      </c>
      <c r="O386" t="str">
        <f t="shared" si="37"/>
        <v>34</v>
      </c>
      <c r="P386" s="4" t="str">
        <f>LEFT(L386,1)</f>
        <v/>
      </c>
      <c r="Q386" t="s">
        <v>20</v>
      </c>
    </row>
    <row r="387" spans="1:17" hidden="1" x14ac:dyDescent="0.25">
      <c r="A387">
        <v>288</v>
      </c>
      <c r="B387">
        <v>0</v>
      </c>
      <c r="C387">
        <v>3</v>
      </c>
      <c r="D387" t="s">
        <v>844</v>
      </c>
      <c r="E387" s="4">
        <f>LEN(D387)</f>
        <v>20</v>
      </c>
      <c r="F387" t="s">
        <v>24</v>
      </c>
      <c r="G387">
        <v>22</v>
      </c>
      <c r="H387">
        <v>0</v>
      </c>
      <c r="I387">
        <v>0</v>
      </c>
      <c r="J387">
        <v>349206</v>
      </c>
      <c r="K387">
        <v>7.8958000000000004</v>
      </c>
      <c r="M387" s="6" t="str">
        <f t="shared" ref="M387:M450" si="39">IF(LEN(L387)&gt;3,RIGHT((LEFT(L387,4)),3),IF(LEN(L387)=3,RIGHT(L387,2),RIGHT(L387,1)))</f>
        <v/>
      </c>
      <c r="N387" s="7" t="str">
        <f t="shared" si="38"/>
        <v/>
      </c>
      <c r="O387" t="str">
        <f t="shared" ref="O387:O450" si="40">LEFT(J387,2)</f>
        <v>34</v>
      </c>
      <c r="P387" s="4" t="str">
        <f>LEFT(L387,1)</f>
        <v/>
      </c>
      <c r="Q387" t="s">
        <v>20</v>
      </c>
    </row>
    <row r="388" spans="1:17" hidden="1" x14ac:dyDescent="0.25">
      <c r="A388">
        <v>567</v>
      </c>
      <c r="B388">
        <v>0</v>
      </c>
      <c r="C388">
        <v>3</v>
      </c>
      <c r="D388" t="s">
        <v>1027</v>
      </c>
      <c r="E388" s="4">
        <f>LEN(D388)</f>
        <v>20</v>
      </c>
      <c r="F388" t="s">
        <v>24</v>
      </c>
      <c r="G388">
        <v>19</v>
      </c>
      <c r="H388">
        <v>0</v>
      </c>
      <c r="I388">
        <v>0</v>
      </c>
      <c r="J388">
        <v>349205</v>
      </c>
      <c r="K388">
        <v>7.8958000000000004</v>
      </c>
      <c r="M388" s="6" t="str">
        <f t="shared" si="39"/>
        <v/>
      </c>
      <c r="N388" s="7" t="str">
        <f t="shared" ref="N388:N451" si="41">IF(LEN(M388)&gt;1, M388+0,"")</f>
        <v/>
      </c>
      <c r="O388" t="str">
        <f t="shared" si="40"/>
        <v>34</v>
      </c>
      <c r="P388" s="4" t="str">
        <f>LEFT(L388,1)</f>
        <v/>
      </c>
      <c r="Q388" t="s">
        <v>20</v>
      </c>
    </row>
    <row r="389" spans="1:17" hidden="1" x14ac:dyDescent="0.25">
      <c r="A389">
        <v>754</v>
      </c>
      <c r="B389">
        <v>0</v>
      </c>
      <c r="C389">
        <v>3</v>
      </c>
      <c r="D389" t="s">
        <v>1149</v>
      </c>
      <c r="E389" s="4">
        <f>LEN(D389)</f>
        <v>18</v>
      </c>
      <c r="F389" t="s">
        <v>24</v>
      </c>
      <c r="G389">
        <v>23</v>
      </c>
      <c r="H389">
        <v>0</v>
      </c>
      <c r="I389">
        <v>0</v>
      </c>
      <c r="J389">
        <v>349204</v>
      </c>
      <c r="K389">
        <v>7.8958000000000004</v>
      </c>
      <c r="M389" s="6" t="str">
        <f t="shared" si="39"/>
        <v/>
      </c>
      <c r="N389" s="7" t="str">
        <f t="shared" si="41"/>
        <v/>
      </c>
      <c r="O389" t="str">
        <f t="shared" si="40"/>
        <v>34</v>
      </c>
      <c r="P389" s="4" t="str">
        <f>LEFT(L389,1)</f>
        <v/>
      </c>
      <c r="Q389" t="s">
        <v>20</v>
      </c>
    </row>
    <row r="390" spans="1:17" hidden="1" x14ac:dyDescent="0.25">
      <c r="A390">
        <v>795</v>
      </c>
      <c r="B390">
        <v>0</v>
      </c>
      <c r="C390">
        <v>3</v>
      </c>
      <c r="D390" t="s">
        <v>1179</v>
      </c>
      <c r="E390" s="4">
        <f>LEN(D390)</f>
        <v>21</v>
      </c>
      <c r="F390" t="s">
        <v>24</v>
      </c>
      <c r="G390">
        <v>25</v>
      </c>
      <c r="H390">
        <v>0</v>
      </c>
      <c r="I390">
        <v>0</v>
      </c>
      <c r="J390">
        <v>349203</v>
      </c>
      <c r="K390">
        <v>7.8958000000000004</v>
      </c>
      <c r="M390" s="6" t="str">
        <f t="shared" si="39"/>
        <v/>
      </c>
      <c r="N390" s="7" t="str">
        <f t="shared" si="41"/>
        <v/>
      </c>
      <c r="O390" t="str">
        <f t="shared" si="40"/>
        <v>34</v>
      </c>
      <c r="P390" s="4" t="str">
        <f>LEFT(L390,1)</f>
        <v/>
      </c>
      <c r="Q390" t="s">
        <v>20</v>
      </c>
    </row>
    <row r="391" spans="1:17" hidden="1" x14ac:dyDescent="0.25">
      <c r="A391">
        <v>739</v>
      </c>
      <c r="B391">
        <v>0</v>
      </c>
      <c r="C391">
        <v>3</v>
      </c>
      <c r="D391" t="s">
        <v>1007</v>
      </c>
      <c r="E391" s="4">
        <f>LEN(D391)</f>
        <v>18</v>
      </c>
      <c r="F391" t="s">
        <v>24</v>
      </c>
      <c r="H391">
        <v>0</v>
      </c>
      <c r="I391">
        <v>0</v>
      </c>
      <c r="J391">
        <v>349201</v>
      </c>
      <c r="K391">
        <v>7.8958000000000004</v>
      </c>
      <c r="M391" s="6" t="str">
        <f t="shared" si="39"/>
        <v/>
      </c>
      <c r="N391" s="7" t="str">
        <f t="shared" si="41"/>
        <v/>
      </c>
      <c r="O391" t="str">
        <f t="shared" si="40"/>
        <v>34</v>
      </c>
      <c r="P391" s="4" t="str">
        <f>LEFT(L391,1)</f>
        <v/>
      </c>
      <c r="Q391" t="s">
        <v>20</v>
      </c>
    </row>
    <row r="392" spans="1:17" x14ac:dyDescent="0.25">
      <c r="A392">
        <v>716</v>
      </c>
      <c r="B392">
        <v>0</v>
      </c>
      <c r="C392">
        <v>3</v>
      </c>
      <c r="D392" t="s">
        <v>1122</v>
      </c>
      <c r="E392" s="4">
        <f>LEN(D392)</f>
        <v>42</v>
      </c>
      <c r="F392" t="s">
        <v>24</v>
      </c>
      <c r="G392">
        <v>19</v>
      </c>
      <c r="H392">
        <v>0</v>
      </c>
      <c r="I392">
        <v>0</v>
      </c>
      <c r="J392">
        <v>348124</v>
      </c>
      <c r="K392">
        <v>7.65</v>
      </c>
      <c r="L392" t="s">
        <v>706</v>
      </c>
      <c r="M392" s="6" t="str">
        <f t="shared" si="39"/>
        <v xml:space="preserve"> G7</v>
      </c>
      <c r="N392" s="7" t="e">
        <f t="shared" si="41"/>
        <v>#VALUE!</v>
      </c>
      <c r="O392" t="str">
        <f t="shared" si="40"/>
        <v>34</v>
      </c>
      <c r="P392" s="4" t="str">
        <f>LEFT(L392,1)</f>
        <v>F</v>
      </c>
      <c r="Q392" t="s">
        <v>20</v>
      </c>
    </row>
    <row r="393" spans="1:17" x14ac:dyDescent="0.25">
      <c r="A393">
        <v>76</v>
      </c>
      <c r="B393">
        <v>0</v>
      </c>
      <c r="C393">
        <v>3</v>
      </c>
      <c r="D393" t="s">
        <v>705</v>
      </c>
      <c r="E393" s="4">
        <f>LEN(D393)</f>
        <v>23</v>
      </c>
      <c r="F393" t="s">
        <v>24</v>
      </c>
      <c r="G393">
        <v>25</v>
      </c>
      <c r="H393">
        <v>0</v>
      </c>
      <c r="I393">
        <v>0</v>
      </c>
      <c r="J393">
        <v>348123</v>
      </c>
      <c r="K393">
        <v>7.65</v>
      </c>
      <c r="L393" t="s">
        <v>706</v>
      </c>
      <c r="M393" s="6" t="str">
        <f t="shared" si="39"/>
        <v xml:space="preserve"> G7</v>
      </c>
      <c r="N393" s="7" t="e">
        <f t="shared" si="41"/>
        <v>#VALUE!</v>
      </c>
      <c r="O393" t="str">
        <f t="shared" si="40"/>
        <v>34</v>
      </c>
      <c r="P393" s="4" t="str">
        <f>LEFT(L393,1)</f>
        <v>F</v>
      </c>
      <c r="Q393" t="s">
        <v>20</v>
      </c>
    </row>
    <row r="394" spans="1:17" x14ac:dyDescent="0.25">
      <c r="A394">
        <v>700</v>
      </c>
      <c r="B394">
        <v>0</v>
      </c>
      <c r="C394">
        <v>3</v>
      </c>
      <c r="D394" t="s">
        <v>1114</v>
      </c>
      <c r="E394" s="4">
        <f>LEN(D394)</f>
        <v>40</v>
      </c>
      <c r="F394" t="s">
        <v>24</v>
      </c>
      <c r="G394">
        <v>42</v>
      </c>
      <c r="H394">
        <v>0</v>
      </c>
      <c r="I394">
        <v>0</v>
      </c>
      <c r="J394">
        <v>348121</v>
      </c>
      <c r="K394">
        <v>7.65</v>
      </c>
      <c r="L394" t="s">
        <v>1115</v>
      </c>
      <c r="M394" s="6" t="str">
        <f t="shared" si="39"/>
        <v xml:space="preserve"> G6</v>
      </c>
      <c r="N394" s="7" t="e">
        <f t="shared" si="41"/>
        <v>#VALUE!</v>
      </c>
      <c r="O394" t="str">
        <f t="shared" si="40"/>
        <v>34</v>
      </c>
      <c r="P394" s="4" t="str">
        <f>LEFT(L394,1)</f>
        <v>F</v>
      </c>
      <c r="Q394" t="s">
        <v>20</v>
      </c>
    </row>
    <row r="395" spans="1:17" hidden="1" x14ac:dyDescent="0.25">
      <c r="A395">
        <v>632</v>
      </c>
      <c r="B395">
        <v>0</v>
      </c>
      <c r="C395">
        <v>3</v>
      </c>
      <c r="D395" t="s">
        <v>1069</v>
      </c>
      <c r="E395" s="4">
        <f>LEN(D395)</f>
        <v>27</v>
      </c>
      <c r="F395" t="s">
        <v>24</v>
      </c>
      <c r="G395">
        <v>51</v>
      </c>
      <c r="H395">
        <v>0</v>
      </c>
      <c r="I395">
        <v>0</v>
      </c>
      <c r="J395">
        <v>347743</v>
      </c>
      <c r="K395">
        <v>7.0541999999999998</v>
      </c>
      <c r="M395" s="6" t="str">
        <f t="shared" si="39"/>
        <v/>
      </c>
      <c r="N395" s="7" t="str">
        <f t="shared" si="41"/>
        <v/>
      </c>
      <c r="O395" t="str">
        <f t="shared" si="40"/>
        <v>34</v>
      </c>
      <c r="P395" s="4" t="str">
        <f>LEFT(L395,1)</f>
        <v/>
      </c>
      <c r="Q395" t="s">
        <v>20</v>
      </c>
    </row>
    <row r="396" spans="1:17" hidden="1" x14ac:dyDescent="0.25">
      <c r="A396">
        <v>9</v>
      </c>
      <c r="B396">
        <v>1</v>
      </c>
      <c r="C396">
        <v>3</v>
      </c>
      <c r="D396" t="s">
        <v>660</v>
      </c>
      <c r="E396" s="4">
        <f>LEN(D396)</f>
        <v>49</v>
      </c>
      <c r="F396" t="s">
        <v>14</v>
      </c>
      <c r="G396">
        <v>27</v>
      </c>
      <c r="H396">
        <v>0</v>
      </c>
      <c r="I396">
        <v>2</v>
      </c>
      <c r="J396">
        <v>347742</v>
      </c>
      <c r="K396">
        <v>11.1333</v>
      </c>
      <c r="M396" s="6" t="str">
        <f t="shared" si="39"/>
        <v/>
      </c>
      <c r="N396" s="7" t="str">
        <f t="shared" si="41"/>
        <v/>
      </c>
      <c r="O396" t="str">
        <f t="shared" si="40"/>
        <v>34</v>
      </c>
      <c r="P396" s="4" t="str">
        <f>LEFT(L396,1)</f>
        <v/>
      </c>
      <c r="Q396" t="s">
        <v>20</v>
      </c>
    </row>
    <row r="397" spans="1:17" hidden="1" x14ac:dyDescent="0.25">
      <c r="A397">
        <v>173</v>
      </c>
      <c r="B397">
        <v>1</v>
      </c>
      <c r="C397">
        <v>3</v>
      </c>
      <c r="D397" t="s">
        <v>765</v>
      </c>
      <c r="E397" s="4">
        <f>LEN(D397)</f>
        <v>28</v>
      </c>
      <c r="F397" t="s">
        <v>14</v>
      </c>
      <c r="G397">
        <v>1</v>
      </c>
      <c r="H397">
        <v>1</v>
      </c>
      <c r="I397">
        <v>1</v>
      </c>
      <c r="J397">
        <v>347742</v>
      </c>
      <c r="K397">
        <v>11.1333</v>
      </c>
      <c r="M397" s="6" t="str">
        <f t="shared" si="39"/>
        <v/>
      </c>
      <c r="N397" s="7" t="str">
        <f t="shared" si="41"/>
        <v/>
      </c>
      <c r="O397" t="str">
        <f t="shared" si="40"/>
        <v>34</v>
      </c>
      <c r="P397" s="4" t="str">
        <f>LEFT(L397,1)</f>
        <v/>
      </c>
      <c r="Q397" t="s">
        <v>20</v>
      </c>
    </row>
    <row r="398" spans="1:17" hidden="1" x14ac:dyDescent="0.25">
      <c r="A398">
        <v>870</v>
      </c>
      <c r="B398">
        <v>1</v>
      </c>
      <c r="C398">
        <v>3</v>
      </c>
      <c r="D398" t="s">
        <v>1224</v>
      </c>
      <c r="E398" s="4">
        <f>LEN(D398)</f>
        <v>31</v>
      </c>
      <c r="F398" t="s">
        <v>24</v>
      </c>
      <c r="G398">
        <v>4</v>
      </c>
      <c r="H398">
        <v>1</v>
      </c>
      <c r="I398">
        <v>1</v>
      </c>
      <c r="J398">
        <v>347742</v>
      </c>
      <c r="K398">
        <v>11.1333</v>
      </c>
      <c r="M398" s="6" t="str">
        <f t="shared" si="39"/>
        <v/>
      </c>
      <c r="N398" s="7" t="str">
        <f t="shared" si="41"/>
        <v/>
      </c>
      <c r="O398" t="str">
        <f t="shared" si="40"/>
        <v>34</v>
      </c>
      <c r="P398" s="4" t="str">
        <f>LEFT(L398,1)</f>
        <v/>
      </c>
      <c r="Q398" t="s">
        <v>20</v>
      </c>
    </row>
    <row r="399" spans="1:17" hidden="1" x14ac:dyDescent="0.25">
      <c r="A399">
        <v>316</v>
      </c>
      <c r="B399">
        <v>1</v>
      </c>
      <c r="C399">
        <v>3</v>
      </c>
      <c r="D399" t="s">
        <v>858</v>
      </c>
      <c r="E399" s="4">
        <f>LEN(D399)</f>
        <v>31</v>
      </c>
      <c r="F399" t="s">
        <v>14</v>
      </c>
      <c r="G399">
        <v>26</v>
      </c>
      <c r="H399">
        <v>0</v>
      </c>
      <c r="I399">
        <v>0</v>
      </c>
      <c r="J399">
        <v>347470</v>
      </c>
      <c r="K399">
        <v>7.8541999999999996</v>
      </c>
      <c r="M399" s="6" t="str">
        <f t="shared" si="39"/>
        <v/>
      </c>
      <c r="N399" s="7" t="str">
        <f t="shared" si="41"/>
        <v/>
      </c>
      <c r="O399" t="str">
        <f t="shared" si="40"/>
        <v>34</v>
      </c>
      <c r="P399" s="4" t="str">
        <f>LEFT(L399,1)</f>
        <v/>
      </c>
      <c r="Q399" t="s">
        <v>20</v>
      </c>
    </row>
    <row r="400" spans="1:17" hidden="1" x14ac:dyDescent="0.25">
      <c r="A400">
        <v>834</v>
      </c>
      <c r="B400">
        <v>0</v>
      </c>
      <c r="C400">
        <v>3</v>
      </c>
      <c r="D400" t="s">
        <v>1206</v>
      </c>
      <c r="E400" s="4">
        <f>LEN(D400)</f>
        <v>22</v>
      </c>
      <c r="F400" t="s">
        <v>24</v>
      </c>
      <c r="G400">
        <v>23</v>
      </c>
      <c r="H400">
        <v>0</v>
      </c>
      <c r="I400">
        <v>0</v>
      </c>
      <c r="J400">
        <v>347468</v>
      </c>
      <c r="K400">
        <v>7.8541999999999996</v>
      </c>
      <c r="M400" s="6" t="str">
        <f t="shared" si="39"/>
        <v/>
      </c>
      <c r="N400" s="7" t="str">
        <f t="shared" si="41"/>
        <v/>
      </c>
      <c r="O400" t="str">
        <f t="shared" si="40"/>
        <v>34</v>
      </c>
      <c r="P400" s="4" t="str">
        <f>LEFT(L400,1)</f>
        <v/>
      </c>
      <c r="Q400" t="s">
        <v>20</v>
      </c>
    </row>
    <row r="401" spans="1:17" hidden="1" x14ac:dyDescent="0.25">
      <c r="A401">
        <v>92</v>
      </c>
      <c r="B401">
        <v>0</v>
      </c>
      <c r="C401">
        <v>3</v>
      </c>
      <c r="D401" t="s">
        <v>716</v>
      </c>
      <c r="E401" s="4">
        <f>LEN(D401)</f>
        <v>26</v>
      </c>
      <c r="F401" t="s">
        <v>24</v>
      </c>
      <c r="G401">
        <v>20</v>
      </c>
      <c r="H401">
        <v>0</v>
      </c>
      <c r="I401">
        <v>0</v>
      </c>
      <c r="J401">
        <v>347466</v>
      </c>
      <c r="K401">
        <v>7.8541999999999996</v>
      </c>
      <c r="M401" s="6" t="str">
        <f t="shared" si="39"/>
        <v/>
      </c>
      <c r="N401" s="7" t="str">
        <f t="shared" si="41"/>
        <v/>
      </c>
      <c r="O401" t="str">
        <f t="shared" si="40"/>
        <v>34</v>
      </c>
      <c r="P401" s="4" t="str">
        <f>LEFT(L401,1)</f>
        <v/>
      </c>
      <c r="Q401" t="s">
        <v>20</v>
      </c>
    </row>
    <row r="402" spans="1:17" x14ac:dyDescent="0.25">
      <c r="A402">
        <v>840</v>
      </c>
      <c r="B402">
        <v>1</v>
      </c>
      <c r="C402">
        <v>1</v>
      </c>
      <c r="D402" t="s">
        <v>124</v>
      </c>
      <c r="E402" s="4">
        <f>LEN(D402)</f>
        <v>20</v>
      </c>
      <c r="F402" t="s">
        <v>24</v>
      </c>
      <c r="H402">
        <v>0</v>
      </c>
      <c r="I402">
        <v>0</v>
      </c>
      <c r="J402">
        <v>11774</v>
      </c>
      <c r="K402">
        <v>29.7</v>
      </c>
      <c r="L402" t="s">
        <v>125</v>
      </c>
      <c r="M402" s="6" t="str">
        <f t="shared" si="39"/>
        <v>47</v>
      </c>
      <c r="N402" s="7">
        <f t="shared" si="41"/>
        <v>47</v>
      </c>
      <c r="O402" t="str">
        <f t="shared" si="40"/>
        <v>11</v>
      </c>
      <c r="P402" s="4" t="str">
        <f>LEFT(L402,1)</f>
        <v>C</v>
      </c>
      <c r="Q402" t="s">
        <v>17</v>
      </c>
    </row>
    <row r="403" spans="1:17" hidden="1" x14ac:dyDescent="0.25">
      <c r="A403">
        <v>282</v>
      </c>
      <c r="B403">
        <v>0</v>
      </c>
      <c r="C403">
        <v>3</v>
      </c>
      <c r="D403" t="s">
        <v>837</v>
      </c>
      <c r="E403" s="4">
        <f>LEN(D403)</f>
        <v>32</v>
      </c>
      <c r="F403" t="s">
        <v>24</v>
      </c>
      <c r="G403">
        <v>28</v>
      </c>
      <c r="H403">
        <v>0</v>
      </c>
      <c r="I403">
        <v>0</v>
      </c>
      <c r="J403">
        <v>347464</v>
      </c>
      <c r="K403">
        <v>7.8541999999999996</v>
      </c>
      <c r="M403" s="6" t="str">
        <f t="shared" si="39"/>
        <v/>
      </c>
      <c r="N403" s="7" t="str">
        <f t="shared" si="41"/>
        <v/>
      </c>
      <c r="O403" t="str">
        <f t="shared" si="40"/>
        <v>34</v>
      </c>
      <c r="P403" s="4" t="str">
        <f>LEFT(L403,1)</f>
        <v/>
      </c>
      <c r="Q403" t="s">
        <v>20</v>
      </c>
    </row>
    <row r="404" spans="1:17" hidden="1" x14ac:dyDescent="0.25">
      <c r="A404">
        <v>805</v>
      </c>
      <c r="B404">
        <v>1</v>
      </c>
      <c r="C404">
        <v>3</v>
      </c>
      <c r="D404" t="s">
        <v>1184</v>
      </c>
      <c r="E404" s="4">
        <f>LEN(D404)</f>
        <v>23</v>
      </c>
      <c r="F404" t="s">
        <v>24</v>
      </c>
      <c r="G404">
        <v>27</v>
      </c>
      <c r="H404">
        <v>0</v>
      </c>
      <c r="I404">
        <v>0</v>
      </c>
      <c r="J404">
        <v>347089</v>
      </c>
      <c r="K404">
        <v>6.9749999999999996</v>
      </c>
      <c r="M404" s="6" t="str">
        <f t="shared" si="39"/>
        <v/>
      </c>
      <c r="N404" s="7" t="str">
        <f t="shared" si="41"/>
        <v/>
      </c>
      <c r="O404" t="str">
        <f t="shared" si="40"/>
        <v>34</v>
      </c>
      <c r="P404" s="4" t="str">
        <f>LEFT(L404,1)</f>
        <v/>
      </c>
      <c r="Q404" t="s">
        <v>20</v>
      </c>
    </row>
    <row r="405" spans="1:17" hidden="1" x14ac:dyDescent="0.25">
      <c r="A405">
        <v>64</v>
      </c>
      <c r="B405">
        <v>0</v>
      </c>
      <c r="C405">
        <v>3</v>
      </c>
      <c r="D405" t="s">
        <v>695</v>
      </c>
      <c r="E405" s="4">
        <f>LEN(D405)</f>
        <v>21</v>
      </c>
      <c r="F405" t="s">
        <v>24</v>
      </c>
      <c r="G405">
        <v>4</v>
      </c>
      <c r="H405">
        <v>3</v>
      </c>
      <c r="I405">
        <v>2</v>
      </c>
      <c r="J405">
        <v>347088</v>
      </c>
      <c r="K405">
        <v>27.9</v>
      </c>
      <c r="M405" s="6" t="str">
        <f t="shared" si="39"/>
        <v/>
      </c>
      <c r="N405" s="7" t="str">
        <f t="shared" si="41"/>
        <v/>
      </c>
      <c r="O405" t="str">
        <f t="shared" si="40"/>
        <v>34</v>
      </c>
      <c r="P405" s="4" t="str">
        <f>LEFT(L405,1)</f>
        <v/>
      </c>
      <c r="Q405" t="s">
        <v>20</v>
      </c>
    </row>
    <row r="406" spans="1:17" hidden="1" x14ac:dyDescent="0.25">
      <c r="A406">
        <v>635</v>
      </c>
      <c r="B406">
        <v>0</v>
      </c>
      <c r="C406">
        <v>3</v>
      </c>
      <c r="D406" t="s">
        <v>1071</v>
      </c>
      <c r="E406" s="4">
        <f>LEN(D406)</f>
        <v>18</v>
      </c>
      <c r="F406" t="s">
        <v>14</v>
      </c>
      <c r="G406">
        <v>9</v>
      </c>
      <c r="H406">
        <v>3</v>
      </c>
      <c r="I406">
        <v>2</v>
      </c>
      <c r="J406">
        <v>347088</v>
      </c>
      <c r="K406">
        <v>27.9</v>
      </c>
      <c r="M406" s="6" t="str">
        <f t="shared" si="39"/>
        <v/>
      </c>
      <c r="N406" s="7" t="str">
        <f t="shared" si="41"/>
        <v/>
      </c>
      <c r="O406" t="str">
        <f t="shared" si="40"/>
        <v>34</v>
      </c>
      <c r="P406" s="4" t="str">
        <f>LEFT(L406,1)</f>
        <v/>
      </c>
      <c r="Q406" t="s">
        <v>20</v>
      </c>
    </row>
    <row r="407" spans="1:17" hidden="1" x14ac:dyDescent="0.25">
      <c r="A407">
        <v>643</v>
      </c>
      <c r="B407">
        <v>0</v>
      </c>
      <c r="C407">
        <v>3</v>
      </c>
      <c r="D407" t="s">
        <v>1077</v>
      </c>
      <c r="E407" s="4">
        <f>LEN(D407)</f>
        <v>29</v>
      </c>
      <c r="F407" t="s">
        <v>14</v>
      </c>
      <c r="G407">
        <v>2</v>
      </c>
      <c r="H407">
        <v>3</v>
      </c>
      <c r="I407">
        <v>2</v>
      </c>
      <c r="J407">
        <v>347088</v>
      </c>
      <c r="K407">
        <v>27.9</v>
      </c>
      <c r="M407" s="6" t="str">
        <f t="shared" si="39"/>
        <v/>
      </c>
      <c r="N407" s="7" t="str">
        <f t="shared" si="41"/>
        <v/>
      </c>
      <c r="O407" t="str">
        <f t="shared" si="40"/>
        <v>34</v>
      </c>
      <c r="P407" s="4" t="str">
        <f>LEFT(L407,1)</f>
        <v/>
      </c>
      <c r="Q407" t="s">
        <v>20</v>
      </c>
    </row>
    <row r="408" spans="1:17" hidden="1" x14ac:dyDescent="0.25">
      <c r="A408">
        <v>820</v>
      </c>
      <c r="B408">
        <v>0</v>
      </c>
      <c r="C408">
        <v>3</v>
      </c>
      <c r="D408" t="s">
        <v>1196</v>
      </c>
      <c r="E408" s="4">
        <f>LEN(D408)</f>
        <v>28</v>
      </c>
      <c r="F408" t="s">
        <v>24</v>
      </c>
      <c r="G408">
        <v>10</v>
      </c>
      <c r="H408">
        <v>3</v>
      </c>
      <c r="I408">
        <v>2</v>
      </c>
      <c r="J408">
        <v>347088</v>
      </c>
      <c r="K408">
        <v>27.9</v>
      </c>
      <c r="M408" s="6" t="str">
        <f t="shared" si="39"/>
        <v/>
      </c>
      <c r="N408" s="7" t="str">
        <f t="shared" si="41"/>
        <v/>
      </c>
      <c r="O408" t="str">
        <f t="shared" si="40"/>
        <v>34</v>
      </c>
      <c r="P408" s="4" t="str">
        <f>LEFT(L408,1)</f>
        <v/>
      </c>
      <c r="Q408" t="s">
        <v>20</v>
      </c>
    </row>
    <row r="409" spans="1:17" hidden="1" x14ac:dyDescent="0.25">
      <c r="A409">
        <v>168</v>
      </c>
      <c r="B409">
        <v>0</v>
      </c>
      <c r="C409">
        <v>3</v>
      </c>
      <c r="D409" t="s">
        <v>762</v>
      </c>
      <c r="E409" s="4">
        <f>LEN(D409)</f>
        <v>47</v>
      </c>
      <c r="F409" t="s">
        <v>14</v>
      </c>
      <c r="G409">
        <v>45</v>
      </c>
      <c r="H409">
        <v>1</v>
      </c>
      <c r="I409">
        <v>4</v>
      </c>
      <c r="J409">
        <v>347088</v>
      </c>
      <c r="K409">
        <v>27.9</v>
      </c>
      <c r="M409" s="6" t="str">
        <f t="shared" si="39"/>
        <v/>
      </c>
      <c r="N409" s="7" t="str">
        <f t="shared" si="41"/>
        <v/>
      </c>
      <c r="O409" t="str">
        <f t="shared" si="40"/>
        <v>34</v>
      </c>
      <c r="P409" s="4" t="str">
        <f>LEFT(L409,1)</f>
        <v/>
      </c>
      <c r="Q409" t="s">
        <v>20</v>
      </c>
    </row>
    <row r="410" spans="1:17" hidden="1" x14ac:dyDescent="0.25">
      <c r="A410">
        <v>361</v>
      </c>
      <c r="B410">
        <v>0</v>
      </c>
      <c r="C410">
        <v>3</v>
      </c>
      <c r="D410" t="s">
        <v>882</v>
      </c>
      <c r="E410" s="4">
        <f>LEN(D410)</f>
        <v>18</v>
      </c>
      <c r="F410" t="s">
        <v>24</v>
      </c>
      <c r="G410">
        <v>40</v>
      </c>
      <c r="H410">
        <v>1</v>
      </c>
      <c r="I410">
        <v>4</v>
      </c>
      <c r="J410">
        <v>347088</v>
      </c>
      <c r="K410">
        <v>27.9</v>
      </c>
      <c r="M410" s="6" t="str">
        <f t="shared" si="39"/>
        <v/>
      </c>
      <c r="N410" s="7" t="str">
        <f t="shared" si="41"/>
        <v/>
      </c>
      <c r="O410" t="str">
        <f t="shared" si="40"/>
        <v>34</v>
      </c>
      <c r="P410" s="4" t="str">
        <f>LEFT(L410,1)</f>
        <v/>
      </c>
      <c r="Q410" t="s">
        <v>20</v>
      </c>
    </row>
    <row r="411" spans="1:17" hidden="1" x14ac:dyDescent="0.25">
      <c r="A411">
        <v>808</v>
      </c>
      <c r="B411">
        <v>0</v>
      </c>
      <c r="C411">
        <v>3</v>
      </c>
      <c r="D411" t="s">
        <v>1186</v>
      </c>
      <c r="E411" s="4">
        <f>LEN(D411)</f>
        <v>31</v>
      </c>
      <c r="F411" t="s">
        <v>14</v>
      </c>
      <c r="G411">
        <v>18</v>
      </c>
      <c r="H411">
        <v>0</v>
      </c>
      <c r="I411">
        <v>0</v>
      </c>
      <c r="J411">
        <v>347087</v>
      </c>
      <c r="K411">
        <v>7.7750000000000004</v>
      </c>
      <c r="M411" s="6" t="str">
        <f t="shared" si="39"/>
        <v/>
      </c>
      <c r="N411" s="7" t="str">
        <f t="shared" si="41"/>
        <v/>
      </c>
      <c r="O411" t="str">
        <f t="shared" si="40"/>
        <v>34</v>
      </c>
      <c r="P411" s="4" t="str">
        <f>LEFT(L411,1)</f>
        <v/>
      </c>
      <c r="Q411" t="s">
        <v>20</v>
      </c>
    </row>
    <row r="412" spans="1:17" hidden="1" x14ac:dyDescent="0.25">
      <c r="A412">
        <v>555</v>
      </c>
      <c r="B412">
        <v>1</v>
      </c>
      <c r="C412">
        <v>3</v>
      </c>
      <c r="D412" t="s">
        <v>1018</v>
      </c>
      <c r="E412" s="4">
        <f>LEN(D412)</f>
        <v>18</v>
      </c>
      <c r="F412" t="s">
        <v>14</v>
      </c>
      <c r="G412">
        <v>22</v>
      </c>
      <c r="H412">
        <v>0</v>
      </c>
      <c r="I412">
        <v>0</v>
      </c>
      <c r="J412">
        <v>347085</v>
      </c>
      <c r="K412">
        <v>7.7750000000000004</v>
      </c>
      <c r="M412" s="6" t="str">
        <f t="shared" si="39"/>
        <v/>
      </c>
      <c r="N412" s="7" t="str">
        <f t="shared" si="41"/>
        <v/>
      </c>
      <c r="O412" t="str">
        <f t="shared" si="40"/>
        <v>34</v>
      </c>
      <c r="P412" s="4" t="str">
        <f>LEFT(L412,1)</f>
        <v/>
      </c>
      <c r="Q412" t="s">
        <v>20</v>
      </c>
    </row>
    <row r="413" spans="1:17" hidden="1" x14ac:dyDescent="0.25">
      <c r="A413">
        <v>268</v>
      </c>
      <c r="B413">
        <v>1</v>
      </c>
      <c r="C413">
        <v>3</v>
      </c>
      <c r="D413" t="s">
        <v>827</v>
      </c>
      <c r="E413" s="4">
        <f>LEN(D413)</f>
        <v>24</v>
      </c>
      <c r="F413" t="s">
        <v>24</v>
      </c>
      <c r="G413">
        <v>25</v>
      </c>
      <c r="H413">
        <v>1</v>
      </c>
      <c r="I413">
        <v>0</v>
      </c>
      <c r="J413">
        <v>347083</v>
      </c>
      <c r="K413">
        <v>7.7750000000000004</v>
      </c>
      <c r="M413" s="6" t="str">
        <f t="shared" si="39"/>
        <v/>
      </c>
      <c r="N413" s="7" t="str">
        <f t="shared" si="41"/>
        <v/>
      </c>
      <c r="O413" t="str">
        <f t="shared" si="40"/>
        <v>34</v>
      </c>
      <c r="P413" s="4" t="str">
        <f>LEFT(L413,1)</f>
        <v/>
      </c>
      <c r="Q413" t="s">
        <v>20</v>
      </c>
    </row>
    <row r="414" spans="1:17" hidden="1" x14ac:dyDescent="0.25">
      <c r="A414">
        <v>14</v>
      </c>
      <c r="B414">
        <v>0</v>
      </c>
      <c r="C414">
        <v>3</v>
      </c>
      <c r="D414" t="s">
        <v>666</v>
      </c>
      <c r="E414" s="4">
        <f>LEN(D414)</f>
        <v>27</v>
      </c>
      <c r="F414" t="s">
        <v>24</v>
      </c>
      <c r="G414">
        <v>39</v>
      </c>
      <c r="H414">
        <v>1</v>
      </c>
      <c r="I414">
        <v>5</v>
      </c>
      <c r="J414">
        <v>347082</v>
      </c>
      <c r="K414">
        <v>31.274999999999999</v>
      </c>
      <c r="M414" s="6" t="str">
        <f t="shared" si="39"/>
        <v/>
      </c>
      <c r="N414" s="7" t="str">
        <f t="shared" si="41"/>
        <v/>
      </c>
      <c r="O414" t="str">
        <f t="shared" si="40"/>
        <v>34</v>
      </c>
      <c r="P414" s="4" t="str">
        <f>LEFT(L414,1)</f>
        <v/>
      </c>
      <c r="Q414" t="s">
        <v>20</v>
      </c>
    </row>
    <row r="415" spans="1:17" hidden="1" x14ac:dyDescent="0.25">
      <c r="A415">
        <v>120</v>
      </c>
      <c r="B415">
        <v>0</v>
      </c>
      <c r="C415">
        <v>3</v>
      </c>
      <c r="D415" t="s">
        <v>733</v>
      </c>
      <c r="E415" s="4">
        <f>LEN(D415)</f>
        <v>33</v>
      </c>
      <c r="F415" t="s">
        <v>14</v>
      </c>
      <c r="G415">
        <v>2</v>
      </c>
      <c r="H415">
        <v>4</v>
      </c>
      <c r="I415">
        <v>2</v>
      </c>
      <c r="J415">
        <v>347082</v>
      </c>
      <c r="K415">
        <v>31.274999999999999</v>
      </c>
      <c r="M415" s="6" t="str">
        <f t="shared" si="39"/>
        <v/>
      </c>
      <c r="N415" s="7" t="str">
        <f t="shared" si="41"/>
        <v/>
      </c>
      <c r="O415" t="str">
        <f t="shared" si="40"/>
        <v>34</v>
      </c>
      <c r="P415" s="4" t="str">
        <f>LEFT(L415,1)</f>
        <v/>
      </c>
      <c r="Q415" t="s">
        <v>20</v>
      </c>
    </row>
    <row r="416" spans="1:17" hidden="1" x14ac:dyDescent="0.25">
      <c r="A416">
        <v>542</v>
      </c>
      <c r="B416">
        <v>0</v>
      </c>
      <c r="C416">
        <v>3</v>
      </c>
      <c r="D416" t="s">
        <v>1012</v>
      </c>
      <c r="E416" s="4">
        <f>LEN(D416)</f>
        <v>36</v>
      </c>
      <c r="F416" t="s">
        <v>14</v>
      </c>
      <c r="G416">
        <v>9</v>
      </c>
      <c r="H416">
        <v>4</v>
      </c>
      <c r="I416">
        <v>2</v>
      </c>
      <c r="J416">
        <v>347082</v>
      </c>
      <c r="K416">
        <v>31.274999999999999</v>
      </c>
      <c r="M416" s="6" t="str">
        <f t="shared" si="39"/>
        <v/>
      </c>
      <c r="N416" s="7" t="str">
        <f t="shared" si="41"/>
        <v/>
      </c>
      <c r="O416" t="str">
        <f t="shared" si="40"/>
        <v>34</v>
      </c>
      <c r="P416" s="4" t="str">
        <f>LEFT(L416,1)</f>
        <v/>
      </c>
      <c r="Q416" t="s">
        <v>20</v>
      </c>
    </row>
    <row r="417" spans="1:17" hidden="1" x14ac:dyDescent="0.25">
      <c r="A417">
        <v>23</v>
      </c>
      <c r="B417">
        <v>1</v>
      </c>
      <c r="C417">
        <v>3</v>
      </c>
      <c r="D417" t="s">
        <v>670</v>
      </c>
      <c r="E417" s="4">
        <f>LEN(D417)</f>
        <v>27</v>
      </c>
      <c r="F417" t="s">
        <v>14</v>
      </c>
      <c r="G417">
        <v>15</v>
      </c>
      <c r="H417">
        <v>0</v>
      </c>
      <c r="I417">
        <v>0</v>
      </c>
      <c r="J417">
        <v>330923</v>
      </c>
      <c r="K417">
        <v>8.0291999999999994</v>
      </c>
      <c r="M417" s="6" t="str">
        <f t="shared" si="39"/>
        <v/>
      </c>
      <c r="N417" s="7" t="str">
        <f t="shared" si="41"/>
        <v/>
      </c>
      <c r="O417" t="str">
        <f t="shared" si="40"/>
        <v>33</v>
      </c>
      <c r="P417" s="4" t="str">
        <f>LEFT(L417,1)</f>
        <v/>
      </c>
      <c r="Q417" t="s">
        <v>161</v>
      </c>
    </row>
    <row r="418" spans="1:17" hidden="1" x14ac:dyDescent="0.25">
      <c r="A418">
        <v>543</v>
      </c>
      <c r="B418">
        <v>0</v>
      </c>
      <c r="C418">
        <v>3</v>
      </c>
      <c r="D418" t="s">
        <v>1013</v>
      </c>
      <c r="E418" s="4">
        <f>LEN(D418)</f>
        <v>33</v>
      </c>
      <c r="F418" t="s">
        <v>14</v>
      </c>
      <c r="G418">
        <v>11</v>
      </c>
      <c r="H418">
        <v>4</v>
      </c>
      <c r="I418">
        <v>2</v>
      </c>
      <c r="J418">
        <v>347082</v>
      </c>
      <c r="K418">
        <v>31.274999999999999</v>
      </c>
      <c r="M418" s="6" t="str">
        <f t="shared" si="39"/>
        <v/>
      </c>
      <c r="N418" s="7" t="str">
        <f t="shared" si="41"/>
        <v/>
      </c>
      <c r="O418" t="str">
        <f t="shared" si="40"/>
        <v>34</v>
      </c>
      <c r="P418" s="4" t="str">
        <f>LEFT(L418,1)</f>
        <v/>
      </c>
      <c r="Q418" t="s">
        <v>20</v>
      </c>
    </row>
    <row r="419" spans="1:17" hidden="1" x14ac:dyDescent="0.25">
      <c r="A419">
        <v>814</v>
      </c>
      <c r="B419">
        <v>0</v>
      </c>
      <c r="C419">
        <v>3</v>
      </c>
      <c r="D419" t="s">
        <v>1189</v>
      </c>
      <c r="E419" s="4">
        <f>LEN(D419)</f>
        <v>34</v>
      </c>
      <c r="F419" t="s">
        <v>14</v>
      </c>
      <c r="G419">
        <v>6</v>
      </c>
      <c r="H419">
        <v>4</v>
      </c>
      <c r="I419">
        <v>2</v>
      </c>
      <c r="J419">
        <v>347082</v>
      </c>
      <c r="K419">
        <v>31.274999999999999</v>
      </c>
      <c r="M419" s="6" t="str">
        <f t="shared" si="39"/>
        <v/>
      </c>
      <c r="N419" s="7" t="str">
        <f t="shared" si="41"/>
        <v/>
      </c>
      <c r="O419" t="str">
        <f t="shared" si="40"/>
        <v>34</v>
      </c>
      <c r="P419" s="4" t="str">
        <f>LEFT(L419,1)</f>
        <v/>
      </c>
      <c r="Q419" t="s">
        <v>20</v>
      </c>
    </row>
    <row r="420" spans="1:17" hidden="1" x14ac:dyDescent="0.25">
      <c r="A420">
        <v>851</v>
      </c>
      <c r="B420">
        <v>0</v>
      </c>
      <c r="C420">
        <v>3</v>
      </c>
      <c r="D420" t="s">
        <v>1218</v>
      </c>
      <c r="E420" s="4">
        <f>LEN(D420)</f>
        <v>39</v>
      </c>
      <c r="F420" t="s">
        <v>24</v>
      </c>
      <c r="G420">
        <v>4</v>
      </c>
      <c r="H420">
        <v>4</v>
      </c>
      <c r="I420">
        <v>2</v>
      </c>
      <c r="J420">
        <v>347082</v>
      </c>
      <c r="K420">
        <v>31.274999999999999</v>
      </c>
      <c r="M420" s="6" t="str">
        <f t="shared" si="39"/>
        <v/>
      </c>
      <c r="N420" s="7" t="str">
        <f t="shared" si="41"/>
        <v/>
      </c>
      <c r="O420" t="str">
        <f t="shared" si="40"/>
        <v>34</v>
      </c>
      <c r="P420" s="4" t="str">
        <f>LEFT(L420,1)</f>
        <v/>
      </c>
      <c r="Q420" t="s">
        <v>20</v>
      </c>
    </row>
    <row r="421" spans="1:17" hidden="1" x14ac:dyDescent="0.25">
      <c r="A421">
        <v>611</v>
      </c>
      <c r="B421">
        <v>0</v>
      </c>
      <c r="C421">
        <v>3</v>
      </c>
      <c r="D421" t="s">
        <v>1055</v>
      </c>
      <c r="E421" s="4">
        <f>LEN(D421)</f>
        <v>57</v>
      </c>
      <c r="F421" t="s">
        <v>14</v>
      </c>
      <c r="G421">
        <v>39</v>
      </c>
      <c r="H421">
        <v>1</v>
      </c>
      <c r="I421">
        <v>5</v>
      </c>
      <c r="J421">
        <v>347082</v>
      </c>
      <c r="K421">
        <v>31.274999999999999</v>
      </c>
      <c r="M421" s="6" t="str">
        <f t="shared" si="39"/>
        <v/>
      </c>
      <c r="N421" s="7" t="str">
        <f t="shared" si="41"/>
        <v/>
      </c>
      <c r="O421" t="str">
        <f t="shared" si="40"/>
        <v>34</v>
      </c>
      <c r="P421" s="4" t="str">
        <f>LEFT(L421,1)</f>
        <v/>
      </c>
      <c r="Q421" t="s">
        <v>20</v>
      </c>
    </row>
    <row r="422" spans="1:17" hidden="1" x14ac:dyDescent="0.25">
      <c r="A422">
        <v>142</v>
      </c>
      <c r="B422">
        <v>1</v>
      </c>
      <c r="C422">
        <v>3</v>
      </c>
      <c r="D422" t="s">
        <v>744</v>
      </c>
      <c r="E422" s="4">
        <f>LEN(D422)</f>
        <v>24</v>
      </c>
      <c r="F422" t="s">
        <v>14</v>
      </c>
      <c r="G422">
        <v>22</v>
      </c>
      <c r="H422">
        <v>0</v>
      </c>
      <c r="I422">
        <v>0</v>
      </c>
      <c r="J422">
        <v>347081</v>
      </c>
      <c r="K422">
        <v>7.75</v>
      </c>
      <c r="M422" s="6" t="str">
        <f t="shared" si="39"/>
        <v/>
      </c>
      <c r="N422" s="7" t="str">
        <f t="shared" si="41"/>
        <v/>
      </c>
      <c r="O422" t="str">
        <f t="shared" si="40"/>
        <v>34</v>
      </c>
      <c r="P422" s="4" t="str">
        <f>LEFT(L422,1)</f>
        <v/>
      </c>
      <c r="Q422" t="s">
        <v>20</v>
      </c>
    </row>
    <row r="423" spans="1:17" x14ac:dyDescent="0.25">
      <c r="A423">
        <v>488</v>
      </c>
      <c r="B423">
        <v>0</v>
      </c>
      <c r="C423">
        <v>1</v>
      </c>
      <c r="D423" t="s">
        <v>261</v>
      </c>
      <c r="E423" s="4">
        <f>LEN(D423)</f>
        <v>23</v>
      </c>
      <c r="F423" t="s">
        <v>24</v>
      </c>
      <c r="G423">
        <v>58</v>
      </c>
      <c r="H423">
        <v>0</v>
      </c>
      <c r="I423">
        <v>0</v>
      </c>
      <c r="J423">
        <v>11771</v>
      </c>
      <c r="K423">
        <v>29.7</v>
      </c>
      <c r="L423" t="s">
        <v>262</v>
      </c>
      <c r="M423" s="6" t="str">
        <f t="shared" si="39"/>
        <v>37</v>
      </c>
      <c r="N423" s="7">
        <f t="shared" si="41"/>
        <v>37</v>
      </c>
      <c r="O423" t="str">
        <f t="shared" si="40"/>
        <v>11</v>
      </c>
      <c r="P423" s="4" t="str">
        <f>LEFT(L423,1)</f>
        <v>B</v>
      </c>
      <c r="Q423" t="s">
        <v>17</v>
      </c>
    </row>
    <row r="424" spans="1:17" hidden="1" x14ac:dyDescent="0.25">
      <c r="A424">
        <v>424</v>
      </c>
      <c r="B424">
        <v>0</v>
      </c>
      <c r="C424">
        <v>3</v>
      </c>
      <c r="D424" t="s">
        <v>928</v>
      </c>
      <c r="E424" s="4">
        <f>LEN(D424)</f>
        <v>54</v>
      </c>
      <c r="F424" t="s">
        <v>14</v>
      </c>
      <c r="G424">
        <v>28</v>
      </c>
      <c r="H424">
        <v>1</v>
      </c>
      <c r="I424">
        <v>1</v>
      </c>
      <c r="J424">
        <v>347080</v>
      </c>
      <c r="K424">
        <v>14.4</v>
      </c>
      <c r="M424" s="6" t="str">
        <f t="shared" si="39"/>
        <v/>
      </c>
      <c r="N424" s="7" t="str">
        <f t="shared" si="41"/>
        <v/>
      </c>
      <c r="O424" t="str">
        <f t="shared" si="40"/>
        <v>34</v>
      </c>
      <c r="P424" s="4" t="str">
        <f>LEFT(L424,1)</f>
        <v/>
      </c>
      <c r="Q424" t="s">
        <v>20</v>
      </c>
    </row>
    <row r="425" spans="1:17" hidden="1" x14ac:dyDescent="0.25">
      <c r="A425">
        <v>617</v>
      </c>
      <c r="B425">
        <v>0</v>
      </c>
      <c r="C425">
        <v>3</v>
      </c>
      <c r="D425" t="s">
        <v>1061</v>
      </c>
      <c r="E425" s="4">
        <f>LEN(D425)</f>
        <v>25</v>
      </c>
      <c r="F425" t="s">
        <v>24</v>
      </c>
      <c r="G425">
        <v>34</v>
      </c>
      <c r="H425">
        <v>1</v>
      </c>
      <c r="I425">
        <v>1</v>
      </c>
      <c r="J425">
        <v>347080</v>
      </c>
      <c r="K425">
        <v>14.4</v>
      </c>
      <c r="M425" s="6" t="str">
        <f t="shared" si="39"/>
        <v/>
      </c>
      <c r="N425" s="7" t="str">
        <f t="shared" si="41"/>
        <v/>
      </c>
      <c r="O425" t="str">
        <f t="shared" si="40"/>
        <v>34</v>
      </c>
      <c r="P425" s="4" t="str">
        <f>LEFT(L425,1)</f>
        <v/>
      </c>
      <c r="Q425" t="s">
        <v>20</v>
      </c>
    </row>
    <row r="426" spans="1:17" hidden="1" x14ac:dyDescent="0.25">
      <c r="A426">
        <v>45</v>
      </c>
      <c r="B426">
        <v>1</v>
      </c>
      <c r="C426">
        <v>3</v>
      </c>
      <c r="D426" t="s">
        <v>681</v>
      </c>
      <c r="E426" s="4">
        <f>LEN(D426)</f>
        <v>29</v>
      </c>
      <c r="F426" t="s">
        <v>14</v>
      </c>
      <c r="G426">
        <v>19</v>
      </c>
      <c r="H426">
        <v>0</v>
      </c>
      <c r="I426">
        <v>0</v>
      </c>
      <c r="J426">
        <v>330958</v>
      </c>
      <c r="K426">
        <v>7.8792</v>
      </c>
      <c r="M426" s="6" t="str">
        <f t="shared" si="39"/>
        <v/>
      </c>
      <c r="N426" s="7" t="str">
        <f t="shared" si="41"/>
        <v/>
      </c>
      <c r="O426" t="str">
        <f t="shared" si="40"/>
        <v>33</v>
      </c>
      <c r="P426" s="4" t="str">
        <f>LEFT(L426,1)</f>
        <v/>
      </c>
      <c r="Q426" t="s">
        <v>161</v>
      </c>
    </row>
    <row r="427" spans="1:17" hidden="1" x14ac:dyDescent="0.25">
      <c r="A427">
        <v>776</v>
      </c>
      <c r="B427">
        <v>0</v>
      </c>
      <c r="C427">
        <v>3</v>
      </c>
      <c r="D427" t="s">
        <v>1164</v>
      </c>
      <c r="E427" s="4">
        <f>LEN(D427)</f>
        <v>39</v>
      </c>
      <c r="F427" t="s">
        <v>24</v>
      </c>
      <c r="G427">
        <v>18</v>
      </c>
      <c r="H427">
        <v>0</v>
      </c>
      <c r="I427">
        <v>0</v>
      </c>
      <c r="J427">
        <v>347078</v>
      </c>
      <c r="K427">
        <v>7.75</v>
      </c>
      <c r="M427" s="6" t="str">
        <f t="shared" si="39"/>
        <v/>
      </c>
      <c r="N427" s="7" t="str">
        <f t="shared" si="41"/>
        <v/>
      </c>
      <c r="O427" t="str">
        <f t="shared" si="40"/>
        <v>34</v>
      </c>
      <c r="P427" s="4" t="str">
        <f>LEFT(L427,1)</f>
        <v/>
      </c>
      <c r="Q427" t="s">
        <v>20</v>
      </c>
    </row>
    <row r="428" spans="1:17" hidden="1" x14ac:dyDescent="0.25">
      <c r="A428">
        <v>26</v>
      </c>
      <c r="B428">
        <v>1</v>
      </c>
      <c r="C428">
        <v>3</v>
      </c>
      <c r="D428" t="s">
        <v>672</v>
      </c>
      <c r="E428" s="4">
        <f>LEN(D428)</f>
        <v>57</v>
      </c>
      <c r="F428" t="s">
        <v>14</v>
      </c>
      <c r="G428">
        <v>38</v>
      </c>
      <c r="H428">
        <v>1</v>
      </c>
      <c r="I428">
        <v>5</v>
      </c>
      <c r="J428">
        <v>347077</v>
      </c>
      <c r="K428">
        <v>31.387499999999999</v>
      </c>
      <c r="M428" s="6" t="str">
        <f t="shared" si="39"/>
        <v/>
      </c>
      <c r="N428" s="7" t="str">
        <f t="shared" si="41"/>
        <v/>
      </c>
      <c r="O428" t="str">
        <f t="shared" si="40"/>
        <v>34</v>
      </c>
      <c r="P428" s="4" t="str">
        <f>LEFT(L428,1)</f>
        <v/>
      </c>
      <c r="Q428" t="s">
        <v>20</v>
      </c>
    </row>
    <row r="429" spans="1:17" hidden="1" x14ac:dyDescent="0.25">
      <c r="A429">
        <v>183</v>
      </c>
      <c r="B429">
        <v>0</v>
      </c>
      <c r="C429">
        <v>3</v>
      </c>
      <c r="D429" t="s">
        <v>771</v>
      </c>
      <c r="E429" s="4">
        <f>LEN(D429)</f>
        <v>37</v>
      </c>
      <c r="F429" t="s">
        <v>24</v>
      </c>
      <c r="G429">
        <v>9</v>
      </c>
      <c r="H429">
        <v>4</v>
      </c>
      <c r="I429">
        <v>2</v>
      </c>
      <c r="J429">
        <v>347077</v>
      </c>
      <c r="K429">
        <v>31.387499999999999</v>
      </c>
      <c r="M429" s="6" t="str">
        <f t="shared" si="39"/>
        <v/>
      </c>
      <c r="N429" s="7" t="str">
        <f t="shared" si="41"/>
        <v/>
      </c>
      <c r="O429" t="str">
        <f t="shared" si="40"/>
        <v>34</v>
      </c>
      <c r="P429" s="4" t="str">
        <f>LEFT(L429,1)</f>
        <v/>
      </c>
      <c r="Q429" t="s">
        <v>20</v>
      </c>
    </row>
    <row r="430" spans="1:17" hidden="1" x14ac:dyDescent="0.25">
      <c r="A430">
        <v>234</v>
      </c>
      <c r="B430">
        <v>1</v>
      </c>
      <c r="C430">
        <v>3</v>
      </c>
      <c r="D430" t="s">
        <v>806</v>
      </c>
      <c r="E430" s="4">
        <f>LEN(D430)</f>
        <v>30</v>
      </c>
      <c r="F430" t="s">
        <v>14</v>
      </c>
      <c r="G430">
        <v>5</v>
      </c>
      <c r="H430">
        <v>4</v>
      </c>
      <c r="I430">
        <v>2</v>
      </c>
      <c r="J430">
        <v>347077</v>
      </c>
      <c r="K430">
        <v>31.387499999999999</v>
      </c>
      <c r="M430" s="6" t="str">
        <f t="shared" si="39"/>
        <v/>
      </c>
      <c r="N430" s="7" t="str">
        <f t="shared" si="41"/>
        <v/>
      </c>
      <c r="O430" t="str">
        <f t="shared" si="40"/>
        <v>34</v>
      </c>
      <c r="P430" s="4" t="str">
        <f>LEFT(L430,1)</f>
        <v/>
      </c>
      <c r="Q430" t="s">
        <v>20</v>
      </c>
    </row>
    <row r="431" spans="1:17" hidden="1" x14ac:dyDescent="0.25">
      <c r="A431">
        <v>262</v>
      </c>
      <c r="B431">
        <v>1</v>
      </c>
      <c r="C431">
        <v>3</v>
      </c>
      <c r="D431" t="s">
        <v>824</v>
      </c>
      <c r="E431" s="4">
        <f>LEN(D431)</f>
        <v>33</v>
      </c>
      <c r="F431" t="s">
        <v>24</v>
      </c>
      <c r="G431">
        <v>3</v>
      </c>
      <c r="H431">
        <v>4</v>
      </c>
      <c r="I431">
        <v>2</v>
      </c>
      <c r="J431">
        <v>347077</v>
      </c>
      <c r="K431">
        <v>31.387499999999999</v>
      </c>
      <c r="M431" s="6" t="str">
        <f t="shared" si="39"/>
        <v/>
      </c>
      <c r="N431" s="7" t="str">
        <f t="shared" si="41"/>
        <v/>
      </c>
      <c r="O431" t="str">
        <f t="shared" si="40"/>
        <v>34</v>
      </c>
      <c r="P431" s="4" t="str">
        <f>LEFT(L431,1)</f>
        <v/>
      </c>
      <c r="Q431" t="s">
        <v>20</v>
      </c>
    </row>
    <row r="432" spans="1:17" hidden="1" x14ac:dyDescent="0.25">
      <c r="A432">
        <v>443</v>
      </c>
      <c r="B432">
        <v>0</v>
      </c>
      <c r="C432">
        <v>3</v>
      </c>
      <c r="D432" t="s">
        <v>941</v>
      </c>
      <c r="E432" s="4">
        <f>LEN(D432)</f>
        <v>25</v>
      </c>
      <c r="F432" t="s">
        <v>24</v>
      </c>
      <c r="G432">
        <v>25</v>
      </c>
      <c r="H432">
        <v>1</v>
      </c>
      <c r="I432">
        <v>0</v>
      </c>
      <c r="J432">
        <v>347076</v>
      </c>
      <c r="K432">
        <v>7.7750000000000004</v>
      </c>
      <c r="M432" s="6" t="str">
        <f t="shared" si="39"/>
        <v/>
      </c>
      <c r="N432" s="7" t="str">
        <f t="shared" si="41"/>
        <v/>
      </c>
      <c r="O432" t="str">
        <f t="shared" si="40"/>
        <v>34</v>
      </c>
      <c r="P432" s="4" t="str">
        <f>LEFT(L432,1)</f>
        <v/>
      </c>
      <c r="Q432" t="s">
        <v>20</v>
      </c>
    </row>
    <row r="433" spans="1:17" hidden="1" x14ac:dyDescent="0.25">
      <c r="A433">
        <v>765</v>
      </c>
      <c r="B433">
        <v>0</v>
      </c>
      <c r="C433">
        <v>3</v>
      </c>
      <c r="D433" t="s">
        <v>1156</v>
      </c>
      <c r="E433" s="4">
        <f>LEN(D433)</f>
        <v>22</v>
      </c>
      <c r="F433" t="s">
        <v>24</v>
      </c>
      <c r="G433">
        <v>16</v>
      </c>
      <c r="H433">
        <v>0</v>
      </c>
      <c r="I433">
        <v>0</v>
      </c>
      <c r="J433">
        <v>347074</v>
      </c>
      <c r="K433">
        <v>7.7750000000000004</v>
      </c>
      <c r="M433" s="6" t="str">
        <f t="shared" si="39"/>
        <v/>
      </c>
      <c r="N433" s="7" t="str">
        <f t="shared" si="41"/>
        <v/>
      </c>
      <c r="O433" t="str">
        <f t="shared" si="40"/>
        <v>34</v>
      </c>
      <c r="P433" s="4" t="str">
        <f>LEFT(L433,1)</f>
        <v/>
      </c>
      <c r="Q433" t="s">
        <v>20</v>
      </c>
    </row>
    <row r="434" spans="1:17" hidden="1" x14ac:dyDescent="0.25">
      <c r="A434">
        <v>277</v>
      </c>
      <c r="B434">
        <v>0</v>
      </c>
      <c r="C434">
        <v>3</v>
      </c>
      <c r="D434" t="s">
        <v>831</v>
      </c>
      <c r="E434" s="4">
        <f>LEN(D434)</f>
        <v>33</v>
      </c>
      <c r="F434" t="s">
        <v>14</v>
      </c>
      <c r="G434">
        <v>45</v>
      </c>
      <c r="H434">
        <v>0</v>
      </c>
      <c r="I434">
        <v>0</v>
      </c>
      <c r="J434">
        <v>347073</v>
      </c>
      <c r="K434">
        <v>7.75</v>
      </c>
      <c r="M434" s="6" t="str">
        <f t="shared" si="39"/>
        <v/>
      </c>
      <c r="N434" s="7" t="str">
        <f t="shared" si="41"/>
        <v/>
      </c>
      <c r="O434" t="str">
        <f t="shared" si="40"/>
        <v>34</v>
      </c>
      <c r="P434" s="4" t="str">
        <f>LEFT(L434,1)</f>
        <v/>
      </c>
      <c r="Q434" t="s">
        <v>20</v>
      </c>
    </row>
    <row r="435" spans="1:17" x14ac:dyDescent="0.25">
      <c r="A435">
        <v>311</v>
      </c>
      <c r="B435">
        <v>1</v>
      </c>
      <c r="C435">
        <v>1</v>
      </c>
      <c r="D435" t="s">
        <v>201</v>
      </c>
      <c r="E435" s="4">
        <f>LEN(D435)</f>
        <v>30</v>
      </c>
      <c r="F435" t="s">
        <v>14</v>
      </c>
      <c r="G435">
        <v>24</v>
      </c>
      <c r="H435">
        <v>0</v>
      </c>
      <c r="I435">
        <v>0</v>
      </c>
      <c r="J435">
        <v>11767</v>
      </c>
      <c r="K435">
        <v>83.158299999999997</v>
      </c>
      <c r="L435" t="s">
        <v>202</v>
      </c>
      <c r="M435" s="6" t="str">
        <f t="shared" si="39"/>
        <v>54</v>
      </c>
      <c r="N435" s="7">
        <f t="shared" si="41"/>
        <v>54</v>
      </c>
      <c r="O435" t="str">
        <f t="shared" si="40"/>
        <v>11</v>
      </c>
      <c r="P435" s="4" t="str">
        <f>LEFT(L435,1)</f>
        <v>C</v>
      </c>
      <c r="Q435" t="s">
        <v>17</v>
      </c>
    </row>
    <row r="436" spans="1:17" hidden="1" x14ac:dyDescent="0.25">
      <c r="A436">
        <v>247</v>
      </c>
      <c r="B436">
        <v>0</v>
      </c>
      <c r="C436">
        <v>3</v>
      </c>
      <c r="D436" t="s">
        <v>814</v>
      </c>
      <c r="E436" s="4">
        <f>LEN(D436)</f>
        <v>37</v>
      </c>
      <c r="F436" t="s">
        <v>14</v>
      </c>
      <c r="G436">
        <v>25</v>
      </c>
      <c r="H436">
        <v>0</v>
      </c>
      <c r="I436">
        <v>0</v>
      </c>
      <c r="J436">
        <v>347071</v>
      </c>
      <c r="K436">
        <v>7.7750000000000004</v>
      </c>
      <c r="M436" s="6" t="str">
        <f t="shared" si="39"/>
        <v/>
      </c>
      <c r="N436" s="7" t="str">
        <f t="shared" si="41"/>
        <v/>
      </c>
      <c r="O436" t="str">
        <f t="shared" si="40"/>
        <v>34</v>
      </c>
      <c r="P436" s="4" t="str">
        <f>LEFT(L436,1)</f>
        <v/>
      </c>
      <c r="Q436" t="s">
        <v>20</v>
      </c>
    </row>
    <row r="437" spans="1:17" x14ac:dyDescent="0.25">
      <c r="A437">
        <v>880</v>
      </c>
      <c r="B437">
        <v>1</v>
      </c>
      <c r="C437">
        <v>1</v>
      </c>
      <c r="D437" t="s">
        <v>415</v>
      </c>
      <c r="E437" s="4">
        <f>LEN(D437)</f>
        <v>45</v>
      </c>
      <c r="F437" t="s">
        <v>14</v>
      </c>
      <c r="G437">
        <v>56</v>
      </c>
      <c r="H437">
        <v>0</v>
      </c>
      <c r="I437">
        <v>1</v>
      </c>
      <c r="J437">
        <v>11767</v>
      </c>
      <c r="K437">
        <v>83.158299999999997</v>
      </c>
      <c r="L437" t="s">
        <v>416</v>
      </c>
      <c r="M437" s="6" t="str">
        <f t="shared" si="39"/>
        <v>50</v>
      </c>
      <c r="N437" s="7">
        <f t="shared" si="41"/>
        <v>50</v>
      </c>
      <c r="O437" t="str">
        <f t="shared" si="40"/>
        <v>11</v>
      </c>
      <c r="P437" s="4" t="str">
        <f>LEFT(L437,1)</f>
        <v>C</v>
      </c>
      <c r="Q437" t="s">
        <v>17</v>
      </c>
    </row>
    <row r="438" spans="1:17" hidden="1" x14ac:dyDescent="0.25">
      <c r="A438">
        <v>380</v>
      </c>
      <c r="B438">
        <v>0</v>
      </c>
      <c r="C438">
        <v>3</v>
      </c>
      <c r="D438" t="s">
        <v>896</v>
      </c>
      <c r="E438" s="4">
        <f>LEN(D438)</f>
        <v>27</v>
      </c>
      <c r="F438" t="s">
        <v>24</v>
      </c>
      <c r="G438">
        <v>19</v>
      </c>
      <c r="H438">
        <v>0</v>
      </c>
      <c r="I438">
        <v>0</v>
      </c>
      <c r="J438">
        <v>347069</v>
      </c>
      <c r="K438">
        <v>7.7750000000000004</v>
      </c>
      <c r="M438" s="6" t="str">
        <f t="shared" si="39"/>
        <v/>
      </c>
      <c r="N438" s="7" t="str">
        <f t="shared" si="41"/>
        <v/>
      </c>
      <c r="O438" t="str">
        <f t="shared" si="40"/>
        <v>34</v>
      </c>
      <c r="P438" s="4" t="str">
        <f>LEFT(L438,1)</f>
        <v/>
      </c>
      <c r="Q438" t="s">
        <v>20</v>
      </c>
    </row>
    <row r="439" spans="1:17" hidden="1" x14ac:dyDescent="0.25">
      <c r="A439">
        <v>163</v>
      </c>
      <c r="B439">
        <v>0</v>
      </c>
      <c r="C439">
        <v>3</v>
      </c>
      <c r="D439" t="s">
        <v>758</v>
      </c>
      <c r="E439" s="4">
        <f>LEN(D439)</f>
        <v>26</v>
      </c>
      <c r="F439" t="s">
        <v>24</v>
      </c>
      <c r="G439">
        <v>26</v>
      </c>
      <c r="H439">
        <v>0</v>
      </c>
      <c r="I439">
        <v>0</v>
      </c>
      <c r="J439">
        <v>347068</v>
      </c>
      <c r="K439">
        <v>7.7750000000000004</v>
      </c>
      <c r="M439" s="6" t="str">
        <f t="shared" si="39"/>
        <v/>
      </c>
      <c r="N439" s="7" t="str">
        <f t="shared" si="41"/>
        <v/>
      </c>
      <c r="O439" t="str">
        <f t="shared" si="40"/>
        <v>34</v>
      </c>
      <c r="P439" s="4" t="str">
        <f>LEFT(L439,1)</f>
        <v/>
      </c>
      <c r="Q439" t="s">
        <v>20</v>
      </c>
    </row>
    <row r="440" spans="1:17" hidden="1" x14ac:dyDescent="0.25">
      <c r="A440">
        <v>232</v>
      </c>
      <c r="B440">
        <v>0</v>
      </c>
      <c r="C440">
        <v>3</v>
      </c>
      <c r="D440" t="s">
        <v>805</v>
      </c>
      <c r="E440" s="4">
        <f>LEN(D440)</f>
        <v>24</v>
      </c>
      <c r="F440" t="s">
        <v>24</v>
      </c>
      <c r="G440">
        <v>29</v>
      </c>
      <c r="H440">
        <v>0</v>
      </c>
      <c r="I440">
        <v>0</v>
      </c>
      <c r="J440">
        <v>347067</v>
      </c>
      <c r="K440">
        <v>7.7750000000000004</v>
      </c>
      <c r="M440" s="6" t="str">
        <f t="shared" si="39"/>
        <v/>
      </c>
      <c r="N440" s="7" t="str">
        <f t="shared" si="41"/>
        <v/>
      </c>
      <c r="O440" t="str">
        <f t="shared" si="40"/>
        <v>34</v>
      </c>
      <c r="P440" s="4" t="str">
        <f>LEFT(L440,1)</f>
        <v/>
      </c>
      <c r="Q440" t="s">
        <v>20</v>
      </c>
    </row>
    <row r="441" spans="1:17" hidden="1" x14ac:dyDescent="0.25">
      <c r="A441">
        <v>407</v>
      </c>
      <c r="B441">
        <v>0</v>
      </c>
      <c r="C441">
        <v>3</v>
      </c>
      <c r="D441" t="s">
        <v>913</v>
      </c>
      <c r="E441" s="4">
        <f>LEN(D441)</f>
        <v>32</v>
      </c>
      <c r="F441" t="s">
        <v>24</v>
      </c>
      <c r="G441">
        <v>51</v>
      </c>
      <c r="H441">
        <v>0</v>
      </c>
      <c r="I441">
        <v>0</v>
      </c>
      <c r="J441">
        <v>347064</v>
      </c>
      <c r="K441">
        <v>7.75</v>
      </c>
      <c r="M441" s="6" t="str">
        <f t="shared" si="39"/>
        <v/>
      </c>
      <c r="N441" s="7" t="str">
        <f t="shared" si="41"/>
        <v/>
      </c>
      <c r="O441" t="str">
        <f t="shared" si="40"/>
        <v>34</v>
      </c>
      <c r="P441" s="4" t="str">
        <f>LEFT(L441,1)</f>
        <v/>
      </c>
      <c r="Q441" t="s">
        <v>20</v>
      </c>
    </row>
    <row r="442" spans="1:17" hidden="1" x14ac:dyDescent="0.25">
      <c r="A442">
        <v>806</v>
      </c>
      <c r="B442">
        <v>0</v>
      </c>
      <c r="C442">
        <v>3</v>
      </c>
      <c r="D442" t="s">
        <v>1185</v>
      </c>
      <c r="E442" s="4">
        <f>LEN(D442)</f>
        <v>25</v>
      </c>
      <c r="F442" t="s">
        <v>24</v>
      </c>
      <c r="G442">
        <v>31</v>
      </c>
      <c r="H442">
        <v>0</v>
      </c>
      <c r="I442">
        <v>0</v>
      </c>
      <c r="J442">
        <v>347063</v>
      </c>
      <c r="K442">
        <v>7.7750000000000004</v>
      </c>
      <c r="M442" s="6" t="str">
        <f t="shared" si="39"/>
        <v/>
      </c>
      <c r="N442" s="7" t="str">
        <f t="shared" si="41"/>
        <v/>
      </c>
      <c r="O442" t="str">
        <f t="shared" si="40"/>
        <v>34</v>
      </c>
      <c r="P442" s="4" t="str">
        <f>LEFT(L442,1)</f>
        <v/>
      </c>
      <c r="Q442" t="s">
        <v>20</v>
      </c>
    </row>
    <row r="443" spans="1:17" hidden="1" x14ac:dyDescent="0.25">
      <c r="A443">
        <v>720</v>
      </c>
      <c r="B443">
        <v>0</v>
      </c>
      <c r="C443">
        <v>3</v>
      </c>
      <c r="D443" t="s">
        <v>1125</v>
      </c>
      <c r="E443" s="4">
        <f>LEN(D443)</f>
        <v>28</v>
      </c>
      <c r="F443" t="s">
        <v>24</v>
      </c>
      <c r="G443">
        <v>33</v>
      </c>
      <c r="H443">
        <v>0</v>
      </c>
      <c r="I443">
        <v>0</v>
      </c>
      <c r="J443">
        <v>347062</v>
      </c>
      <c r="K443">
        <v>7.7750000000000004</v>
      </c>
      <c r="M443" s="6" t="str">
        <f t="shared" si="39"/>
        <v/>
      </c>
      <c r="N443" s="7" t="str">
        <f t="shared" si="41"/>
        <v/>
      </c>
      <c r="O443" t="str">
        <f t="shared" si="40"/>
        <v>34</v>
      </c>
      <c r="P443" s="4" t="str">
        <f>LEFT(L443,1)</f>
        <v/>
      </c>
      <c r="Q443" t="s">
        <v>20</v>
      </c>
    </row>
    <row r="444" spans="1:17" hidden="1" x14ac:dyDescent="0.25">
      <c r="A444">
        <v>130</v>
      </c>
      <c r="B444">
        <v>0</v>
      </c>
      <c r="C444">
        <v>3</v>
      </c>
      <c r="D444" t="s">
        <v>737</v>
      </c>
      <c r="E444" s="4">
        <f>LEN(D444)</f>
        <v>18</v>
      </c>
      <c r="F444" t="s">
        <v>24</v>
      </c>
      <c r="G444">
        <v>45</v>
      </c>
      <c r="H444">
        <v>0</v>
      </c>
      <c r="I444">
        <v>0</v>
      </c>
      <c r="J444">
        <v>347061</v>
      </c>
      <c r="K444">
        <v>6.9749999999999996</v>
      </c>
      <c r="M444" s="6" t="str">
        <f t="shared" si="39"/>
        <v/>
      </c>
      <c r="N444" s="7" t="str">
        <f t="shared" si="41"/>
        <v/>
      </c>
      <c r="O444" t="str">
        <f t="shared" si="40"/>
        <v>34</v>
      </c>
      <c r="P444" s="4" t="str">
        <f>LEFT(L444,1)</f>
        <v/>
      </c>
      <c r="Q444" t="s">
        <v>20</v>
      </c>
    </row>
    <row r="445" spans="1:17" hidden="1" x14ac:dyDescent="0.25">
      <c r="A445">
        <v>852</v>
      </c>
      <c r="B445">
        <v>0</v>
      </c>
      <c r="C445">
        <v>3</v>
      </c>
      <c r="D445" t="s">
        <v>1219</v>
      </c>
      <c r="E445" s="4">
        <f>LEN(D445)</f>
        <v>19</v>
      </c>
      <c r="F445" t="s">
        <v>24</v>
      </c>
      <c r="G445">
        <v>74</v>
      </c>
      <c r="H445">
        <v>0</v>
      </c>
      <c r="I445">
        <v>0</v>
      </c>
      <c r="J445">
        <v>347060</v>
      </c>
      <c r="K445">
        <v>7.7750000000000004</v>
      </c>
      <c r="M445" s="6" t="str">
        <f t="shared" si="39"/>
        <v/>
      </c>
      <c r="N445" s="7" t="str">
        <f t="shared" si="41"/>
        <v/>
      </c>
      <c r="O445" t="str">
        <f t="shared" si="40"/>
        <v>34</v>
      </c>
      <c r="P445" s="4" t="str">
        <f>LEFT(L445,1)</f>
        <v/>
      </c>
      <c r="Q445" t="s">
        <v>20</v>
      </c>
    </row>
    <row r="446" spans="1:17" x14ac:dyDescent="0.25">
      <c r="A446">
        <v>371</v>
      </c>
      <c r="B446">
        <v>1</v>
      </c>
      <c r="C446">
        <v>1</v>
      </c>
      <c r="D446" t="s">
        <v>228</v>
      </c>
      <c r="E446" s="4">
        <f>LEN(D446)</f>
        <v>27</v>
      </c>
      <c r="F446" t="s">
        <v>24</v>
      </c>
      <c r="G446">
        <v>25</v>
      </c>
      <c r="H446">
        <v>1</v>
      </c>
      <c r="I446">
        <v>0</v>
      </c>
      <c r="J446">
        <v>11765</v>
      </c>
      <c r="K446">
        <v>55.441699999999997</v>
      </c>
      <c r="L446" t="s">
        <v>229</v>
      </c>
      <c r="M446" s="6" t="str">
        <f t="shared" si="39"/>
        <v>50</v>
      </c>
      <c r="N446" s="7">
        <f t="shared" si="41"/>
        <v>50</v>
      </c>
      <c r="O446" t="str">
        <f t="shared" si="40"/>
        <v>11</v>
      </c>
      <c r="P446" s="4" t="str">
        <f>LEFT(L446,1)</f>
        <v>E</v>
      </c>
      <c r="Q446" t="s">
        <v>17</v>
      </c>
    </row>
    <row r="447" spans="1:17" x14ac:dyDescent="0.25">
      <c r="A447">
        <v>206</v>
      </c>
      <c r="B447">
        <v>0</v>
      </c>
      <c r="C447">
        <v>3</v>
      </c>
      <c r="D447" t="s">
        <v>785</v>
      </c>
      <c r="E447" s="4">
        <f>LEN(D447)</f>
        <v>26</v>
      </c>
      <c r="F447" t="s">
        <v>14</v>
      </c>
      <c r="G447">
        <v>2</v>
      </c>
      <c r="H447">
        <v>0</v>
      </c>
      <c r="I447">
        <v>1</v>
      </c>
      <c r="J447">
        <v>347054</v>
      </c>
      <c r="K447">
        <v>10.4625</v>
      </c>
      <c r="L447" t="s">
        <v>663</v>
      </c>
      <c r="M447" s="6" t="str">
        <f t="shared" si="39"/>
        <v>6</v>
      </c>
      <c r="N447" s="7" t="str">
        <f t="shared" si="41"/>
        <v/>
      </c>
      <c r="O447" t="str">
        <f t="shared" si="40"/>
        <v>34</v>
      </c>
      <c r="P447" s="4" t="str">
        <f>LEFT(L447,1)</f>
        <v>G</v>
      </c>
      <c r="Q447" t="s">
        <v>20</v>
      </c>
    </row>
    <row r="448" spans="1:17" x14ac:dyDescent="0.25">
      <c r="A448">
        <v>252</v>
      </c>
      <c r="B448">
        <v>0</v>
      </c>
      <c r="C448">
        <v>3</v>
      </c>
      <c r="D448" t="s">
        <v>816</v>
      </c>
      <c r="E448" s="4">
        <f>LEN(D448)</f>
        <v>42</v>
      </c>
      <c r="F448" t="s">
        <v>14</v>
      </c>
      <c r="G448">
        <v>29</v>
      </c>
      <c r="H448">
        <v>1</v>
      </c>
      <c r="I448">
        <v>1</v>
      </c>
      <c r="J448">
        <v>347054</v>
      </c>
      <c r="K448">
        <v>10.4625</v>
      </c>
      <c r="L448" t="s">
        <v>663</v>
      </c>
      <c r="M448" s="6" t="str">
        <f t="shared" si="39"/>
        <v>6</v>
      </c>
      <c r="N448" s="7" t="str">
        <f t="shared" si="41"/>
        <v/>
      </c>
      <c r="O448" t="str">
        <f t="shared" si="40"/>
        <v>34</v>
      </c>
      <c r="P448" s="4" t="str">
        <f>LEFT(L448,1)</f>
        <v>G</v>
      </c>
      <c r="Q448" t="s">
        <v>20</v>
      </c>
    </row>
    <row r="449" spans="1:17" hidden="1" x14ac:dyDescent="0.25">
      <c r="A449">
        <v>356</v>
      </c>
      <c r="B449">
        <v>0</v>
      </c>
      <c r="C449">
        <v>3</v>
      </c>
      <c r="D449" t="s">
        <v>879</v>
      </c>
      <c r="E449" s="4">
        <f>LEN(D449)</f>
        <v>27</v>
      </c>
      <c r="F449" t="s">
        <v>24</v>
      </c>
      <c r="G449">
        <v>28</v>
      </c>
      <c r="H449">
        <v>0</v>
      </c>
      <c r="I449">
        <v>0</v>
      </c>
      <c r="J449">
        <v>345783</v>
      </c>
      <c r="K449">
        <v>9.5</v>
      </c>
      <c r="M449" s="6" t="str">
        <f t="shared" si="39"/>
        <v/>
      </c>
      <c r="N449" s="7" t="str">
        <f t="shared" si="41"/>
        <v/>
      </c>
      <c r="O449" t="str">
        <f t="shared" si="40"/>
        <v>34</v>
      </c>
      <c r="P449" s="4" t="str">
        <f>LEFT(L449,1)</f>
        <v/>
      </c>
      <c r="Q449" t="s">
        <v>20</v>
      </c>
    </row>
    <row r="450" spans="1:17" hidden="1" x14ac:dyDescent="0.25">
      <c r="A450">
        <v>771</v>
      </c>
      <c r="B450">
        <v>0</v>
      </c>
      <c r="C450">
        <v>3</v>
      </c>
      <c r="D450" t="s">
        <v>1161</v>
      </c>
      <c r="E450" s="4">
        <f>LEN(D450)</f>
        <v>22</v>
      </c>
      <c r="F450" t="s">
        <v>24</v>
      </c>
      <c r="G450">
        <v>24</v>
      </c>
      <c r="H450">
        <v>0</v>
      </c>
      <c r="I450">
        <v>0</v>
      </c>
      <c r="J450">
        <v>345781</v>
      </c>
      <c r="K450">
        <v>9.5</v>
      </c>
      <c r="M450" s="6" t="str">
        <f t="shared" si="39"/>
        <v/>
      </c>
      <c r="N450" s="7" t="str">
        <f t="shared" si="41"/>
        <v/>
      </c>
      <c r="O450" t="str">
        <f t="shared" si="40"/>
        <v>34</v>
      </c>
      <c r="P450" s="4" t="str">
        <f>LEFT(L450,1)</f>
        <v/>
      </c>
      <c r="Q450" t="s">
        <v>20</v>
      </c>
    </row>
    <row r="451" spans="1:17" hidden="1" x14ac:dyDescent="0.25">
      <c r="A451">
        <v>753</v>
      </c>
      <c r="B451">
        <v>0</v>
      </c>
      <c r="C451">
        <v>3</v>
      </c>
      <c r="D451" t="s">
        <v>1148</v>
      </c>
      <c r="E451" s="4">
        <f>LEN(D451)</f>
        <v>32</v>
      </c>
      <c r="F451" t="s">
        <v>24</v>
      </c>
      <c r="G451">
        <v>33</v>
      </c>
      <c r="H451">
        <v>0</v>
      </c>
      <c r="I451">
        <v>0</v>
      </c>
      <c r="J451">
        <v>345780</v>
      </c>
      <c r="K451">
        <v>9.5</v>
      </c>
      <c r="M451" s="6" t="str">
        <f t="shared" ref="M451:M514" si="42">IF(LEN(L451)&gt;3,RIGHT((LEFT(L451,4)),3),IF(LEN(L451)=3,RIGHT(L451,2),RIGHT(L451,1)))</f>
        <v/>
      </c>
      <c r="N451" s="7" t="str">
        <f t="shared" si="41"/>
        <v/>
      </c>
      <c r="O451" t="str">
        <f t="shared" ref="O451:O514" si="43">LEFT(J451,2)</f>
        <v>34</v>
      </c>
      <c r="P451" s="4" t="str">
        <f>LEFT(L451,1)</f>
        <v/>
      </c>
      <c r="Q451" t="s">
        <v>20</v>
      </c>
    </row>
    <row r="452" spans="1:17" hidden="1" x14ac:dyDescent="0.25">
      <c r="A452">
        <v>82</v>
      </c>
      <c r="B452">
        <v>1</v>
      </c>
      <c r="C452">
        <v>3</v>
      </c>
      <c r="D452" t="s">
        <v>710</v>
      </c>
      <c r="E452" s="4">
        <f>LEN(D452)</f>
        <v>27</v>
      </c>
      <c r="F452" t="s">
        <v>24</v>
      </c>
      <c r="G452">
        <v>29</v>
      </c>
      <c r="H452">
        <v>0</v>
      </c>
      <c r="I452">
        <v>0</v>
      </c>
      <c r="J452">
        <v>345779</v>
      </c>
      <c r="K452">
        <v>9.5</v>
      </c>
      <c r="M452" s="6" t="str">
        <f t="shared" si="42"/>
        <v/>
      </c>
      <c r="N452" s="7" t="str">
        <f t="shared" ref="N452:N515" si="44">IF(LEN(M452)&gt;1, M452+0,"")</f>
        <v/>
      </c>
      <c r="O452" t="str">
        <f t="shared" si="43"/>
        <v>34</v>
      </c>
      <c r="P452" s="4" t="str">
        <f>LEFT(L452,1)</f>
        <v/>
      </c>
      <c r="Q452" t="s">
        <v>20</v>
      </c>
    </row>
    <row r="453" spans="1:17" hidden="1" x14ac:dyDescent="0.25">
      <c r="A453">
        <v>283</v>
      </c>
      <c r="B453">
        <v>0</v>
      </c>
      <c r="C453">
        <v>3</v>
      </c>
      <c r="D453" t="s">
        <v>838</v>
      </c>
      <c r="E453" s="4">
        <f>LEN(D453)</f>
        <v>25</v>
      </c>
      <c r="F453" t="s">
        <v>24</v>
      </c>
      <c r="G453">
        <v>16</v>
      </c>
      <c r="H453">
        <v>0</v>
      </c>
      <c r="I453">
        <v>0</v>
      </c>
      <c r="J453">
        <v>345778</v>
      </c>
      <c r="K453">
        <v>9.5</v>
      </c>
      <c r="M453" s="6" t="str">
        <f t="shared" si="42"/>
        <v/>
      </c>
      <c r="N453" s="7" t="str">
        <f t="shared" si="44"/>
        <v/>
      </c>
      <c r="O453" t="str">
        <f t="shared" si="43"/>
        <v>34</v>
      </c>
      <c r="P453" s="4" t="str">
        <f>LEFT(L453,1)</f>
        <v/>
      </c>
      <c r="Q453" t="s">
        <v>20</v>
      </c>
    </row>
    <row r="454" spans="1:17" hidden="1" x14ac:dyDescent="0.25">
      <c r="A454">
        <v>869</v>
      </c>
      <c r="B454">
        <v>0</v>
      </c>
      <c r="C454">
        <v>3</v>
      </c>
      <c r="D454" t="s">
        <v>901</v>
      </c>
      <c r="E454" s="4">
        <f>LEN(D454)</f>
        <v>27</v>
      </c>
      <c r="F454" t="s">
        <v>24</v>
      </c>
      <c r="H454">
        <v>0</v>
      </c>
      <c r="I454">
        <v>0</v>
      </c>
      <c r="J454">
        <v>345777</v>
      </c>
      <c r="K454">
        <v>9.5</v>
      </c>
      <c r="M454" s="6" t="str">
        <f t="shared" si="42"/>
        <v/>
      </c>
      <c r="N454" s="7" t="str">
        <f t="shared" si="44"/>
        <v/>
      </c>
      <c r="O454" t="str">
        <f t="shared" si="43"/>
        <v>34</v>
      </c>
      <c r="P454" s="4" t="str">
        <f>LEFT(L454,1)</f>
        <v/>
      </c>
      <c r="Q454" t="s">
        <v>20</v>
      </c>
    </row>
    <row r="455" spans="1:17" hidden="1" x14ac:dyDescent="0.25">
      <c r="A455">
        <v>287</v>
      </c>
      <c r="B455">
        <v>1</v>
      </c>
      <c r="C455">
        <v>3</v>
      </c>
      <c r="D455" t="s">
        <v>843</v>
      </c>
      <c r="E455" s="4">
        <f>LEN(D455)</f>
        <v>23</v>
      </c>
      <c r="F455" t="s">
        <v>24</v>
      </c>
      <c r="G455">
        <v>30</v>
      </c>
      <c r="H455">
        <v>0</v>
      </c>
      <c r="I455">
        <v>0</v>
      </c>
      <c r="J455">
        <v>345774</v>
      </c>
      <c r="K455">
        <v>9.5</v>
      </c>
      <c r="M455" s="6" t="str">
        <f t="shared" si="42"/>
        <v/>
      </c>
      <c r="N455" s="7" t="str">
        <f t="shared" si="44"/>
        <v/>
      </c>
      <c r="O455" t="str">
        <f t="shared" si="43"/>
        <v>34</v>
      </c>
      <c r="P455" s="4" t="str">
        <f>LEFT(L455,1)</f>
        <v/>
      </c>
      <c r="Q455" t="s">
        <v>20</v>
      </c>
    </row>
    <row r="456" spans="1:17" hidden="1" x14ac:dyDescent="0.25">
      <c r="A456">
        <v>420</v>
      </c>
      <c r="B456">
        <v>0</v>
      </c>
      <c r="C456">
        <v>3</v>
      </c>
      <c r="D456" t="s">
        <v>922</v>
      </c>
      <c r="E456" s="4">
        <f>LEN(D456)</f>
        <v>25</v>
      </c>
      <c r="F456" t="s">
        <v>14</v>
      </c>
      <c r="G456">
        <v>10</v>
      </c>
      <c r="H456">
        <v>0</v>
      </c>
      <c r="I456">
        <v>2</v>
      </c>
      <c r="J456">
        <v>345773</v>
      </c>
      <c r="K456">
        <v>24.15</v>
      </c>
      <c r="M456" s="6" t="str">
        <f t="shared" si="42"/>
        <v/>
      </c>
      <c r="N456" s="7" t="str">
        <f t="shared" si="44"/>
        <v/>
      </c>
      <c r="O456" t="str">
        <f t="shared" si="43"/>
        <v>34</v>
      </c>
      <c r="P456" s="4" t="str">
        <f>LEFT(L456,1)</f>
        <v/>
      </c>
      <c r="Q456" t="s">
        <v>20</v>
      </c>
    </row>
    <row r="457" spans="1:17" hidden="1" x14ac:dyDescent="0.25">
      <c r="A457">
        <v>596</v>
      </c>
      <c r="B457">
        <v>0</v>
      </c>
      <c r="C457">
        <v>3</v>
      </c>
      <c r="D457" t="s">
        <v>1046</v>
      </c>
      <c r="E457" s="4">
        <f>LEN(D457)</f>
        <v>27</v>
      </c>
      <c r="F457" t="s">
        <v>24</v>
      </c>
      <c r="G457">
        <v>36</v>
      </c>
      <c r="H457">
        <v>1</v>
      </c>
      <c r="I457">
        <v>1</v>
      </c>
      <c r="J457">
        <v>345773</v>
      </c>
      <c r="K457">
        <v>24.15</v>
      </c>
      <c r="M457" s="6" t="str">
        <f t="shared" si="42"/>
        <v/>
      </c>
      <c r="N457" s="7" t="str">
        <f t="shared" si="44"/>
        <v/>
      </c>
      <c r="O457" t="str">
        <f t="shared" si="43"/>
        <v>34</v>
      </c>
      <c r="P457" s="4" t="str">
        <f>LEFT(L457,1)</f>
        <v/>
      </c>
      <c r="Q457" t="s">
        <v>20</v>
      </c>
    </row>
    <row r="458" spans="1:17" hidden="1" x14ac:dyDescent="0.25">
      <c r="A458">
        <v>800</v>
      </c>
      <c r="B458">
        <v>0</v>
      </c>
      <c r="C458">
        <v>3</v>
      </c>
      <c r="D458" t="s">
        <v>1182</v>
      </c>
      <c r="E458" s="4">
        <f>LEN(D458)</f>
        <v>52</v>
      </c>
      <c r="F458" t="s">
        <v>14</v>
      </c>
      <c r="G458">
        <v>30</v>
      </c>
      <c r="H458">
        <v>1</v>
      </c>
      <c r="I458">
        <v>1</v>
      </c>
      <c r="J458">
        <v>345773</v>
      </c>
      <c r="K458">
        <v>24.15</v>
      </c>
      <c r="M458" s="6" t="str">
        <f t="shared" si="42"/>
        <v/>
      </c>
      <c r="N458" s="7" t="str">
        <f t="shared" si="44"/>
        <v/>
      </c>
      <c r="O458" t="str">
        <f t="shared" si="43"/>
        <v>34</v>
      </c>
      <c r="P458" s="4" t="str">
        <f>LEFT(L458,1)</f>
        <v/>
      </c>
      <c r="Q458" t="s">
        <v>20</v>
      </c>
    </row>
    <row r="459" spans="1:17" hidden="1" x14ac:dyDescent="0.25">
      <c r="A459">
        <v>201</v>
      </c>
      <c r="B459">
        <v>0</v>
      </c>
      <c r="C459">
        <v>3</v>
      </c>
      <c r="D459" t="s">
        <v>779</v>
      </c>
      <c r="E459" s="4">
        <f>LEN(D459)</f>
        <v>30</v>
      </c>
      <c r="F459" t="s">
        <v>24</v>
      </c>
      <c r="G459">
        <v>28</v>
      </c>
      <c r="H459">
        <v>0</v>
      </c>
      <c r="I459">
        <v>0</v>
      </c>
      <c r="J459">
        <v>345770</v>
      </c>
      <c r="K459">
        <v>9.5</v>
      </c>
      <c r="M459" s="6" t="str">
        <f t="shared" si="42"/>
        <v/>
      </c>
      <c r="N459" s="7" t="str">
        <f t="shared" si="44"/>
        <v/>
      </c>
      <c r="O459" t="str">
        <f t="shared" si="43"/>
        <v>34</v>
      </c>
      <c r="P459" s="4" t="str">
        <f>LEFT(L459,1)</f>
        <v/>
      </c>
      <c r="Q459" t="s">
        <v>20</v>
      </c>
    </row>
    <row r="460" spans="1:17" hidden="1" x14ac:dyDescent="0.25">
      <c r="A460">
        <v>442</v>
      </c>
      <c r="B460">
        <v>0</v>
      </c>
      <c r="C460">
        <v>3</v>
      </c>
      <c r="D460" t="s">
        <v>940</v>
      </c>
      <c r="E460" s="4">
        <f>LEN(D460)</f>
        <v>15</v>
      </c>
      <c r="F460" t="s">
        <v>24</v>
      </c>
      <c r="G460">
        <v>20</v>
      </c>
      <c r="H460">
        <v>0</v>
      </c>
      <c r="I460">
        <v>0</v>
      </c>
      <c r="J460">
        <v>345769</v>
      </c>
      <c r="K460">
        <v>9.5</v>
      </c>
      <c r="M460" s="6" t="str">
        <f t="shared" si="42"/>
        <v/>
      </c>
      <c r="N460" s="7" t="str">
        <f t="shared" si="44"/>
        <v/>
      </c>
      <c r="O460" t="str">
        <f t="shared" si="43"/>
        <v>34</v>
      </c>
      <c r="P460" s="4" t="str">
        <f>LEFT(L460,1)</f>
        <v/>
      </c>
      <c r="Q460" t="s">
        <v>20</v>
      </c>
    </row>
    <row r="461" spans="1:17" hidden="1" x14ac:dyDescent="0.25">
      <c r="A461">
        <v>81</v>
      </c>
      <c r="B461">
        <v>0</v>
      </c>
      <c r="C461">
        <v>3</v>
      </c>
      <c r="D461" t="s">
        <v>709</v>
      </c>
      <c r="E461" s="4">
        <f>LEN(D461)</f>
        <v>20</v>
      </c>
      <c r="F461" t="s">
        <v>24</v>
      </c>
      <c r="G461">
        <v>22</v>
      </c>
      <c r="H461">
        <v>0</v>
      </c>
      <c r="I461">
        <v>0</v>
      </c>
      <c r="J461">
        <v>345767</v>
      </c>
      <c r="K461">
        <v>9</v>
      </c>
      <c r="M461" s="6" t="str">
        <f t="shared" si="42"/>
        <v/>
      </c>
      <c r="N461" s="7" t="str">
        <f t="shared" si="44"/>
        <v/>
      </c>
      <c r="O461" t="str">
        <f t="shared" si="43"/>
        <v>34</v>
      </c>
      <c r="P461" s="4" t="str">
        <f>LEFT(L461,1)</f>
        <v/>
      </c>
      <c r="Q461" t="s">
        <v>20</v>
      </c>
    </row>
    <row r="462" spans="1:17" hidden="1" x14ac:dyDescent="0.25">
      <c r="A462">
        <v>874</v>
      </c>
      <c r="B462">
        <v>0</v>
      </c>
      <c r="C462">
        <v>3</v>
      </c>
      <c r="D462" t="s">
        <v>1226</v>
      </c>
      <c r="E462" s="4">
        <f>LEN(D462)</f>
        <v>27</v>
      </c>
      <c r="F462" t="s">
        <v>24</v>
      </c>
      <c r="G462">
        <v>47</v>
      </c>
      <c r="H462">
        <v>0</v>
      </c>
      <c r="I462">
        <v>0</v>
      </c>
      <c r="J462">
        <v>345765</v>
      </c>
      <c r="K462">
        <v>9</v>
      </c>
      <c r="M462" s="6" t="str">
        <f t="shared" si="42"/>
        <v/>
      </c>
      <c r="N462" s="7" t="str">
        <f t="shared" si="44"/>
        <v/>
      </c>
      <c r="O462" t="str">
        <f t="shared" si="43"/>
        <v>34</v>
      </c>
      <c r="P462" s="4" t="str">
        <f>LEFT(L462,1)</f>
        <v/>
      </c>
      <c r="Q462" t="s">
        <v>20</v>
      </c>
    </row>
    <row r="463" spans="1:17" hidden="1" x14ac:dyDescent="0.25">
      <c r="A463">
        <v>39</v>
      </c>
      <c r="B463">
        <v>0</v>
      </c>
      <c r="C463">
        <v>3</v>
      </c>
      <c r="D463" t="s">
        <v>677</v>
      </c>
      <c r="E463" s="4">
        <f>LEN(D463)</f>
        <v>34</v>
      </c>
      <c r="F463" t="s">
        <v>14</v>
      </c>
      <c r="G463">
        <v>18</v>
      </c>
      <c r="H463">
        <v>2</v>
      </c>
      <c r="I463">
        <v>0</v>
      </c>
      <c r="J463">
        <v>345764</v>
      </c>
      <c r="K463">
        <v>18</v>
      </c>
      <c r="M463" s="6" t="str">
        <f t="shared" si="42"/>
        <v/>
      </c>
      <c r="N463" s="7" t="str">
        <f t="shared" si="44"/>
        <v/>
      </c>
      <c r="O463" t="str">
        <f t="shared" si="43"/>
        <v>34</v>
      </c>
      <c r="P463" s="4" t="str">
        <f>LEFT(L463,1)</f>
        <v/>
      </c>
      <c r="Q463" t="s">
        <v>20</v>
      </c>
    </row>
    <row r="464" spans="1:17" hidden="1" x14ac:dyDescent="0.25">
      <c r="A464">
        <v>334</v>
      </c>
      <c r="B464">
        <v>0</v>
      </c>
      <c r="C464">
        <v>3</v>
      </c>
      <c r="D464" t="s">
        <v>866</v>
      </c>
      <c r="E464" s="4">
        <f>LEN(D464)</f>
        <v>31</v>
      </c>
      <c r="F464" t="s">
        <v>24</v>
      </c>
      <c r="G464">
        <v>16</v>
      </c>
      <c r="H464">
        <v>2</v>
      </c>
      <c r="I464">
        <v>0</v>
      </c>
      <c r="J464">
        <v>345764</v>
      </c>
      <c r="K464">
        <v>18</v>
      </c>
      <c r="M464" s="6" t="str">
        <f t="shared" si="42"/>
        <v/>
      </c>
      <c r="N464" s="7" t="str">
        <f t="shared" si="44"/>
        <v/>
      </c>
      <c r="O464" t="str">
        <f t="shared" si="43"/>
        <v>34</v>
      </c>
      <c r="P464" s="4" t="str">
        <f>LEFT(L464,1)</f>
        <v/>
      </c>
      <c r="Q464" t="s">
        <v>20</v>
      </c>
    </row>
    <row r="465" spans="1:17" x14ac:dyDescent="0.25">
      <c r="A465">
        <v>557</v>
      </c>
      <c r="B465">
        <v>1</v>
      </c>
      <c r="C465">
        <v>1</v>
      </c>
      <c r="D465" t="s">
        <v>298</v>
      </c>
      <c r="E465" s="4">
        <f>LEN(D465)</f>
        <v>65</v>
      </c>
      <c r="F465" t="s">
        <v>14</v>
      </c>
      <c r="G465">
        <v>48</v>
      </c>
      <c r="H465">
        <v>1</v>
      </c>
      <c r="I465">
        <v>0</v>
      </c>
      <c r="J465">
        <v>11755</v>
      </c>
      <c r="K465">
        <v>39.6</v>
      </c>
      <c r="L465" t="s">
        <v>299</v>
      </c>
      <c r="M465" s="6" t="str">
        <f t="shared" si="42"/>
        <v>16</v>
      </c>
      <c r="N465" s="7">
        <f t="shared" si="44"/>
        <v>16</v>
      </c>
      <c r="O465" t="str">
        <f t="shared" si="43"/>
        <v>11</v>
      </c>
      <c r="P465" s="4" t="str">
        <f>LEFT(L465,1)</f>
        <v>A</v>
      </c>
      <c r="Q465" t="s">
        <v>17</v>
      </c>
    </row>
    <row r="466" spans="1:17" hidden="1" x14ac:dyDescent="0.25">
      <c r="A466">
        <v>19</v>
      </c>
      <c r="B466">
        <v>0</v>
      </c>
      <c r="C466">
        <v>3</v>
      </c>
      <c r="D466" t="s">
        <v>669</v>
      </c>
      <c r="E466" s="4">
        <f>LEN(D466)</f>
        <v>55</v>
      </c>
      <c r="F466" t="s">
        <v>14</v>
      </c>
      <c r="G466">
        <v>31</v>
      </c>
      <c r="H466">
        <v>1</v>
      </c>
      <c r="I466">
        <v>0</v>
      </c>
      <c r="J466">
        <v>345763</v>
      </c>
      <c r="K466">
        <v>18</v>
      </c>
      <c r="M466" s="6" t="str">
        <f t="shared" si="42"/>
        <v/>
      </c>
      <c r="N466" s="7" t="str">
        <f t="shared" si="44"/>
        <v/>
      </c>
      <c r="O466" t="str">
        <f t="shared" si="43"/>
        <v>34</v>
      </c>
      <c r="P466" s="4" t="str">
        <f>LEFT(L466,1)</f>
        <v/>
      </c>
      <c r="Q466" t="s">
        <v>20</v>
      </c>
    </row>
    <row r="467" spans="1:17" hidden="1" x14ac:dyDescent="0.25">
      <c r="A467">
        <v>560</v>
      </c>
      <c r="B467">
        <v>1</v>
      </c>
      <c r="C467">
        <v>3</v>
      </c>
      <c r="D467" t="s">
        <v>1020</v>
      </c>
      <c r="E467" s="4">
        <f>LEN(D467)</f>
        <v>44</v>
      </c>
      <c r="F467" t="s">
        <v>14</v>
      </c>
      <c r="G467">
        <v>36</v>
      </c>
      <c r="H467">
        <v>1</v>
      </c>
      <c r="I467">
        <v>0</v>
      </c>
      <c r="J467">
        <v>345572</v>
      </c>
      <c r="K467">
        <v>17.399999999999999</v>
      </c>
      <c r="M467" s="6" t="str">
        <f t="shared" si="42"/>
        <v/>
      </c>
      <c r="N467" s="7" t="str">
        <f t="shared" si="44"/>
        <v/>
      </c>
      <c r="O467" t="str">
        <f t="shared" si="43"/>
        <v>34</v>
      </c>
      <c r="P467" s="4" t="str">
        <f>LEFT(L467,1)</f>
        <v/>
      </c>
      <c r="Q467" t="s">
        <v>20</v>
      </c>
    </row>
    <row r="468" spans="1:17" hidden="1" x14ac:dyDescent="0.25">
      <c r="A468">
        <v>585</v>
      </c>
      <c r="B468">
        <v>0</v>
      </c>
      <c r="C468">
        <v>3</v>
      </c>
      <c r="D468" t="s">
        <v>915</v>
      </c>
      <c r="E468" s="4">
        <f>LEN(D468)</f>
        <v>19</v>
      </c>
      <c r="F468" t="s">
        <v>24</v>
      </c>
      <c r="H468">
        <v>0</v>
      </c>
      <c r="I468">
        <v>0</v>
      </c>
      <c r="J468">
        <v>3411</v>
      </c>
      <c r="K468">
        <v>8.7125000000000004</v>
      </c>
      <c r="M468" s="6" t="str">
        <f t="shared" si="42"/>
        <v/>
      </c>
      <c r="N468" s="7" t="str">
        <f t="shared" si="44"/>
        <v/>
      </c>
      <c r="O468" t="str">
        <f t="shared" si="43"/>
        <v>34</v>
      </c>
      <c r="P468" s="4" t="str">
        <f>LEFT(L468,1)</f>
        <v/>
      </c>
      <c r="Q468" t="s">
        <v>17</v>
      </c>
    </row>
    <row r="469" spans="1:17" hidden="1" x14ac:dyDescent="0.25">
      <c r="A469">
        <v>327</v>
      </c>
      <c r="B469">
        <v>0</v>
      </c>
      <c r="C469">
        <v>3</v>
      </c>
      <c r="D469" t="s">
        <v>863</v>
      </c>
      <c r="E469" s="4">
        <f>LEN(D469)</f>
        <v>25</v>
      </c>
      <c r="F469" t="s">
        <v>24</v>
      </c>
      <c r="G469">
        <v>61</v>
      </c>
      <c r="H469">
        <v>0</v>
      </c>
      <c r="I469">
        <v>0</v>
      </c>
      <c r="J469">
        <v>345364</v>
      </c>
      <c r="K469">
        <v>6.2374999999999998</v>
      </c>
      <c r="M469" s="6" t="str">
        <f t="shared" si="42"/>
        <v/>
      </c>
      <c r="N469" s="7" t="str">
        <f t="shared" si="44"/>
        <v/>
      </c>
      <c r="O469" t="str">
        <f t="shared" si="43"/>
        <v>34</v>
      </c>
      <c r="P469" s="4" t="str">
        <f>LEFT(L469,1)</f>
        <v/>
      </c>
      <c r="Q469" t="s">
        <v>20</v>
      </c>
    </row>
    <row r="470" spans="1:17" hidden="1" x14ac:dyDescent="0.25">
      <c r="A470">
        <v>117</v>
      </c>
      <c r="B470">
        <v>0</v>
      </c>
      <c r="C470">
        <v>3</v>
      </c>
      <c r="D470" t="s">
        <v>732</v>
      </c>
      <c r="E470" s="4">
        <f>LEN(D470)</f>
        <v>20</v>
      </c>
      <c r="F470" t="s">
        <v>24</v>
      </c>
      <c r="G470">
        <v>70.5</v>
      </c>
      <c r="H470">
        <v>0</v>
      </c>
      <c r="I470">
        <v>0</v>
      </c>
      <c r="J470">
        <v>370369</v>
      </c>
      <c r="K470">
        <v>7.75</v>
      </c>
      <c r="M470" s="6" t="str">
        <f t="shared" si="42"/>
        <v/>
      </c>
      <c r="N470" s="7" t="str">
        <f t="shared" si="44"/>
        <v/>
      </c>
      <c r="O470" t="str">
        <f t="shared" si="43"/>
        <v>37</v>
      </c>
      <c r="P470" s="4" t="str">
        <f>LEFT(L470,1)</f>
        <v/>
      </c>
      <c r="Q470" t="s">
        <v>161</v>
      </c>
    </row>
    <row r="471" spans="1:17" hidden="1" x14ac:dyDescent="0.25">
      <c r="A471">
        <v>91</v>
      </c>
      <c r="B471">
        <v>0</v>
      </c>
      <c r="C471">
        <v>3</v>
      </c>
      <c r="D471" t="s">
        <v>715</v>
      </c>
      <c r="E471" s="4">
        <f>LEN(D471)</f>
        <v>20</v>
      </c>
      <c r="F471" t="s">
        <v>24</v>
      </c>
      <c r="G471">
        <v>29</v>
      </c>
      <c r="H471">
        <v>0</v>
      </c>
      <c r="I471">
        <v>0</v>
      </c>
      <c r="J471">
        <v>343276</v>
      </c>
      <c r="K471">
        <v>8.0500000000000007</v>
      </c>
      <c r="M471" s="6" t="str">
        <f t="shared" si="42"/>
        <v/>
      </c>
      <c r="N471" s="7" t="str">
        <f t="shared" si="44"/>
        <v/>
      </c>
      <c r="O471" t="str">
        <f t="shared" si="43"/>
        <v>34</v>
      </c>
      <c r="P471" s="4" t="str">
        <f>LEFT(L471,1)</f>
        <v/>
      </c>
      <c r="Q471" t="s">
        <v>20</v>
      </c>
    </row>
    <row r="472" spans="1:17" hidden="1" x14ac:dyDescent="0.25">
      <c r="A472">
        <v>525</v>
      </c>
      <c r="B472">
        <v>0</v>
      </c>
      <c r="C472">
        <v>3</v>
      </c>
      <c r="D472" t="s">
        <v>1152</v>
      </c>
      <c r="E472" s="4">
        <f>LEN(D472)</f>
        <v>17</v>
      </c>
      <c r="F472" t="s">
        <v>24</v>
      </c>
      <c r="H472">
        <v>0</v>
      </c>
      <c r="I472">
        <v>0</v>
      </c>
      <c r="J472">
        <v>2700</v>
      </c>
      <c r="K472">
        <v>7.2291999999999996</v>
      </c>
      <c r="M472" s="6" t="str">
        <f t="shared" si="42"/>
        <v/>
      </c>
      <c r="N472" s="7" t="str">
        <f t="shared" si="44"/>
        <v/>
      </c>
      <c r="O472" t="str">
        <f t="shared" si="43"/>
        <v>27</v>
      </c>
      <c r="P472" s="4" t="str">
        <f>LEFT(L472,1)</f>
        <v/>
      </c>
      <c r="Q472" t="s">
        <v>17</v>
      </c>
    </row>
    <row r="473" spans="1:17" hidden="1" x14ac:dyDescent="0.25">
      <c r="A473">
        <v>90</v>
      </c>
      <c r="B473">
        <v>0</v>
      </c>
      <c r="C473">
        <v>3</v>
      </c>
      <c r="D473" t="s">
        <v>714</v>
      </c>
      <c r="E473" s="4">
        <f>LEN(D473)</f>
        <v>22</v>
      </c>
      <c r="F473" t="s">
        <v>24</v>
      </c>
      <c r="G473">
        <v>24</v>
      </c>
      <c r="H473">
        <v>0</v>
      </c>
      <c r="I473">
        <v>0</v>
      </c>
      <c r="J473">
        <v>343275</v>
      </c>
      <c r="K473">
        <v>8.0500000000000007</v>
      </c>
      <c r="M473" s="6" t="str">
        <f t="shared" si="42"/>
        <v/>
      </c>
      <c r="N473" s="7" t="str">
        <f t="shared" si="44"/>
        <v/>
      </c>
      <c r="O473" t="str">
        <f t="shared" si="43"/>
        <v>34</v>
      </c>
      <c r="P473" s="4" t="str">
        <f>LEFT(L473,1)</f>
        <v/>
      </c>
      <c r="Q473" t="s">
        <v>20</v>
      </c>
    </row>
    <row r="474" spans="1:17" hidden="1" x14ac:dyDescent="0.25">
      <c r="A474">
        <v>107</v>
      </c>
      <c r="B474">
        <v>1</v>
      </c>
      <c r="C474">
        <v>3</v>
      </c>
      <c r="D474" t="s">
        <v>724</v>
      </c>
      <c r="E474" s="4">
        <f>LEN(D474)</f>
        <v>32</v>
      </c>
      <c r="F474" t="s">
        <v>14</v>
      </c>
      <c r="G474">
        <v>21</v>
      </c>
      <c r="H474">
        <v>0</v>
      </c>
      <c r="I474">
        <v>0</v>
      </c>
      <c r="J474">
        <v>343120</v>
      </c>
      <c r="K474">
        <v>7.65</v>
      </c>
      <c r="M474" s="6" t="str">
        <f t="shared" si="42"/>
        <v/>
      </c>
      <c r="N474" s="7" t="str">
        <f t="shared" si="44"/>
        <v/>
      </c>
      <c r="O474" t="str">
        <f t="shared" si="43"/>
        <v>34</v>
      </c>
      <c r="P474" s="4" t="str">
        <f>LEFT(L474,1)</f>
        <v/>
      </c>
      <c r="Q474" t="s">
        <v>20</v>
      </c>
    </row>
    <row r="475" spans="1:17" hidden="1" x14ac:dyDescent="0.25">
      <c r="A475">
        <v>208</v>
      </c>
      <c r="B475">
        <v>1</v>
      </c>
      <c r="C475">
        <v>3</v>
      </c>
      <c r="D475" t="s">
        <v>787</v>
      </c>
      <c r="E475" s="4">
        <f>LEN(D475)</f>
        <v>27</v>
      </c>
      <c r="F475" t="s">
        <v>24</v>
      </c>
      <c r="G475">
        <v>26</v>
      </c>
      <c r="H475">
        <v>0</v>
      </c>
      <c r="I475">
        <v>0</v>
      </c>
      <c r="J475">
        <v>2699</v>
      </c>
      <c r="K475">
        <v>18.787500000000001</v>
      </c>
      <c r="M475" s="6" t="str">
        <f t="shared" si="42"/>
        <v/>
      </c>
      <c r="N475" s="7" t="str">
        <f t="shared" si="44"/>
        <v/>
      </c>
      <c r="O475" t="str">
        <f t="shared" si="43"/>
        <v>26</v>
      </c>
      <c r="P475" s="4" t="str">
        <f>LEFT(L475,1)</f>
        <v/>
      </c>
      <c r="Q475" t="s">
        <v>17</v>
      </c>
    </row>
    <row r="476" spans="1:17" hidden="1" x14ac:dyDescent="0.25">
      <c r="A476">
        <v>416</v>
      </c>
      <c r="B476">
        <v>0</v>
      </c>
      <c r="C476">
        <v>3</v>
      </c>
      <c r="D476" t="s">
        <v>947</v>
      </c>
      <c r="E476" s="4">
        <f>LEN(D476)</f>
        <v>39</v>
      </c>
      <c r="F476" t="s">
        <v>14</v>
      </c>
      <c r="H476">
        <v>0</v>
      </c>
      <c r="I476">
        <v>0</v>
      </c>
      <c r="J476">
        <v>343095</v>
      </c>
      <c r="K476">
        <v>8.0500000000000007</v>
      </c>
      <c r="M476" s="6" t="str">
        <f t="shared" si="42"/>
        <v/>
      </c>
      <c r="N476" s="7" t="str">
        <f t="shared" si="44"/>
        <v/>
      </c>
      <c r="O476" t="str">
        <f t="shared" si="43"/>
        <v>34</v>
      </c>
      <c r="P476" s="4" t="str">
        <f>LEFT(L476,1)</f>
        <v/>
      </c>
      <c r="Q476" t="s">
        <v>20</v>
      </c>
    </row>
    <row r="477" spans="1:17" hidden="1" x14ac:dyDescent="0.25">
      <c r="A477">
        <v>677</v>
      </c>
      <c r="B477">
        <v>0</v>
      </c>
      <c r="C477">
        <v>3</v>
      </c>
      <c r="D477" t="s">
        <v>1100</v>
      </c>
      <c r="E477" s="4">
        <f>LEN(D477)</f>
        <v>29</v>
      </c>
      <c r="F477" t="s">
        <v>24</v>
      </c>
      <c r="G477">
        <v>24.5</v>
      </c>
      <c r="H477">
        <v>0</v>
      </c>
      <c r="I477">
        <v>0</v>
      </c>
      <c r="J477">
        <v>342826</v>
      </c>
      <c r="K477">
        <v>8.0500000000000007</v>
      </c>
      <c r="M477" s="6" t="str">
        <f t="shared" si="42"/>
        <v/>
      </c>
      <c r="N477" s="7" t="str">
        <f t="shared" si="44"/>
        <v/>
      </c>
      <c r="O477" t="str">
        <f t="shared" si="43"/>
        <v>34</v>
      </c>
      <c r="P477" s="4" t="str">
        <f>LEFT(L477,1)</f>
        <v/>
      </c>
      <c r="Q477" t="s">
        <v>20</v>
      </c>
    </row>
    <row r="478" spans="1:17" hidden="1" x14ac:dyDescent="0.25">
      <c r="A478">
        <v>402</v>
      </c>
      <c r="B478">
        <v>0</v>
      </c>
      <c r="C478">
        <v>3</v>
      </c>
      <c r="D478" t="s">
        <v>909</v>
      </c>
      <c r="E478" s="4">
        <f>LEN(D478)</f>
        <v>15</v>
      </c>
      <c r="F478" t="s">
        <v>24</v>
      </c>
      <c r="G478">
        <v>26</v>
      </c>
      <c r="H478">
        <v>0</v>
      </c>
      <c r="I478">
        <v>0</v>
      </c>
      <c r="J478">
        <v>341826</v>
      </c>
      <c r="K478">
        <v>8.0500000000000007</v>
      </c>
      <c r="M478" s="6" t="str">
        <f t="shared" si="42"/>
        <v/>
      </c>
      <c r="N478" s="7" t="str">
        <f t="shared" si="44"/>
        <v/>
      </c>
      <c r="O478" t="str">
        <f t="shared" si="43"/>
        <v>34</v>
      </c>
      <c r="P478" s="4" t="str">
        <f>LEFT(L478,1)</f>
        <v/>
      </c>
      <c r="Q478" t="s">
        <v>20</v>
      </c>
    </row>
    <row r="479" spans="1:17" hidden="1" x14ac:dyDescent="0.25">
      <c r="A479">
        <v>113</v>
      </c>
      <c r="B479">
        <v>0</v>
      </c>
      <c r="C479">
        <v>3</v>
      </c>
      <c r="D479" t="s">
        <v>727</v>
      </c>
      <c r="E479" s="4">
        <f>LEN(D479)</f>
        <v>22</v>
      </c>
      <c r="F479" t="s">
        <v>24</v>
      </c>
      <c r="G479">
        <v>22</v>
      </c>
      <c r="H479">
        <v>0</v>
      </c>
      <c r="I479">
        <v>0</v>
      </c>
      <c r="J479">
        <v>324669</v>
      </c>
      <c r="K479">
        <v>8.0500000000000007</v>
      </c>
      <c r="M479" s="6" t="str">
        <f t="shared" si="42"/>
        <v/>
      </c>
      <c r="N479" s="7" t="str">
        <f t="shared" si="44"/>
        <v/>
      </c>
      <c r="O479" t="str">
        <f t="shared" si="43"/>
        <v>32</v>
      </c>
      <c r="P479" s="4" t="str">
        <f>LEFT(L479,1)</f>
        <v/>
      </c>
      <c r="Q479" t="s">
        <v>20</v>
      </c>
    </row>
    <row r="480" spans="1:17" hidden="1" x14ac:dyDescent="0.25">
      <c r="A480">
        <v>373</v>
      </c>
      <c r="B480">
        <v>0</v>
      </c>
      <c r="C480">
        <v>3</v>
      </c>
      <c r="D480" t="s">
        <v>891</v>
      </c>
      <c r="E480" s="4">
        <f>LEN(D480)</f>
        <v>26</v>
      </c>
      <c r="F480" t="s">
        <v>24</v>
      </c>
      <c r="G480">
        <v>19</v>
      </c>
      <c r="H480">
        <v>0</v>
      </c>
      <c r="I480">
        <v>0</v>
      </c>
      <c r="J480">
        <v>323951</v>
      </c>
      <c r="K480">
        <v>8.0500000000000007</v>
      </c>
      <c r="M480" s="6" t="str">
        <f t="shared" si="42"/>
        <v/>
      </c>
      <c r="N480" s="7" t="str">
        <f t="shared" si="44"/>
        <v/>
      </c>
      <c r="O480" t="str">
        <f t="shared" si="43"/>
        <v>32</v>
      </c>
      <c r="P480" s="4" t="str">
        <f>LEFT(L480,1)</f>
        <v/>
      </c>
      <c r="Q480" t="s">
        <v>20</v>
      </c>
    </row>
    <row r="481" spans="1:17" hidden="1" x14ac:dyDescent="0.25">
      <c r="A481">
        <v>144</v>
      </c>
      <c r="B481">
        <v>0</v>
      </c>
      <c r="C481">
        <v>3</v>
      </c>
      <c r="D481" t="s">
        <v>747</v>
      </c>
      <c r="E481" s="4">
        <f>LEN(D481)</f>
        <v>19</v>
      </c>
      <c r="F481" t="s">
        <v>24</v>
      </c>
      <c r="G481">
        <v>19</v>
      </c>
      <c r="H481">
        <v>0</v>
      </c>
      <c r="I481">
        <v>0</v>
      </c>
      <c r="J481">
        <v>365222</v>
      </c>
      <c r="K481">
        <v>6.75</v>
      </c>
      <c r="M481" s="6" t="str">
        <f t="shared" si="42"/>
        <v/>
      </c>
      <c r="N481" s="7" t="str">
        <f t="shared" si="44"/>
        <v/>
      </c>
      <c r="O481" t="str">
        <f t="shared" si="43"/>
        <v>36</v>
      </c>
      <c r="P481" s="4" t="str">
        <f>LEFT(L481,1)</f>
        <v/>
      </c>
      <c r="Q481" t="s">
        <v>161</v>
      </c>
    </row>
    <row r="482" spans="1:17" hidden="1" x14ac:dyDescent="0.25">
      <c r="A482">
        <v>471</v>
      </c>
      <c r="B482">
        <v>0</v>
      </c>
      <c r="C482">
        <v>3</v>
      </c>
      <c r="D482" t="s">
        <v>1140</v>
      </c>
      <c r="E482" s="4">
        <f>LEN(D482)</f>
        <v>17</v>
      </c>
      <c r="F482" t="s">
        <v>24</v>
      </c>
      <c r="H482">
        <v>0</v>
      </c>
      <c r="I482">
        <v>0</v>
      </c>
      <c r="J482">
        <v>323592</v>
      </c>
      <c r="K482">
        <v>7.25</v>
      </c>
      <c r="M482" s="6" t="str">
        <f t="shared" si="42"/>
        <v/>
      </c>
      <c r="N482" s="7" t="str">
        <f t="shared" si="44"/>
        <v/>
      </c>
      <c r="O482" t="str">
        <f t="shared" si="43"/>
        <v>32</v>
      </c>
      <c r="P482" s="4" t="str">
        <f>LEFT(L482,1)</f>
        <v/>
      </c>
      <c r="Q482" t="s">
        <v>20</v>
      </c>
    </row>
    <row r="483" spans="1:17" hidden="1" x14ac:dyDescent="0.25">
      <c r="A483">
        <v>185</v>
      </c>
      <c r="B483">
        <v>1</v>
      </c>
      <c r="C483">
        <v>3</v>
      </c>
      <c r="D483" t="s">
        <v>772</v>
      </c>
      <c r="E483" s="4">
        <f>LEN(D483)</f>
        <v>35</v>
      </c>
      <c r="F483" t="s">
        <v>14</v>
      </c>
      <c r="G483">
        <v>4</v>
      </c>
      <c r="H483">
        <v>0</v>
      </c>
      <c r="I483">
        <v>2</v>
      </c>
      <c r="J483">
        <v>315153</v>
      </c>
      <c r="K483">
        <v>22.024999999999999</v>
      </c>
      <c r="M483" s="6" t="str">
        <f t="shared" si="42"/>
        <v/>
      </c>
      <c r="N483" s="7" t="str">
        <f t="shared" si="44"/>
        <v/>
      </c>
      <c r="O483" t="str">
        <f t="shared" si="43"/>
        <v>31</v>
      </c>
      <c r="P483" s="4" t="str">
        <f>LEFT(L483,1)</f>
        <v/>
      </c>
      <c r="Q483" t="s">
        <v>20</v>
      </c>
    </row>
    <row r="484" spans="1:17" hidden="1" x14ac:dyDescent="0.25">
      <c r="A484">
        <v>70</v>
      </c>
      <c r="B484">
        <v>0</v>
      </c>
      <c r="C484">
        <v>3</v>
      </c>
      <c r="D484" t="s">
        <v>701</v>
      </c>
      <c r="E484" s="4">
        <f>LEN(D484)</f>
        <v>17</v>
      </c>
      <c r="F484" t="s">
        <v>24</v>
      </c>
      <c r="G484">
        <v>26</v>
      </c>
      <c r="H484">
        <v>2</v>
      </c>
      <c r="I484">
        <v>0</v>
      </c>
      <c r="J484">
        <v>315151</v>
      </c>
      <c r="K484">
        <v>8.6624999999999996</v>
      </c>
      <c r="M484" s="6" t="str">
        <f t="shared" si="42"/>
        <v/>
      </c>
      <c r="N484" s="7" t="str">
        <f t="shared" si="44"/>
        <v/>
      </c>
      <c r="O484" t="str">
        <f t="shared" si="43"/>
        <v>31</v>
      </c>
      <c r="P484" s="4" t="str">
        <f>LEFT(L484,1)</f>
        <v/>
      </c>
      <c r="Q484" t="s">
        <v>20</v>
      </c>
    </row>
    <row r="485" spans="1:17" hidden="1" x14ac:dyDescent="0.25">
      <c r="A485">
        <v>822</v>
      </c>
      <c r="B485">
        <v>1</v>
      </c>
      <c r="C485">
        <v>3</v>
      </c>
      <c r="D485" t="s">
        <v>1197</v>
      </c>
      <c r="E485" s="4">
        <f>LEN(D485)</f>
        <v>17</v>
      </c>
      <c r="F485" t="s">
        <v>24</v>
      </c>
      <c r="G485">
        <v>27</v>
      </c>
      <c r="H485">
        <v>0</v>
      </c>
      <c r="I485">
        <v>0</v>
      </c>
      <c r="J485">
        <v>315098</v>
      </c>
      <c r="K485">
        <v>8.6624999999999996</v>
      </c>
      <c r="M485" s="6" t="str">
        <f t="shared" si="42"/>
        <v/>
      </c>
      <c r="N485" s="7" t="str">
        <f t="shared" si="44"/>
        <v/>
      </c>
      <c r="O485" t="str">
        <f t="shared" si="43"/>
        <v>31</v>
      </c>
      <c r="P485" s="4" t="str">
        <f>LEFT(L485,1)</f>
        <v/>
      </c>
      <c r="Q485" t="s">
        <v>20</v>
      </c>
    </row>
    <row r="486" spans="1:17" hidden="1" x14ac:dyDescent="0.25">
      <c r="A486">
        <v>157</v>
      </c>
      <c r="B486">
        <v>1</v>
      </c>
      <c r="C486">
        <v>3</v>
      </c>
      <c r="D486" t="s">
        <v>754</v>
      </c>
      <c r="E486" s="4">
        <f>LEN(D486)</f>
        <v>32</v>
      </c>
      <c r="F486" t="s">
        <v>14</v>
      </c>
      <c r="G486">
        <v>16</v>
      </c>
      <c r="H486">
        <v>0</v>
      </c>
      <c r="I486">
        <v>0</v>
      </c>
      <c r="J486">
        <v>35851</v>
      </c>
      <c r="K486">
        <v>7.7332999999999998</v>
      </c>
      <c r="M486" s="6" t="str">
        <f t="shared" si="42"/>
        <v/>
      </c>
      <c r="N486" s="7" t="str">
        <f t="shared" si="44"/>
        <v/>
      </c>
      <c r="O486" t="str">
        <f t="shared" si="43"/>
        <v>35</v>
      </c>
      <c r="P486" s="4" t="str">
        <f>LEFT(L486,1)</f>
        <v/>
      </c>
      <c r="Q486" t="s">
        <v>161</v>
      </c>
    </row>
    <row r="487" spans="1:17" hidden="1" x14ac:dyDescent="0.25">
      <c r="A487">
        <v>837</v>
      </c>
      <c r="B487">
        <v>0</v>
      </c>
      <c r="C487">
        <v>3</v>
      </c>
      <c r="D487" t="s">
        <v>1208</v>
      </c>
      <c r="E487" s="4">
        <f>LEN(D487)</f>
        <v>16</v>
      </c>
      <c r="F487" t="s">
        <v>24</v>
      </c>
      <c r="G487">
        <v>21</v>
      </c>
      <c r="H487">
        <v>0</v>
      </c>
      <c r="I487">
        <v>0</v>
      </c>
      <c r="J487">
        <v>315097</v>
      </c>
      <c r="K487">
        <v>8.6624999999999996</v>
      </c>
      <c r="M487" s="6" t="str">
        <f t="shared" si="42"/>
        <v/>
      </c>
      <c r="N487" s="7" t="str">
        <f t="shared" si="44"/>
        <v/>
      </c>
      <c r="O487" t="str">
        <f t="shared" si="43"/>
        <v>31</v>
      </c>
      <c r="P487" s="4" t="str">
        <f>LEFT(L487,1)</f>
        <v/>
      </c>
      <c r="Q487" t="s">
        <v>20</v>
      </c>
    </row>
    <row r="488" spans="1:17" hidden="1" x14ac:dyDescent="0.25">
      <c r="A488">
        <v>405</v>
      </c>
      <c r="B488">
        <v>0</v>
      </c>
      <c r="C488">
        <v>3</v>
      </c>
      <c r="D488" t="s">
        <v>912</v>
      </c>
      <c r="E488" s="4">
        <f>LEN(D488)</f>
        <v>23</v>
      </c>
      <c r="F488" t="s">
        <v>14</v>
      </c>
      <c r="G488">
        <v>20</v>
      </c>
      <c r="H488">
        <v>0</v>
      </c>
      <c r="I488">
        <v>0</v>
      </c>
      <c r="J488">
        <v>315096</v>
      </c>
      <c r="K488">
        <v>8.6624999999999996</v>
      </c>
      <c r="M488" s="6" t="str">
        <f t="shared" si="42"/>
        <v/>
      </c>
      <c r="N488" s="7" t="str">
        <f t="shared" si="44"/>
        <v/>
      </c>
      <c r="O488" t="str">
        <f t="shared" si="43"/>
        <v>31</v>
      </c>
      <c r="P488" s="4" t="str">
        <f>LEFT(L488,1)</f>
        <v/>
      </c>
      <c r="Q488" t="s">
        <v>20</v>
      </c>
    </row>
    <row r="489" spans="1:17" hidden="1" x14ac:dyDescent="0.25">
      <c r="A489">
        <v>726</v>
      </c>
      <c r="B489">
        <v>0</v>
      </c>
      <c r="C489">
        <v>3</v>
      </c>
      <c r="D489" t="s">
        <v>1127</v>
      </c>
      <c r="E489" s="4">
        <f>LEN(D489)</f>
        <v>19</v>
      </c>
      <c r="F489" t="s">
        <v>24</v>
      </c>
      <c r="G489">
        <v>20</v>
      </c>
      <c r="H489">
        <v>0</v>
      </c>
      <c r="I489">
        <v>0</v>
      </c>
      <c r="J489">
        <v>315094</v>
      </c>
      <c r="K489">
        <v>8.6624999999999996</v>
      </c>
      <c r="M489" s="6" t="str">
        <f t="shared" si="42"/>
        <v/>
      </c>
      <c r="N489" s="7" t="str">
        <f t="shared" si="44"/>
        <v/>
      </c>
      <c r="O489" t="str">
        <f t="shared" si="43"/>
        <v>31</v>
      </c>
      <c r="P489" s="4" t="str">
        <f>LEFT(L489,1)</f>
        <v/>
      </c>
      <c r="Q489" t="s">
        <v>20</v>
      </c>
    </row>
    <row r="490" spans="1:17" hidden="1" x14ac:dyDescent="0.25">
      <c r="A490">
        <v>164</v>
      </c>
      <c r="B490">
        <v>0</v>
      </c>
      <c r="C490">
        <v>3</v>
      </c>
      <c r="D490" t="s">
        <v>759</v>
      </c>
      <c r="E490" s="4">
        <f>LEN(D490)</f>
        <v>15</v>
      </c>
      <c r="F490" t="s">
        <v>24</v>
      </c>
      <c r="G490">
        <v>17</v>
      </c>
      <c r="H490">
        <v>0</v>
      </c>
      <c r="I490">
        <v>0</v>
      </c>
      <c r="J490">
        <v>315093</v>
      </c>
      <c r="K490">
        <v>8.6624999999999996</v>
      </c>
      <c r="M490" s="6" t="str">
        <f t="shared" si="42"/>
        <v/>
      </c>
      <c r="N490" s="7" t="str">
        <f t="shared" si="44"/>
        <v/>
      </c>
      <c r="O490" t="str">
        <f t="shared" si="43"/>
        <v>31</v>
      </c>
      <c r="P490" s="4" t="str">
        <f>LEFT(L490,1)</f>
        <v/>
      </c>
      <c r="Q490" t="s">
        <v>20</v>
      </c>
    </row>
    <row r="491" spans="1:17" hidden="1" x14ac:dyDescent="0.25">
      <c r="A491">
        <v>302</v>
      </c>
      <c r="B491">
        <v>1</v>
      </c>
      <c r="C491">
        <v>3</v>
      </c>
      <c r="D491" t="s">
        <v>815</v>
      </c>
      <c r="E491" s="4">
        <f>LEN(D491)</f>
        <v>18</v>
      </c>
      <c r="F491" t="s">
        <v>24</v>
      </c>
      <c r="H491">
        <v>2</v>
      </c>
      <c r="I491">
        <v>0</v>
      </c>
      <c r="J491">
        <v>367226</v>
      </c>
      <c r="K491">
        <v>23.25</v>
      </c>
      <c r="M491" s="6" t="str">
        <f t="shared" si="42"/>
        <v/>
      </c>
      <c r="N491" s="7" t="str">
        <f t="shared" si="44"/>
        <v/>
      </c>
      <c r="O491" t="str">
        <f t="shared" si="43"/>
        <v>36</v>
      </c>
      <c r="P491" s="4" t="str">
        <f>LEFT(L491,1)</f>
        <v/>
      </c>
      <c r="Q491" t="s">
        <v>161</v>
      </c>
    </row>
    <row r="492" spans="1:17" hidden="1" x14ac:dyDescent="0.25">
      <c r="A492">
        <v>845</v>
      </c>
      <c r="B492">
        <v>0</v>
      </c>
      <c r="C492">
        <v>3</v>
      </c>
      <c r="D492" t="s">
        <v>1214</v>
      </c>
      <c r="E492" s="4">
        <f>LEN(D492)</f>
        <v>19</v>
      </c>
      <c r="F492" t="s">
        <v>24</v>
      </c>
      <c r="G492">
        <v>17</v>
      </c>
      <c r="H492">
        <v>0</v>
      </c>
      <c r="I492">
        <v>0</v>
      </c>
      <c r="J492">
        <v>315090</v>
      </c>
      <c r="K492">
        <v>8.6624999999999996</v>
      </c>
      <c r="M492" s="6" t="str">
        <f t="shared" si="42"/>
        <v/>
      </c>
      <c r="N492" s="7" t="str">
        <f t="shared" si="44"/>
        <v/>
      </c>
      <c r="O492" t="str">
        <f t="shared" si="43"/>
        <v>31</v>
      </c>
      <c r="P492" s="4" t="str">
        <f>LEFT(L492,1)</f>
        <v/>
      </c>
      <c r="Q492" t="s">
        <v>20</v>
      </c>
    </row>
    <row r="493" spans="1:17" hidden="1" x14ac:dyDescent="0.25">
      <c r="A493">
        <v>472</v>
      </c>
      <c r="B493">
        <v>0</v>
      </c>
      <c r="C493">
        <v>3</v>
      </c>
      <c r="D493" t="s">
        <v>965</v>
      </c>
      <c r="E493" s="4">
        <f>LEN(D493)</f>
        <v>15</v>
      </c>
      <c r="F493" t="s">
        <v>24</v>
      </c>
      <c r="G493">
        <v>38</v>
      </c>
      <c r="H493">
        <v>0</v>
      </c>
      <c r="I493">
        <v>0</v>
      </c>
      <c r="J493">
        <v>315089</v>
      </c>
      <c r="K493">
        <v>8.6624999999999996</v>
      </c>
      <c r="M493" s="6" t="str">
        <f t="shared" si="42"/>
        <v/>
      </c>
      <c r="N493" s="7" t="str">
        <f t="shared" si="44"/>
        <v/>
      </c>
      <c r="O493" t="str">
        <f t="shared" si="43"/>
        <v>31</v>
      </c>
      <c r="P493" s="4" t="str">
        <f>LEFT(L493,1)</f>
        <v/>
      </c>
      <c r="Q493" t="s">
        <v>20</v>
      </c>
    </row>
    <row r="494" spans="1:17" hidden="1" x14ac:dyDescent="0.25">
      <c r="A494">
        <v>350</v>
      </c>
      <c r="B494">
        <v>0</v>
      </c>
      <c r="C494">
        <v>3</v>
      </c>
      <c r="D494" t="s">
        <v>874</v>
      </c>
      <c r="E494" s="4">
        <f>LEN(D494)</f>
        <v>16</v>
      </c>
      <c r="F494" t="s">
        <v>24</v>
      </c>
      <c r="G494">
        <v>42</v>
      </c>
      <c r="H494">
        <v>0</v>
      </c>
      <c r="I494">
        <v>0</v>
      </c>
      <c r="J494">
        <v>315088</v>
      </c>
      <c r="K494">
        <v>8.6624999999999996</v>
      </c>
      <c r="M494" s="6" t="str">
        <f t="shared" si="42"/>
        <v/>
      </c>
      <c r="N494" s="7" t="str">
        <f t="shared" si="44"/>
        <v/>
      </c>
      <c r="O494" t="str">
        <f t="shared" si="43"/>
        <v>31</v>
      </c>
      <c r="P494" s="4" t="str">
        <f>LEFT(L494,1)</f>
        <v/>
      </c>
      <c r="Q494" t="s">
        <v>20</v>
      </c>
    </row>
    <row r="495" spans="1:17" hidden="1" x14ac:dyDescent="0.25">
      <c r="A495">
        <v>331</v>
      </c>
      <c r="B495">
        <v>1</v>
      </c>
      <c r="C495">
        <v>3</v>
      </c>
      <c r="D495" t="s">
        <v>821</v>
      </c>
      <c r="E495" s="4">
        <f>LEN(D495)</f>
        <v>18</v>
      </c>
      <c r="F495" t="s">
        <v>14</v>
      </c>
      <c r="H495">
        <v>2</v>
      </c>
      <c r="I495">
        <v>0</v>
      </c>
      <c r="J495">
        <v>367226</v>
      </c>
      <c r="K495">
        <v>23.25</v>
      </c>
      <c r="M495" s="6" t="str">
        <f t="shared" si="42"/>
        <v/>
      </c>
      <c r="N495" s="7" t="str">
        <f t="shared" si="44"/>
        <v/>
      </c>
      <c r="O495" t="str">
        <f t="shared" si="43"/>
        <v>36</v>
      </c>
      <c r="P495" s="4" t="str">
        <f>LEFT(L495,1)</f>
        <v/>
      </c>
      <c r="Q495" t="s">
        <v>161</v>
      </c>
    </row>
    <row r="496" spans="1:17" hidden="1" x14ac:dyDescent="0.25">
      <c r="A496">
        <v>501</v>
      </c>
      <c r="B496">
        <v>0</v>
      </c>
      <c r="C496">
        <v>3</v>
      </c>
      <c r="D496" t="s">
        <v>988</v>
      </c>
      <c r="E496" s="4">
        <f>LEN(D496)</f>
        <v>16</v>
      </c>
      <c r="F496" t="s">
        <v>24</v>
      </c>
      <c r="G496">
        <v>17</v>
      </c>
      <c r="H496">
        <v>0</v>
      </c>
      <c r="I496">
        <v>0</v>
      </c>
      <c r="J496">
        <v>315086</v>
      </c>
      <c r="K496">
        <v>8.6624999999999996</v>
      </c>
      <c r="M496" s="6" t="str">
        <f t="shared" si="42"/>
        <v/>
      </c>
      <c r="N496" s="7" t="str">
        <f t="shared" si="44"/>
        <v/>
      </c>
      <c r="O496" t="str">
        <f t="shared" si="43"/>
        <v>31</v>
      </c>
      <c r="P496" s="4" t="str">
        <f>LEFT(L496,1)</f>
        <v/>
      </c>
      <c r="Q496" t="s">
        <v>20</v>
      </c>
    </row>
    <row r="497" spans="1:17" hidden="1" x14ac:dyDescent="0.25">
      <c r="A497">
        <v>535</v>
      </c>
      <c r="B497">
        <v>0</v>
      </c>
      <c r="C497">
        <v>3</v>
      </c>
      <c r="D497" t="s">
        <v>1010</v>
      </c>
      <c r="E497" s="4">
        <f>LEN(D497)</f>
        <v>19</v>
      </c>
      <c r="F497" t="s">
        <v>14</v>
      </c>
      <c r="G497">
        <v>30</v>
      </c>
      <c r="H497">
        <v>0</v>
      </c>
      <c r="I497">
        <v>0</v>
      </c>
      <c r="J497">
        <v>315084</v>
      </c>
      <c r="K497">
        <v>8.6624999999999996</v>
      </c>
      <c r="M497" s="6" t="str">
        <f t="shared" si="42"/>
        <v/>
      </c>
      <c r="N497" s="7" t="str">
        <f t="shared" si="44"/>
        <v/>
      </c>
      <c r="O497" t="str">
        <f t="shared" si="43"/>
        <v>31</v>
      </c>
      <c r="P497" s="4" t="str">
        <f>LEFT(L497,1)</f>
        <v/>
      </c>
      <c r="Q497" t="s">
        <v>20</v>
      </c>
    </row>
    <row r="498" spans="1:17" hidden="1" x14ac:dyDescent="0.25">
      <c r="A498">
        <v>423</v>
      </c>
      <c r="B498">
        <v>0</v>
      </c>
      <c r="C498">
        <v>3</v>
      </c>
      <c r="D498" t="s">
        <v>927</v>
      </c>
      <c r="E498" s="4">
        <f>LEN(D498)</f>
        <v>18</v>
      </c>
      <c r="F498" t="s">
        <v>24</v>
      </c>
      <c r="G498">
        <v>29</v>
      </c>
      <c r="H498">
        <v>0</v>
      </c>
      <c r="I498">
        <v>0</v>
      </c>
      <c r="J498">
        <v>315082</v>
      </c>
      <c r="K498">
        <v>7.875</v>
      </c>
      <c r="M498" s="6" t="str">
        <f t="shared" si="42"/>
        <v/>
      </c>
      <c r="N498" s="7" t="str">
        <f t="shared" si="44"/>
        <v/>
      </c>
      <c r="O498" t="str">
        <f t="shared" si="43"/>
        <v>31</v>
      </c>
      <c r="P498" s="4" t="str">
        <f>LEFT(L498,1)</f>
        <v/>
      </c>
      <c r="Q498" t="s">
        <v>20</v>
      </c>
    </row>
    <row r="499" spans="1:17" hidden="1" x14ac:dyDescent="0.25">
      <c r="A499">
        <v>159</v>
      </c>
      <c r="B499">
        <v>0</v>
      </c>
      <c r="C499">
        <v>3</v>
      </c>
      <c r="D499" t="s">
        <v>916</v>
      </c>
      <c r="E499" s="4">
        <f>LEN(D499)</f>
        <v>19</v>
      </c>
      <c r="F499" t="s">
        <v>24</v>
      </c>
      <c r="H499">
        <v>0</v>
      </c>
      <c r="I499">
        <v>0</v>
      </c>
      <c r="J499">
        <v>315037</v>
      </c>
      <c r="K499">
        <v>8.6624999999999996</v>
      </c>
      <c r="M499" s="6" t="str">
        <f t="shared" si="42"/>
        <v/>
      </c>
      <c r="N499" s="7" t="str">
        <f t="shared" si="44"/>
        <v/>
      </c>
      <c r="O499" t="str">
        <f t="shared" si="43"/>
        <v>31</v>
      </c>
      <c r="P499" s="4" t="str">
        <f>LEFT(L499,1)</f>
        <v/>
      </c>
      <c r="Q499" t="s">
        <v>20</v>
      </c>
    </row>
    <row r="500" spans="1:17" hidden="1" x14ac:dyDescent="0.25">
      <c r="A500">
        <v>17</v>
      </c>
      <c r="B500">
        <v>0</v>
      </c>
      <c r="C500">
        <v>3</v>
      </c>
      <c r="D500" t="s">
        <v>668</v>
      </c>
      <c r="E500" s="4">
        <f>LEN(D500)</f>
        <v>20</v>
      </c>
      <c r="F500" t="s">
        <v>24</v>
      </c>
      <c r="G500">
        <v>2</v>
      </c>
      <c r="H500">
        <v>4</v>
      </c>
      <c r="I500">
        <v>1</v>
      </c>
      <c r="J500">
        <v>382652</v>
      </c>
      <c r="K500">
        <v>29.125</v>
      </c>
      <c r="M500" s="6" t="str">
        <f t="shared" si="42"/>
        <v/>
      </c>
      <c r="N500" s="7" t="str">
        <f t="shared" si="44"/>
        <v/>
      </c>
      <c r="O500" t="str">
        <f t="shared" si="43"/>
        <v>38</v>
      </c>
      <c r="P500" s="4" t="str">
        <f>LEFT(L500,1)</f>
        <v/>
      </c>
      <c r="Q500" t="s">
        <v>161</v>
      </c>
    </row>
    <row r="501" spans="1:17" hidden="1" x14ac:dyDescent="0.25">
      <c r="A501">
        <v>668</v>
      </c>
      <c r="B501">
        <v>0</v>
      </c>
      <c r="C501">
        <v>3</v>
      </c>
      <c r="D501" t="s">
        <v>1029</v>
      </c>
      <c r="E501" s="4">
        <f>LEN(D501)</f>
        <v>26</v>
      </c>
      <c r="F501" t="s">
        <v>24</v>
      </c>
      <c r="H501">
        <v>0</v>
      </c>
      <c r="I501">
        <v>0</v>
      </c>
      <c r="J501">
        <v>312993</v>
      </c>
      <c r="K501">
        <v>7.7750000000000004</v>
      </c>
      <c r="M501" s="6" t="str">
        <f t="shared" si="42"/>
        <v/>
      </c>
      <c r="N501" s="7" t="str">
        <f t="shared" si="44"/>
        <v/>
      </c>
      <c r="O501" t="str">
        <f t="shared" si="43"/>
        <v>31</v>
      </c>
      <c r="P501" s="4" t="str">
        <f>LEFT(L501,1)</f>
        <v/>
      </c>
      <c r="Q501" t="s">
        <v>20</v>
      </c>
    </row>
    <row r="502" spans="1:17" hidden="1" x14ac:dyDescent="0.25">
      <c r="A502">
        <v>189</v>
      </c>
      <c r="B502">
        <v>0</v>
      </c>
      <c r="C502">
        <v>3</v>
      </c>
      <c r="D502" t="s">
        <v>773</v>
      </c>
      <c r="E502" s="4">
        <f>LEN(D502)</f>
        <v>16</v>
      </c>
      <c r="F502" t="s">
        <v>24</v>
      </c>
      <c r="G502">
        <v>40</v>
      </c>
      <c r="H502">
        <v>1</v>
      </c>
      <c r="I502">
        <v>1</v>
      </c>
      <c r="J502">
        <v>364849</v>
      </c>
      <c r="K502">
        <v>15.5</v>
      </c>
      <c r="M502" s="6" t="str">
        <f t="shared" si="42"/>
        <v/>
      </c>
      <c r="N502" s="7" t="str">
        <f t="shared" si="44"/>
        <v/>
      </c>
      <c r="O502" t="str">
        <f t="shared" si="43"/>
        <v>36</v>
      </c>
      <c r="P502" s="4" t="str">
        <f>LEFT(L502,1)</f>
        <v/>
      </c>
      <c r="Q502" t="s">
        <v>161</v>
      </c>
    </row>
    <row r="503" spans="1:17" hidden="1" x14ac:dyDescent="0.25">
      <c r="A503">
        <v>409</v>
      </c>
      <c r="B503">
        <v>0</v>
      </c>
      <c r="C503">
        <v>3</v>
      </c>
      <c r="D503" t="s">
        <v>914</v>
      </c>
      <c r="E503" s="4">
        <f>LEN(D503)</f>
        <v>33</v>
      </c>
      <c r="F503" t="s">
        <v>24</v>
      </c>
      <c r="G503">
        <v>21</v>
      </c>
      <c r="H503">
        <v>0</v>
      </c>
      <c r="I503">
        <v>0</v>
      </c>
      <c r="J503">
        <v>312992</v>
      </c>
      <c r="K503">
        <v>7.7750000000000004</v>
      </c>
      <c r="M503" s="6" t="str">
        <f t="shared" si="42"/>
        <v/>
      </c>
      <c r="N503" s="7" t="str">
        <f t="shared" si="44"/>
        <v/>
      </c>
      <c r="O503" t="str">
        <f t="shared" si="43"/>
        <v>31</v>
      </c>
      <c r="P503" s="4" t="str">
        <f>LEFT(L503,1)</f>
        <v/>
      </c>
      <c r="Q503" t="s">
        <v>20</v>
      </c>
    </row>
    <row r="504" spans="1:17" hidden="1" x14ac:dyDescent="0.25">
      <c r="A504">
        <v>108</v>
      </c>
      <c r="B504">
        <v>1</v>
      </c>
      <c r="C504">
        <v>3</v>
      </c>
      <c r="D504" t="s">
        <v>1031</v>
      </c>
      <c r="E504" s="4">
        <f>LEN(D504)</f>
        <v>22</v>
      </c>
      <c r="F504" t="s">
        <v>24</v>
      </c>
      <c r="H504">
        <v>0</v>
      </c>
      <c r="I504">
        <v>0</v>
      </c>
      <c r="J504">
        <v>312991</v>
      </c>
      <c r="K504">
        <v>7.7750000000000004</v>
      </c>
      <c r="M504" s="6" t="str">
        <f t="shared" si="42"/>
        <v/>
      </c>
      <c r="N504" s="7" t="str">
        <f t="shared" si="44"/>
        <v/>
      </c>
      <c r="O504" t="str">
        <f t="shared" si="43"/>
        <v>31</v>
      </c>
      <c r="P504" s="4" t="str">
        <f>LEFT(L504,1)</f>
        <v/>
      </c>
      <c r="Q504" t="s">
        <v>20</v>
      </c>
    </row>
    <row r="505" spans="1:17" hidden="1" x14ac:dyDescent="0.25">
      <c r="A505">
        <v>172</v>
      </c>
      <c r="B505">
        <v>0</v>
      </c>
      <c r="C505">
        <v>3</v>
      </c>
      <c r="D505" t="s">
        <v>764</v>
      </c>
      <c r="E505" s="4">
        <f>LEN(D505)</f>
        <v>20</v>
      </c>
      <c r="F505" t="s">
        <v>24</v>
      </c>
      <c r="G505">
        <v>4</v>
      </c>
      <c r="H505">
        <v>4</v>
      </c>
      <c r="I505">
        <v>1</v>
      </c>
      <c r="J505">
        <v>382652</v>
      </c>
      <c r="K505">
        <v>29.125</v>
      </c>
      <c r="M505" s="6" t="str">
        <f t="shared" si="42"/>
        <v/>
      </c>
      <c r="N505" s="7" t="str">
        <f t="shared" si="44"/>
        <v/>
      </c>
      <c r="O505" t="str">
        <f t="shared" si="43"/>
        <v>38</v>
      </c>
      <c r="P505" s="4" t="str">
        <f>LEFT(L505,1)</f>
        <v/>
      </c>
      <c r="Q505" t="s">
        <v>161</v>
      </c>
    </row>
    <row r="506" spans="1:17" hidden="1" x14ac:dyDescent="0.25">
      <c r="A506">
        <v>428</v>
      </c>
      <c r="B506">
        <v>1</v>
      </c>
      <c r="C506">
        <v>2</v>
      </c>
      <c r="D506" t="s">
        <v>546</v>
      </c>
      <c r="E506" s="4">
        <f>LEN(D506)</f>
        <v>67</v>
      </c>
      <c r="F506" t="s">
        <v>14</v>
      </c>
      <c r="G506">
        <v>19</v>
      </c>
      <c r="H506">
        <v>0</v>
      </c>
      <c r="I506">
        <v>0</v>
      </c>
      <c r="J506">
        <v>250655</v>
      </c>
      <c r="K506">
        <v>26</v>
      </c>
      <c r="M506" s="6" t="str">
        <f t="shared" si="42"/>
        <v/>
      </c>
      <c r="N506" s="7" t="str">
        <f t="shared" si="44"/>
        <v/>
      </c>
      <c r="O506" t="str">
        <f t="shared" si="43"/>
        <v>25</v>
      </c>
      <c r="P506" s="4" t="str">
        <f>LEFT(L506,1)</f>
        <v/>
      </c>
      <c r="Q506" t="s">
        <v>20</v>
      </c>
    </row>
    <row r="507" spans="1:17" hidden="1" x14ac:dyDescent="0.25">
      <c r="A507">
        <v>279</v>
      </c>
      <c r="B507">
        <v>0</v>
      </c>
      <c r="C507">
        <v>3</v>
      </c>
      <c r="D507" t="s">
        <v>833</v>
      </c>
      <c r="E507" s="4">
        <f>LEN(D507)</f>
        <v>18</v>
      </c>
      <c r="F507" t="s">
        <v>24</v>
      </c>
      <c r="G507">
        <v>7</v>
      </c>
      <c r="H507">
        <v>4</v>
      </c>
      <c r="I507">
        <v>1</v>
      </c>
      <c r="J507">
        <v>382652</v>
      </c>
      <c r="K507">
        <v>29.125</v>
      </c>
      <c r="M507" s="6" t="str">
        <f t="shared" si="42"/>
        <v/>
      </c>
      <c r="N507" s="7" t="str">
        <f t="shared" si="44"/>
        <v/>
      </c>
      <c r="O507" t="str">
        <f t="shared" si="43"/>
        <v>38</v>
      </c>
      <c r="P507" s="4" t="str">
        <f>LEFT(L507,1)</f>
        <v/>
      </c>
      <c r="Q507" t="s">
        <v>161</v>
      </c>
    </row>
    <row r="508" spans="1:17" hidden="1" x14ac:dyDescent="0.25">
      <c r="A508">
        <v>706</v>
      </c>
      <c r="B508">
        <v>0</v>
      </c>
      <c r="C508">
        <v>2</v>
      </c>
      <c r="D508" t="s">
        <v>605</v>
      </c>
      <c r="E508" s="4">
        <f>LEN(D508)</f>
        <v>46</v>
      </c>
      <c r="F508" t="s">
        <v>24</v>
      </c>
      <c r="G508">
        <v>39</v>
      </c>
      <c r="H508">
        <v>0</v>
      </c>
      <c r="I508">
        <v>0</v>
      </c>
      <c r="J508">
        <v>250655</v>
      </c>
      <c r="K508">
        <v>26</v>
      </c>
      <c r="M508" s="6" t="str">
        <f t="shared" si="42"/>
        <v/>
      </c>
      <c r="N508" s="7" t="str">
        <f t="shared" si="44"/>
        <v/>
      </c>
      <c r="O508" t="str">
        <f t="shared" si="43"/>
        <v>25</v>
      </c>
      <c r="P508" s="4" t="str">
        <f>LEFT(L508,1)</f>
        <v/>
      </c>
      <c r="Q508" t="s">
        <v>20</v>
      </c>
    </row>
    <row r="509" spans="1:17" hidden="1" x14ac:dyDescent="0.25">
      <c r="A509">
        <v>788</v>
      </c>
      <c r="B509">
        <v>0</v>
      </c>
      <c r="C509">
        <v>3</v>
      </c>
      <c r="D509" t="s">
        <v>1174</v>
      </c>
      <c r="E509" s="4">
        <f>LEN(D509)</f>
        <v>25</v>
      </c>
      <c r="F509" t="s">
        <v>24</v>
      </c>
      <c r="G509">
        <v>8</v>
      </c>
      <c r="H509">
        <v>4</v>
      </c>
      <c r="I509">
        <v>1</v>
      </c>
      <c r="J509">
        <v>382652</v>
      </c>
      <c r="K509">
        <v>29.125</v>
      </c>
      <c r="M509" s="6" t="str">
        <f t="shared" si="42"/>
        <v/>
      </c>
      <c r="N509" s="7" t="str">
        <f t="shared" si="44"/>
        <v/>
      </c>
      <c r="O509" t="str">
        <f t="shared" si="43"/>
        <v>38</v>
      </c>
      <c r="P509" s="4" t="str">
        <f>LEFT(L509,1)</f>
        <v/>
      </c>
      <c r="Q509" t="s">
        <v>161</v>
      </c>
    </row>
    <row r="510" spans="1:17" hidden="1" x14ac:dyDescent="0.25">
      <c r="A510">
        <v>179</v>
      </c>
      <c r="B510">
        <v>0</v>
      </c>
      <c r="C510">
        <v>2</v>
      </c>
      <c r="D510" t="s">
        <v>471</v>
      </c>
      <c r="E510" s="4">
        <f>LEN(D510)</f>
        <v>18</v>
      </c>
      <c r="F510" t="s">
        <v>24</v>
      </c>
      <c r="G510">
        <v>30</v>
      </c>
      <c r="H510">
        <v>0</v>
      </c>
      <c r="I510">
        <v>0</v>
      </c>
      <c r="J510">
        <v>250653</v>
      </c>
      <c r="K510">
        <v>13</v>
      </c>
      <c r="M510" s="6" t="str">
        <f t="shared" si="42"/>
        <v/>
      </c>
      <c r="N510" s="7" t="str">
        <f t="shared" si="44"/>
        <v/>
      </c>
      <c r="O510" t="str">
        <f t="shared" si="43"/>
        <v>25</v>
      </c>
      <c r="P510" s="4" t="str">
        <f>LEFT(L510,1)</f>
        <v/>
      </c>
      <c r="Q510" t="s">
        <v>20</v>
      </c>
    </row>
    <row r="511" spans="1:17" hidden="1" x14ac:dyDescent="0.25">
      <c r="A511">
        <v>732</v>
      </c>
      <c r="B511">
        <v>0</v>
      </c>
      <c r="C511">
        <v>3</v>
      </c>
      <c r="D511" t="s">
        <v>1132</v>
      </c>
      <c r="E511" s="4">
        <f>LEN(D511)</f>
        <v>24</v>
      </c>
      <c r="F511" t="s">
        <v>24</v>
      </c>
      <c r="G511">
        <v>11</v>
      </c>
      <c r="H511">
        <v>0</v>
      </c>
      <c r="I511">
        <v>0</v>
      </c>
      <c r="J511">
        <v>2699</v>
      </c>
      <c r="K511">
        <v>18.787500000000001</v>
      </c>
      <c r="M511" s="6" t="str">
        <f t="shared" si="42"/>
        <v/>
      </c>
      <c r="N511" s="7" t="str">
        <f t="shared" si="44"/>
        <v/>
      </c>
      <c r="O511" t="str">
        <f t="shared" si="43"/>
        <v>26</v>
      </c>
      <c r="P511" s="4" t="str">
        <f>LEFT(L511,1)</f>
        <v/>
      </c>
      <c r="Q511" t="s">
        <v>17</v>
      </c>
    </row>
    <row r="512" spans="1:17" hidden="1" x14ac:dyDescent="0.25">
      <c r="A512">
        <v>418</v>
      </c>
      <c r="B512">
        <v>1</v>
      </c>
      <c r="C512">
        <v>2</v>
      </c>
      <c r="D512" t="s">
        <v>543</v>
      </c>
      <c r="E512" s="4">
        <f>LEN(D512)</f>
        <v>29</v>
      </c>
      <c r="F512" t="s">
        <v>14</v>
      </c>
      <c r="G512">
        <v>18</v>
      </c>
      <c r="H512">
        <v>0</v>
      </c>
      <c r="I512">
        <v>2</v>
      </c>
      <c r="J512">
        <v>250652</v>
      </c>
      <c r="K512">
        <v>13</v>
      </c>
      <c r="M512" s="6" t="str">
        <f t="shared" si="42"/>
        <v/>
      </c>
      <c r="N512" s="7" t="str">
        <f t="shared" si="44"/>
        <v/>
      </c>
      <c r="O512" t="str">
        <f t="shared" si="43"/>
        <v>25</v>
      </c>
      <c r="P512" s="4" t="str">
        <f>LEFT(L512,1)</f>
        <v/>
      </c>
      <c r="Q512" t="s">
        <v>20</v>
      </c>
    </row>
    <row r="513" spans="1:17" hidden="1" x14ac:dyDescent="0.25">
      <c r="A513">
        <v>313</v>
      </c>
      <c r="B513">
        <v>0</v>
      </c>
      <c r="C513">
        <v>2</v>
      </c>
      <c r="D513" t="s">
        <v>510</v>
      </c>
      <c r="E513" s="4">
        <f>LEN(D513)</f>
        <v>37</v>
      </c>
      <c r="F513" t="s">
        <v>14</v>
      </c>
      <c r="G513">
        <v>26</v>
      </c>
      <c r="H513">
        <v>1</v>
      </c>
      <c r="I513">
        <v>1</v>
      </c>
      <c r="J513">
        <v>250651</v>
      </c>
      <c r="K513">
        <v>26</v>
      </c>
      <c r="M513" s="6" t="str">
        <f t="shared" si="42"/>
        <v/>
      </c>
      <c r="N513" s="7" t="str">
        <f t="shared" si="44"/>
        <v/>
      </c>
      <c r="O513" t="str">
        <f t="shared" si="43"/>
        <v>25</v>
      </c>
      <c r="P513" s="4" t="str">
        <f>LEFT(L513,1)</f>
        <v/>
      </c>
      <c r="Q513" t="s">
        <v>20</v>
      </c>
    </row>
    <row r="514" spans="1:17" hidden="1" x14ac:dyDescent="0.25">
      <c r="A514">
        <v>58</v>
      </c>
      <c r="B514">
        <v>0</v>
      </c>
      <c r="C514">
        <v>3</v>
      </c>
      <c r="D514" t="s">
        <v>691</v>
      </c>
      <c r="E514" s="4">
        <f>LEN(D514)</f>
        <v>19</v>
      </c>
      <c r="F514" t="s">
        <v>24</v>
      </c>
      <c r="G514">
        <v>28.5</v>
      </c>
      <c r="H514">
        <v>0</v>
      </c>
      <c r="I514">
        <v>0</v>
      </c>
      <c r="J514">
        <v>2697</v>
      </c>
      <c r="K514">
        <v>7.2291999999999996</v>
      </c>
      <c r="M514" s="6" t="str">
        <f t="shared" si="42"/>
        <v/>
      </c>
      <c r="N514" s="7" t="str">
        <f t="shared" si="44"/>
        <v/>
      </c>
      <c r="O514" t="str">
        <f t="shared" si="43"/>
        <v>26</v>
      </c>
      <c r="P514" s="4" t="str">
        <f>LEFT(L514,1)</f>
        <v/>
      </c>
      <c r="Q514" t="s">
        <v>17</v>
      </c>
    </row>
    <row r="515" spans="1:17" hidden="1" x14ac:dyDescent="0.25">
      <c r="A515">
        <v>209</v>
      </c>
      <c r="B515">
        <v>1</v>
      </c>
      <c r="C515">
        <v>3</v>
      </c>
      <c r="D515" t="s">
        <v>788</v>
      </c>
      <c r="E515" s="4">
        <f>LEN(D515)</f>
        <v>25</v>
      </c>
      <c r="F515" t="s">
        <v>14</v>
      </c>
      <c r="G515">
        <v>16</v>
      </c>
      <c r="H515">
        <v>0</v>
      </c>
      <c r="I515">
        <v>0</v>
      </c>
      <c r="J515">
        <v>367231</v>
      </c>
      <c r="K515">
        <v>7.75</v>
      </c>
      <c r="M515" s="6" t="str">
        <f t="shared" ref="M515:M578" si="45">IF(LEN(L515)&gt;3,RIGHT((LEFT(L515,4)),3),IF(LEN(L515)=3,RIGHT(L515,2),RIGHT(L515,1)))</f>
        <v/>
      </c>
      <c r="N515" s="7" t="str">
        <f t="shared" si="44"/>
        <v/>
      </c>
      <c r="O515" t="str">
        <f t="shared" ref="O515:O578" si="46">LEFT(J515,2)</f>
        <v>36</v>
      </c>
      <c r="P515" s="4" t="str">
        <f>LEFT(L515,1)</f>
        <v/>
      </c>
      <c r="Q515" t="s">
        <v>161</v>
      </c>
    </row>
    <row r="516" spans="1:17" hidden="1" x14ac:dyDescent="0.25">
      <c r="A516">
        <v>248</v>
      </c>
      <c r="B516">
        <v>1</v>
      </c>
      <c r="C516">
        <v>2</v>
      </c>
      <c r="D516" t="s">
        <v>499</v>
      </c>
      <c r="E516" s="4">
        <f>LEN(D516)</f>
        <v>31</v>
      </c>
      <c r="F516" t="s">
        <v>14</v>
      </c>
      <c r="G516">
        <v>24</v>
      </c>
      <c r="H516">
        <v>0</v>
      </c>
      <c r="I516">
        <v>2</v>
      </c>
      <c r="J516">
        <v>250649</v>
      </c>
      <c r="K516">
        <v>14.5</v>
      </c>
      <c r="M516" s="6" t="str">
        <f t="shared" si="45"/>
        <v/>
      </c>
      <c r="N516" s="7" t="str">
        <f t="shared" ref="N516:N579" si="47">IF(LEN(M516)&gt;1, M516+0,"")</f>
        <v/>
      </c>
      <c r="O516" t="str">
        <f t="shared" si="46"/>
        <v>25</v>
      </c>
      <c r="P516" s="4" t="str">
        <f>LEFT(L516,1)</f>
        <v/>
      </c>
      <c r="Q516" t="s">
        <v>20</v>
      </c>
    </row>
    <row r="517" spans="1:17" hidden="1" x14ac:dyDescent="0.25">
      <c r="A517">
        <v>756</v>
      </c>
      <c r="B517">
        <v>1</v>
      </c>
      <c r="C517">
        <v>2</v>
      </c>
      <c r="D517" t="s">
        <v>619</v>
      </c>
      <c r="E517" s="4">
        <f>LEN(D517)</f>
        <v>25</v>
      </c>
      <c r="F517" t="s">
        <v>24</v>
      </c>
      <c r="G517">
        <v>0.67</v>
      </c>
      <c r="H517">
        <v>1</v>
      </c>
      <c r="I517">
        <v>1</v>
      </c>
      <c r="J517">
        <v>250649</v>
      </c>
      <c r="K517">
        <v>14.5</v>
      </c>
      <c r="M517" s="6" t="str">
        <f t="shared" si="45"/>
        <v/>
      </c>
      <c r="N517" s="7" t="str">
        <f t="shared" si="47"/>
        <v/>
      </c>
      <c r="O517" t="str">
        <f t="shared" si="46"/>
        <v>25</v>
      </c>
      <c r="P517" s="4" t="str">
        <f>LEFT(L517,1)</f>
        <v/>
      </c>
      <c r="Q517" t="s">
        <v>20</v>
      </c>
    </row>
    <row r="518" spans="1:17" hidden="1" x14ac:dyDescent="0.25">
      <c r="A518">
        <v>748</v>
      </c>
      <c r="B518">
        <v>1</v>
      </c>
      <c r="C518">
        <v>2</v>
      </c>
      <c r="D518" t="s">
        <v>616</v>
      </c>
      <c r="E518" s="4">
        <f>LEN(D518)</f>
        <v>21</v>
      </c>
      <c r="F518" t="s">
        <v>14</v>
      </c>
      <c r="G518">
        <v>30</v>
      </c>
      <c r="H518">
        <v>0</v>
      </c>
      <c r="I518">
        <v>0</v>
      </c>
      <c r="J518">
        <v>250648</v>
      </c>
      <c r="K518">
        <v>13</v>
      </c>
      <c r="M518" s="6" t="str">
        <f t="shared" si="45"/>
        <v/>
      </c>
      <c r="N518" s="7" t="str">
        <f t="shared" si="47"/>
        <v/>
      </c>
      <c r="O518" t="str">
        <f t="shared" si="46"/>
        <v>25</v>
      </c>
      <c r="P518" s="4" t="str">
        <f>LEFT(L518,1)</f>
        <v/>
      </c>
      <c r="Q518" t="s">
        <v>20</v>
      </c>
    </row>
    <row r="519" spans="1:17" hidden="1" x14ac:dyDescent="0.25">
      <c r="A519">
        <v>715</v>
      </c>
      <c r="B519">
        <v>0</v>
      </c>
      <c r="C519">
        <v>2</v>
      </c>
      <c r="D519" t="s">
        <v>607</v>
      </c>
      <c r="E519" s="4">
        <f>LEN(D519)</f>
        <v>21</v>
      </c>
      <c r="F519" t="s">
        <v>24</v>
      </c>
      <c r="G519">
        <v>52</v>
      </c>
      <c r="H519">
        <v>0</v>
      </c>
      <c r="I519">
        <v>0</v>
      </c>
      <c r="J519">
        <v>250647</v>
      </c>
      <c r="K519">
        <v>13</v>
      </c>
      <c r="M519" s="6" t="str">
        <f t="shared" si="45"/>
        <v/>
      </c>
      <c r="N519" s="7" t="str">
        <f t="shared" si="47"/>
        <v/>
      </c>
      <c r="O519" t="str">
        <f t="shared" si="46"/>
        <v>25</v>
      </c>
      <c r="P519" s="4" t="str">
        <f>LEFT(L519,1)</f>
        <v/>
      </c>
      <c r="Q519" t="s">
        <v>20</v>
      </c>
    </row>
    <row r="520" spans="1:17" hidden="1" x14ac:dyDescent="0.25">
      <c r="A520">
        <v>801</v>
      </c>
      <c r="B520">
        <v>0</v>
      </c>
      <c r="C520">
        <v>2</v>
      </c>
      <c r="D520" t="s">
        <v>627</v>
      </c>
      <c r="E520" s="4">
        <f>LEN(D520)</f>
        <v>20</v>
      </c>
      <c r="F520" t="s">
        <v>24</v>
      </c>
      <c r="G520">
        <v>34</v>
      </c>
      <c r="H520">
        <v>0</v>
      </c>
      <c r="I520">
        <v>0</v>
      </c>
      <c r="J520">
        <v>250647</v>
      </c>
      <c r="K520">
        <v>13</v>
      </c>
      <c r="M520" s="6" t="str">
        <f t="shared" si="45"/>
        <v/>
      </c>
      <c r="N520" s="7" t="str">
        <f t="shared" si="47"/>
        <v/>
      </c>
      <c r="O520" t="str">
        <f t="shared" si="46"/>
        <v>25</v>
      </c>
      <c r="P520" s="4" t="str">
        <f>LEFT(L520,1)</f>
        <v/>
      </c>
      <c r="Q520" t="s">
        <v>20</v>
      </c>
    </row>
    <row r="521" spans="1:17" hidden="1" x14ac:dyDescent="0.25">
      <c r="A521">
        <v>214</v>
      </c>
      <c r="B521">
        <v>0</v>
      </c>
      <c r="C521">
        <v>2</v>
      </c>
      <c r="D521" t="s">
        <v>480</v>
      </c>
      <c r="E521" s="4">
        <f>LEN(D521)</f>
        <v>27</v>
      </c>
      <c r="F521" t="s">
        <v>24</v>
      </c>
      <c r="G521">
        <v>30</v>
      </c>
      <c r="H521">
        <v>0</v>
      </c>
      <c r="I521">
        <v>0</v>
      </c>
      <c r="J521">
        <v>250646</v>
      </c>
      <c r="K521">
        <v>13</v>
      </c>
      <c r="M521" s="6" t="str">
        <f t="shared" si="45"/>
        <v/>
      </c>
      <c r="N521" s="7" t="str">
        <f t="shared" si="47"/>
        <v/>
      </c>
      <c r="O521" t="str">
        <f t="shared" si="46"/>
        <v>25</v>
      </c>
      <c r="P521" s="4" t="str">
        <f>LEFT(L521,1)</f>
        <v/>
      </c>
      <c r="Q521" t="s">
        <v>20</v>
      </c>
    </row>
    <row r="522" spans="1:17" hidden="1" x14ac:dyDescent="0.25">
      <c r="A522">
        <v>769</v>
      </c>
      <c r="B522">
        <v>0</v>
      </c>
      <c r="C522">
        <v>3</v>
      </c>
      <c r="D522" t="s">
        <v>799</v>
      </c>
      <c r="E522" s="4">
        <f>LEN(D522)</f>
        <v>19</v>
      </c>
      <c r="F522" t="s">
        <v>24</v>
      </c>
      <c r="H522">
        <v>1</v>
      </c>
      <c r="I522">
        <v>0</v>
      </c>
      <c r="J522">
        <v>371110</v>
      </c>
      <c r="K522">
        <v>24.15</v>
      </c>
      <c r="M522" s="6" t="str">
        <f t="shared" si="45"/>
        <v/>
      </c>
      <c r="N522" s="7" t="str">
        <f t="shared" si="47"/>
        <v/>
      </c>
      <c r="O522" t="str">
        <f t="shared" si="46"/>
        <v>37</v>
      </c>
      <c r="P522" s="4" t="str">
        <f>LEFT(L522,1)</f>
        <v/>
      </c>
      <c r="Q522" t="s">
        <v>161</v>
      </c>
    </row>
    <row r="523" spans="1:17" hidden="1" x14ac:dyDescent="0.25">
      <c r="A523">
        <v>273</v>
      </c>
      <c r="B523">
        <v>1</v>
      </c>
      <c r="C523">
        <v>2</v>
      </c>
      <c r="D523" t="s">
        <v>504</v>
      </c>
      <c r="E523" s="4">
        <f>LEN(D523)</f>
        <v>41</v>
      </c>
      <c r="F523" t="s">
        <v>14</v>
      </c>
      <c r="G523">
        <v>41</v>
      </c>
      <c r="H523">
        <v>0</v>
      </c>
      <c r="I523">
        <v>1</v>
      </c>
      <c r="J523">
        <v>250644</v>
      </c>
      <c r="K523">
        <v>19.5</v>
      </c>
      <c r="M523" s="6" t="str">
        <f t="shared" si="45"/>
        <v/>
      </c>
      <c r="N523" s="7" t="str">
        <f t="shared" si="47"/>
        <v/>
      </c>
      <c r="O523" t="str">
        <f t="shared" si="46"/>
        <v>25</v>
      </c>
      <c r="P523" s="4" t="str">
        <f>LEFT(L523,1)</f>
        <v/>
      </c>
      <c r="Q523" t="s">
        <v>20</v>
      </c>
    </row>
    <row r="524" spans="1:17" hidden="1" x14ac:dyDescent="0.25">
      <c r="A524">
        <v>447</v>
      </c>
      <c r="B524">
        <v>1</v>
      </c>
      <c r="C524">
        <v>2</v>
      </c>
      <c r="D524" t="s">
        <v>554</v>
      </c>
      <c r="E524" s="4">
        <f>LEN(D524)</f>
        <v>33</v>
      </c>
      <c r="F524" t="s">
        <v>14</v>
      </c>
      <c r="G524">
        <v>13</v>
      </c>
      <c r="H524">
        <v>0</v>
      </c>
      <c r="I524">
        <v>1</v>
      </c>
      <c r="J524">
        <v>250644</v>
      </c>
      <c r="K524">
        <v>19.5</v>
      </c>
      <c r="M524" s="6" t="str">
        <f t="shared" si="45"/>
        <v/>
      </c>
      <c r="N524" s="7" t="str">
        <f t="shared" si="47"/>
        <v/>
      </c>
      <c r="O524" t="str">
        <f t="shared" si="46"/>
        <v>25</v>
      </c>
      <c r="P524" s="4" t="str">
        <f>LEFT(L524,1)</f>
        <v/>
      </c>
      <c r="Q524" t="s">
        <v>20</v>
      </c>
    </row>
    <row r="525" spans="1:17" hidden="1" x14ac:dyDescent="0.25">
      <c r="A525">
        <v>110</v>
      </c>
      <c r="B525">
        <v>1</v>
      </c>
      <c r="C525">
        <v>3</v>
      </c>
      <c r="D525" t="s">
        <v>804</v>
      </c>
      <c r="E525" s="4">
        <f>LEN(D525)</f>
        <v>19</v>
      </c>
      <c r="F525" t="s">
        <v>14</v>
      </c>
      <c r="H525">
        <v>1</v>
      </c>
      <c r="I525">
        <v>0</v>
      </c>
      <c r="J525">
        <v>371110</v>
      </c>
      <c r="K525">
        <v>24.15</v>
      </c>
      <c r="M525" s="6" t="str">
        <f t="shared" si="45"/>
        <v/>
      </c>
      <c r="N525" s="7" t="str">
        <f t="shared" si="47"/>
        <v/>
      </c>
      <c r="O525" t="str">
        <f t="shared" si="46"/>
        <v>37</v>
      </c>
      <c r="P525" s="4" t="str">
        <f>LEFT(L525,1)</f>
        <v/>
      </c>
      <c r="Q525" t="s">
        <v>161</v>
      </c>
    </row>
    <row r="526" spans="1:17" hidden="1" x14ac:dyDescent="0.25">
      <c r="A526">
        <v>724</v>
      </c>
      <c r="B526">
        <v>0</v>
      </c>
      <c r="C526">
        <v>2</v>
      </c>
      <c r="D526" t="s">
        <v>611</v>
      </c>
      <c r="E526" s="4">
        <f>LEN(D526)</f>
        <v>23</v>
      </c>
      <c r="F526" t="s">
        <v>24</v>
      </c>
      <c r="G526">
        <v>50</v>
      </c>
      <c r="H526">
        <v>0</v>
      </c>
      <c r="I526">
        <v>0</v>
      </c>
      <c r="J526">
        <v>250643</v>
      </c>
      <c r="K526">
        <v>13</v>
      </c>
      <c r="M526" s="6" t="str">
        <f t="shared" si="45"/>
        <v/>
      </c>
      <c r="N526" s="7" t="str">
        <f t="shared" si="47"/>
        <v/>
      </c>
      <c r="O526" t="str">
        <f t="shared" si="46"/>
        <v>25</v>
      </c>
      <c r="P526" s="4" t="str">
        <f>LEFT(L526,1)</f>
        <v/>
      </c>
      <c r="Q526" t="s">
        <v>20</v>
      </c>
    </row>
    <row r="527" spans="1:17" hidden="1" x14ac:dyDescent="0.25">
      <c r="A527">
        <v>200</v>
      </c>
      <c r="B527">
        <v>0</v>
      </c>
      <c r="C527">
        <v>2</v>
      </c>
      <c r="D527" t="s">
        <v>477</v>
      </c>
      <c r="E527" s="4">
        <f>LEN(D527)</f>
        <v>38</v>
      </c>
      <c r="F527" t="s">
        <v>14</v>
      </c>
      <c r="G527">
        <v>24</v>
      </c>
      <c r="H527">
        <v>0</v>
      </c>
      <c r="I527">
        <v>0</v>
      </c>
      <c r="J527">
        <v>248747</v>
      </c>
      <c r="K527">
        <v>13</v>
      </c>
      <c r="M527" s="6" t="str">
        <f t="shared" si="45"/>
        <v/>
      </c>
      <c r="N527" s="7" t="str">
        <f t="shared" si="47"/>
        <v/>
      </c>
      <c r="O527" t="str">
        <f t="shared" si="46"/>
        <v>24</v>
      </c>
      <c r="P527" s="4" t="str">
        <f>LEFT(L527,1)</f>
        <v/>
      </c>
      <c r="Q527" t="s">
        <v>20</v>
      </c>
    </row>
    <row r="528" spans="1:17" hidden="1" x14ac:dyDescent="0.25">
      <c r="A528">
        <v>518</v>
      </c>
      <c r="B528">
        <v>0</v>
      </c>
      <c r="C528">
        <v>3</v>
      </c>
      <c r="D528" t="s">
        <v>807</v>
      </c>
      <c r="E528" s="4">
        <f>LEN(D528)</f>
        <v>17</v>
      </c>
      <c r="F528" t="s">
        <v>24</v>
      </c>
      <c r="H528">
        <v>0</v>
      </c>
      <c r="I528">
        <v>0</v>
      </c>
      <c r="J528">
        <v>371110</v>
      </c>
      <c r="K528">
        <v>24.15</v>
      </c>
      <c r="M528" s="6" t="str">
        <f t="shared" si="45"/>
        <v/>
      </c>
      <c r="N528" s="7" t="str">
        <f t="shared" si="47"/>
        <v/>
      </c>
      <c r="O528" t="str">
        <f t="shared" si="46"/>
        <v>37</v>
      </c>
      <c r="P528" s="4" t="str">
        <f>LEFT(L528,1)</f>
        <v/>
      </c>
      <c r="Q528" t="s">
        <v>161</v>
      </c>
    </row>
    <row r="529" spans="1:17" hidden="1" x14ac:dyDescent="0.25">
      <c r="A529">
        <v>343</v>
      </c>
      <c r="B529">
        <v>0</v>
      </c>
      <c r="C529">
        <v>2</v>
      </c>
      <c r="D529" t="s">
        <v>519</v>
      </c>
      <c r="E529" s="4">
        <f>LEN(D529)</f>
        <v>26</v>
      </c>
      <c r="F529" t="s">
        <v>24</v>
      </c>
      <c r="G529">
        <v>28</v>
      </c>
      <c r="H529">
        <v>0</v>
      </c>
      <c r="I529">
        <v>0</v>
      </c>
      <c r="J529">
        <v>248740</v>
      </c>
      <c r="K529">
        <v>13</v>
      </c>
      <c r="M529" s="6" t="str">
        <f t="shared" si="45"/>
        <v/>
      </c>
      <c r="N529" s="7" t="str">
        <f t="shared" si="47"/>
        <v/>
      </c>
      <c r="O529" t="str">
        <f t="shared" si="46"/>
        <v>24</v>
      </c>
      <c r="P529" s="4" t="str">
        <f>LEFT(L529,1)</f>
        <v/>
      </c>
      <c r="Q529" t="s">
        <v>20</v>
      </c>
    </row>
    <row r="530" spans="1:17" hidden="1" x14ac:dyDescent="0.25">
      <c r="A530">
        <v>79</v>
      </c>
      <c r="B530">
        <v>1</v>
      </c>
      <c r="C530">
        <v>2</v>
      </c>
      <c r="D530" t="s">
        <v>445</v>
      </c>
      <c r="E530" s="4">
        <f>LEN(D530)</f>
        <v>29</v>
      </c>
      <c r="F530" t="s">
        <v>24</v>
      </c>
      <c r="G530">
        <v>0.83</v>
      </c>
      <c r="H530">
        <v>0</v>
      </c>
      <c r="I530">
        <v>2</v>
      </c>
      <c r="J530">
        <v>248738</v>
      </c>
      <c r="K530">
        <v>29</v>
      </c>
      <c r="M530" s="6" t="str">
        <f t="shared" si="45"/>
        <v/>
      </c>
      <c r="N530" s="7" t="str">
        <f t="shared" si="47"/>
        <v/>
      </c>
      <c r="O530" t="str">
        <f t="shared" si="46"/>
        <v>24</v>
      </c>
      <c r="P530" s="4" t="str">
        <f>LEFT(L530,1)</f>
        <v/>
      </c>
      <c r="Q530" t="s">
        <v>20</v>
      </c>
    </row>
    <row r="531" spans="1:17" hidden="1" x14ac:dyDescent="0.25">
      <c r="A531">
        <v>324</v>
      </c>
      <c r="B531">
        <v>1</v>
      </c>
      <c r="C531">
        <v>2</v>
      </c>
      <c r="D531" t="s">
        <v>516</v>
      </c>
      <c r="E531" s="4">
        <f>LEN(D531)</f>
        <v>51</v>
      </c>
      <c r="F531" t="s">
        <v>14</v>
      </c>
      <c r="G531">
        <v>22</v>
      </c>
      <c r="H531">
        <v>1</v>
      </c>
      <c r="I531">
        <v>1</v>
      </c>
      <c r="J531">
        <v>248738</v>
      </c>
      <c r="K531">
        <v>29</v>
      </c>
      <c r="M531" s="6" t="str">
        <f t="shared" si="45"/>
        <v/>
      </c>
      <c r="N531" s="7" t="str">
        <f t="shared" si="47"/>
        <v/>
      </c>
      <c r="O531" t="str">
        <f t="shared" si="46"/>
        <v>24</v>
      </c>
      <c r="P531" s="4" t="str">
        <f>LEFT(L531,1)</f>
        <v/>
      </c>
      <c r="Q531" t="s">
        <v>20</v>
      </c>
    </row>
    <row r="532" spans="1:17" hidden="1" x14ac:dyDescent="0.25">
      <c r="A532">
        <v>353</v>
      </c>
      <c r="B532">
        <v>0</v>
      </c>
      <c r="C532">
        <v>3</v>
      </c>
      <c r="D532" t="s">
        <v>876</v>
      </c>
      <c r="E532" s="4">
        <f>LEN(D532)</f>
        <v>18</v>
      </c>
      <c r="F532" t="s">
        <v>24</v>
      </c>
      <c r="G532">
        <v>15</v>
      </c>
      <c r="H532">
        <v>1</v>
      </c>
      <c r="I532">
        <v>1</v>
      </c>
      <c r="J532">
        <v>2695</v>
      </c>
      <c r="K532">
        <v>7.2291999999999996</v>
      </c>
      <c r="M532" s="6" t="str">
        <f t="shared" si="45"/>
        <v/>
      </c>
      <c r="N532" s="7" t="str">
        <f t="shared" si="47"/>
        <v/>
      </c>
      <c r="O532" t="str">
        <f t="shared" si="46"/>
        <v>26</v>
      </c>
      <c r="P532" s="4" t="str">
        <f>LEFT(L532,1)</f>
        <v/>
      </c>
      <c r="Q532" t="s">
        <v>17</v>
      </c>
    </row>
    <row r="533" spans="1:17" x14ac:dyDescent="0.25">
      <c r="A533">
        <v>346</v>
      </c>
      <c r="B533">
        <v>1</v>
      </c>
      <c r="C533">
        <v>2</v>
      </c>
      <c r="D533" t="s">
        <v>522</v>
      </c>
      <c r="E533" s="4">
        <f>LEN(D533)</f>
        <v>29</v>
      </c>
      <c r="F533" t="s">
        <v>14</v>
      </c>
      <c r="G533">
        <v>24</v>
      </c>
      <c r="H533">
        <v>0</v>
      </c>
      <c r="I533">
        <v>0</v>
      </c>
      <c r="J533">
        <v>248733</v>
      </c>
      <c r="K533">
        <v>13</v>
      </c>
      <c r="L533" t="s">
        <v>440</v>
      </c>
      <c r="M533" s="6" t="str">
        <f t="shared" si="45"/>
        <v>33</v>
      </c>
      <c r="N533" s="7">
        <f t="shared" si="47"/>
        <v>33</v>
      </c>
      <c r="O533" t="str">
        <f t="shared" si="46"/>
        <v>24</v>
      </c>
      <c r="P533" s="4" t="str">
        <f>LEFT(L533,1)</f>
        <v>F</v>
      </c>
      <c r="Q533" t="s">
        <v>20</v>
      </c>
    </row>
    <row r="534" spans="1:17" hidden="1" x14ac:dyDescent="0.25">
      <c r="A534">
        <v>696</v>
      </c>
      <c r="B534">
        <v>0</v>
      </c>
      <c r="C534">
        <v>2</v>
      </c>
      <c r="D534" t="s">
        <v>604</v>
      </c>
      <c r="E534" s="4">
        <f>LEN(D534)</f>
        <v>26</v>
      </c>
      <c r="F534" t="s">
        <v>24</v>
      </c>
      <c r="G534">
        <v>52</v>
      </c>
      <c r="H534">
        <v>0</v>
      </c>
      <c r="I534">
        <v>0</v>
      </c>
      <c r="J534">
        <v>248731</v>
      </c>
      <c r="K534">
        <v>13.5</v>
      </c>
      <c r="M534" s="6" t="str">
        <f t="shared" si="45"/>
        <v/>
      </c>
      <c r="N534" s="7" t="str">
        <f t="shared" si="47"/>
        <v/>
      </c>
      <c r="O534" t="str">
        <f t="shared" si="46"/>
        <v>24</v>
      </c>
      <c r="P534" s="4" t="str">
        <f>LEFT(L534,1)</f>
        <v/>
      </c>
      <c r="Q534" t="s">
        <v>20</v>
      </c>
    </row>
    <row r="535" spans="1:17" hidden="1" x14ac:dyDescent="0.25">
      <c r="A535">
        <v>597</v>
      </c>
      <c r="B535">
        <v>1</v>
      </c>
      <c r="C535">
        <v>2</v>
      </c>
      <c r="D535" t="s">
        <v>455</v>
      </c>
      <c r="E535" s="4">
        <f>LEN(D535)</f>
        <v>26</v>
      </c>
      <c r="F535" t="s">
        <v>14</v>
      </c>
      <c r="H535">
        <v>0</v>
      </c>
      <c r="I535">
        <v>0</v>
      </c>
      <c r="J535">
        <v>248727</v>
      </c>
      <c r="K535">
        <v>33</v>
      </c>
      <c r="M535" s="6" t="str">
        <f t="shared" si="45"/>
        <v/>
      </c>
      <c r="N535" s="7" t="str">
        <f t="shared" si="47"/>
        <v/>
      </c>
      <c r="O535" t="str">
        <f t="shared" si="46"/>
        <v>24</v>
      </c>
      <c r="P535" s="4" t="str">
        <f>LEFT(L535,1)</f>
        <v/>
      </c>
      <c r="Q535" t="s">
        <v>20</v>
      </c>
    </row>
    <row r="536" spans="1:17" hidden="1" x14ac:dyDescent="0.25">
      <c r="A536">
        <v>721</v>
      </c>
      <c r="B536">
        <v>1</v>
      </c>
      <c r="C536">
        <v>2</v>
      </c>
      <c r="D536" t="s">
        <v>609</v>
      </c>
      <c r="E536" s="4">
        <f>LEN(D536)</f>
        <v>33</v>
      </c>
      <c r="F536" t="s">
        <v>14</v>
      </c>
      <c r="G536">
        <v>6</v>
      </c>
      <c r="H536">
        <v>0</v>
      </c>
      <c r="I536">
        <v>1</v>
      </c>
      <c r="J536">
        <v>248727</v>
      </c>
      <c r="K536">
        <v>33</v>
      </c>
      <c r="M536" s="6" t="str">
        <f t="shared" si="45"/>
        <v/>
      </c>
      <c r="N536" s="7" t="str">
        <f t="shared" si="47"/>
        <v/>
      </c>
      <c r="O536" t="str">
        <f t="shared" si="46"/>
        <v>24</v>
      </c>
      <c r="P536" s="4" t="str">
        <f>LEFT(L536,1)</f>
        <v/>
      </c>
      <c r="Q536" t="s">
        <v>20</v>
      </c>
    </row>
    <row r="537" spans="1:17" hidden="1" x14ac:dyDescent="0.25">
      <c r="A537">
        <v>245</v>
      </c>
      <c r="B537">
        <v>0</v>
      </c>
      <c r="C537">
        <v>3</v>
      </c>
      <c r="D537" t="s">
        <v>813</v>
      </c>
      <c r="E537" s="4">
        <f>LEN(D537)</f>
        <v>20</v>
      </c>
      <c r="F537" t="s">
        <v>24</v>
      </c>
      <c r="G537">
        <v>30</v>
      </c>
      <c r="H537">
        <v>0</v>
      </c>
      <c r="I537">
        <v>0</v>
      </c>
      <c r="J537">
        <v>2694</v>
      </c>
      <c r="K537">
        <v>7.2249999999999996</v>
      </c>
      <c r="M537" s="6" t="str">
        <f t="shared" si="45"/>
        <v/>
      </c>
      <c r="N537" s="7" t="str">
        <f t="shared" si="47"/>
        <v/>
      </c>
      <c r="O537" t="str">
        <f t="shared" si="46"/>
        <v>26</v>
      </c>
      <c r="P537" s="4" t="str">
        <f>LEFT(L537,1)</f>
        <v/>
      </c>
      <c r="Q537" t="s">
        <v>17</v>
      </c>
    </row>
    <row r="538" spans="1:17" hidden="1" x14ac:dyDescent="0.25">
      <c r="A538">
        <v>297</v>
      </c>
      <c r="B538">
        <v>0</v>
      </c>
      <c r="C538">
        <v>3</v>
      </c>
      <c r="D538" t="s">
        <v>849</v>
      </c>
      <c r="E538" s="4">
        <f>LEN(D538)</f>
        <v>18</v>
      </c>
      <c r="F538" t="s">
        <v>24</v>
      </c>
      <c r="G538">
        <v>23.5</v>
      </c>
      <c r="H538">
        <v>0</v>
      </c>
      <c r="I538">
        <v>0</v>
      </c>
      <c r="J538">
        <v>2693</v>
      </c>
      <c r="K538">
        <v>7.2291999999999996</v>
      </c>
      <c r="M538" s="6" t="str">
        <f t="shared" si="45"/>
        <v/>
      </c>
      <c r="N538" s="7" t="str">
        <f t="shared" si="47"/>
        <v/>
      </c>
      <c r="O538" t="str">
        <f t="shared" si="46"/>
        <v>26</v>
      </c>
      <c r="P538" s="4" t="str">
        <f>LEFT(L538,1)</f>
        <v/>
      </c>
      <c r="Q538" t="s">
        <v>17</v>
      </c>
    </row>
    <row r="539" spans="1:17" hidden="1" x14ac:dyDescent="0.25">
      <c r="A539">
        <v>849</v>
      </c>
      <c r="B539">
        <v>0</v>
      </c>
      <c r="C539">
        <v>2</v>
      </c>
      <c r="D539" t="s">
        <v>638</v>
      </c>
      <c r="E539" s="4">
        <f>LEN(D539)</f>
        <v>17</v>
      </c>
      <c r="F539" t="s">
        <v>24</v>
      </c>
      <c r="G539">
        <v>28</v>
      </c>
      <c r="H539">
        <v>0</v>
      </c>
      <c r="I539">
        <v>1</v>
      </c>
      <c r="J539">
        <v>248727</v>
      </c>
      <c r="K539">
        <v>33</v>
      </c>
      <c r="M539" s="6" t="str">
        <f t="shared" si="45"/>
        <v/>
      </c>
      <c r="N539" s="7" t="str">
        <f t="shared" si="47"/>
        <v/>
      </c>
      <c r="O539" t="str">
        <f t="shared" si="46"/>
        <v>24</v>
      </c>
      <c r="P539" s="4" t="str">
        <f>LEFT(L539,1)</f>
        <v/>
      </c>
      <c r="Q539" t="s">
        <v>20</v>
      </c>
    </row>
    <row r="540" spans="1:17" hidden="1" x14ac:dyDescent="0.25">
      <c r="A540">
        <v>809</v>
      </c>
      <c r="B540">
        <v>0</v>
      </c>
      <c r="C540">
        <v>2</v>
      </c>
      <c r="D540" t="s">
        <v>629</v>
      </c>
      <c r="E540" s="4">
        <f>LEN(D540)</f>
        <v>17</v>
      </c>
      <c r="F540" t="s">
        <v>24</v>
      </c>
      <c r="G540">
        <v>39</v>
      </c>
      <c r="H540">
        <v>0</v>
      </c>
      <c r="I540">
        <v>0</v>
      </c>
      <c r="J540">
        <v>248723</v>
      </c>
      <c r="K540">
        <v>13</v>
      </c>
      <c r="M540" s="6" t="str">
        <f t="shared" si="45"/>
        <v/>
      </c>
      <c r="N540" s="7" t="str">
        <f t="shared" si="47"/>
        <v/>
      </c>
      <c r="O540" t="str">
        <f t="shared" si="46"/>
        <v>24</v>
      </c>
      <c r="P540" s="4" t="str">
        <f>LEFT(L540,1)</f>
        <v/>
      </c>
      <c r="Q540" t="s">
        <v>20</v>
      </c>
    </row>
    <row r="541" spans="1:17" hidden="1" x14ac:dyDescent="0.25">
      <c r="A541">
        <v>363</v>
      </c>
      <c r="B541">
        <v>0</v>
      </c>
      <c r="C541">
        <v>3</v>
      </c>
      <c r="D541" t="s">
        <v>883</v>
      </c>
      <c r="E541" s="4">
        <f>LEN(D541)</f>
        <v>31</v>
      </c>
      <c r="F541" t="s">
        <v>14</v>
      </c>
      <c r="G541">
        <v>45</v>
      </c>
      <c r="H541">
        <v>0</v>
      </c>
      <c r="I541">
        <v>1</v>
      </c>
      <c r="J541">
        <v>2691</v>
      </c>
      <c r="K541">
        <v>14.4542</v>
      </c>
      <c r="M541" s="6" t="str">
        <f t="shared" si="45"/>
        <v/>
      </c>
      <c r="N541" s="7" t="str">
        <f t="shared" si="47"/>
        <v/>
      </c>
      <c r="O541" t="str">
        <f t="shared" si="46"/>
        <v>26</v>
      </c>
      <c r="P541" s="4" t="str">
        <f>LEFT(L541,1)</f>
        <v/>
      </c>
      <c r="Q541" t="s">
        <v>17</v>
      </c>
    </row>
    <row r="542" spans="1:17" hidden="1" x14ac:dyDescent="0.25">
      <c r="A542">
        <v>16</v>
      </c>
      <c r="B542">
        <v>1</v>
      </c>
      <c r="C542">
        <v>2</v>
      </c>
      <c r="D542" t="s">
        <v>424</v>
      </c>
      <c r="E542" s="4">
        <f>LEN(D542)</f>
        <v>32</v>
      </c>
      <c r="F542" t="s">
        <v>14</v>
      </c>
      <c r="G542">
        <v>55</v>
      </c>
      <c r="H542">
        <v>0</v>
      </c>
      <c r="I542">
        <v>0</v>
      </c>
      <c r="J542">
        <v>248706</v>
      </c>
      <c r="K542">
        <v>16</v>
      </c>
      <c r="M542" s="6" t="str">
        <f t="shared" si="45"/>
        <v/>
      </c>
      <c r="N542" s="7" t="str">
        <f t="shared" si="47"/>
        <v/>
      </c>
      <c r="O542" t="str">
        <f t="shared" si="46"/>
        <v>24</v>
      </c>
      <c r="P542" s="4" t="str">
        <f>LEFT(L542,1)</f>
        <v/>
      </c>
      <c r="Q542" t="s">
        <v>20</v>
      </c>
    </row>
    <row r="543" spans="1:17" x14ac:dyDescent="0.25">
      <c r="A543">
        <v>22</v>
      </c>
      <c r="B543">
        <v>1</v>
      </c>
      <c r="C543">
        <v>2</v>
      </c>
      <c r="D543" t="s">
        <v>426</v>
      </c>
      <c r="E543" s="4">
        <f>LEN(D543)</f>
        <v>21</v>
      </c>
      <c r="F543" t="s">
        <v>24</v>
      </c>
      <c r="G543">
        <v>34</v>
      </c>
      <c r="H543">
        <v>0</v>
      </c>
      <c r="I543">
        <v>0</v>
      </c>
      <c r="J543">
        <v>248698</v>
      </c>
      <c r="K543">
        <v>13</v>
      </c>
      <c r="L543" t="s">
        <v>427</v>
      </c>
      <c r="M543" s="6" t="str">
        <f t="shared" si="45"/>
        <v>56</v>
      </c>
      <c r="N543" s="7">
        <f t="shared" si="47"/>
        <v>56</v>
      </c>
      <c r="O543" t="str">
        <f t="shared" si="46"/>
        <v>24</v>
      </c>
      <c r="P543" s="4" t="str">
        <f>LEFT(L543,1)</f>
        <v>D</v>
      </c>
      <c r="Q543" t="s">
        <v>20</v>
      </c>
    </row>
    <row r="544" spans="1:17" hidden="1" x14ac:dyDescent="0.25">
      <c r="A544">
        <v>18</v>
      </c>
      <c r="B544">
        <v>1</v>
      </c>
      <c r="C544">
        <v>2</v>
      </c>
      <c r="D544" t="s">
        <v>531</v>
      </c>
      <c r="E544" s="4">
        <f>LEN(D544)</f>
        <v>28</v>
      </c>
      <c r="F544" t="s">
        <v>24</v>
      </c>
      <c r="H544">
        <v>0</v>
      </c>
      <c r="I544">
        <v>0</v>
      </c>
      <c r="J544">
        <v>244373</v>
      </c>
      <c r="K544">
        <v>13</v>
      </c>
      <c r="M544" s="6" t="str">
        <f t="shared" si="45"/>
        <v/>
      </c>
      <c r="N544" s="7" t="str">
        <f t="shared" si="47"/>
        <v/>
      </c>
      <c r="O544" t="str">
        <f t="shared" si="46"/>
        <v>24</v>
      </c>
      <c r="P544" s="4" t="str">
        <f>LEFT(L544,1)</f>
        <v/>
      </c>
      <c r="Q544" t="s">
        <v>20</v>
      </c>
    </row>
    <row r="545" spans="1:17" hidden="1" x14ac:dyDescent="0.25">
      <c r="A545">
        <v>100</v>
      </c>
      <c r="B545">
        <v>0</v>
      </c>
      <c r="C545">
        <v>2</v>
      </c>
      <c r="D545" t="s">
        <v>449</v>
      </c>
      <c r="E545" s="4">
        <f>LEN(D545)</f>
        <v>17</v>
      </c>
      <c r="F545" t="s">
        <v>24</v>
      </c>
      <c r="G545">
        <v>34</v>
      </c>
      <c r="H545">
        <v>1</v>
      </c>
      <c r="I545">
        <v>0</v>
      </c>
      <c r="J545">
        <v>244367</v>
      </c>
      <c r="K545">
        <v>26</v>
      </c>
      <c r="M545" s="6" t="str">
        <f t="shared" si="45"/>
        <v/>
      </c>
      <c r="N545" s="7" t="str">
        <f t="shared" si="47"/>
        <v/>
      </c>
      <c r="O545" t="str">
        <f t="shared" si="46"/>
        <v>24</v>
      </c>
      <c r="P545" s="4" t="str">
        <f>LEFT(L545,1)</f>
        <v/>
      </c>
      <c r="Q545" t="s">
        <v>20</v>
      </c>
    </row>
    <row r="546" spans="1:17" hidden="1" x14ac:dyDescent="0.25">
      <c r="A546">
        <v>317</v>
      </c>
      <c r="B546">
        <v>1</v>
      </c>
      <c r="C546">
        <v>2</v>
      </c>
      <c r="D546" t="s">
        <v>513</v>
      </c>
      <c r="E546" s="4">
        <f>LEN(D546)</f>
        <v>35</v>
      </c>
      <c r="F546" t="s">
        <v>14</v>
      </c>
      <c r="G546">
        <v>24</v>
      </c>
      <c r="H546">
        <v>1</v>
      </c>
      <c r="I546">
        <v>0</v>
      </c>
      <c r="J546">
        <v>244367</v>
      </c>
      <c r="K546">
        <v>26</v>
      </c>
      <c r="M546" s="6" t="str">
        <f t="shared" si="45"/>
        <v/>
      </c>
      <c r="N546" s="7" t="str">
        <f t="shared" si="47"/>
        <v/>
      </c>
      <c r="O546" t="str">
        <f t="shared" si="46"/>
        <v>24</v>
      </c>
      <c r="P546" s="4" t="str">
        <f>LEFT(L546,1)</f>
        <v/>
      </c>
      <c r="Q546" t="s">
        <v>20</v>
      </c>
    </row>
    <row r="547" spans="1:17" hidden="1" x14ac:dyDescent="0.25">
      <c r="A547">
        <v>344</v>
      </c>
      <c r="B547">
        <v>0</v>
      </c>
      <c r="C547">
        <v>2</v>
      </c>
      <c r="D547" t="s">
        <v>520</v>
      </c>
      <c r="E547" s="4">
        <f>LEN(D547)</f>
        <v>42</v>
      </c>
      <c r="F547" t="s">
        <v>24</v>
      </c>
      <c r="G547">
        <v>25</v>
      </c>
      <c r="H547">
        <v>0</v>
      </c>
      <c r="I547">
        <v>0</v>
      </c>
      <c r="J547">
        <v>244361</v>
      </c>
      <c r="K547">
        <v>13</v>
      </c>
      <c r="M547" s="6" t="str">
        <f t="shared" si="45"/>
        <v/>
      </c>
      <c r="N547" s="7" t="str">
        <f t="shared" si="47"/>
        <v/>
      </c>
      <c r="O547" t="str">
        <f t="shared" si="46"/>
        <v>24</v>
      </c>
      <c r="P547" s="4" t="str">
        <f>LEFT(L547,1)</f>
        <v/>
      </c>
      <c r="Q547" t="s">
        <v>20</v>
      </c>
    </row>
    <row r="548" spans="1:17" hidden="1" x14ac:dyDescent="0.25">
      <c r="A548">
        <v>552</v>
      </c>
      <c r="B548">
        <v>0</v>
      </c>
      <c r="C548">
        <v>2</v>
      </c>
      <c r="D548" t="s">
        <v>575</v>
      </c>
      <c r="E548" s="4">
        <f>LEN(D548)</f>
        <v>27</v>
      </c>
      <c r="F548" t="s">
        <v>24</v>
      </c>
      <c r="G548">
        <v>27</v>
      </c>
      <c r="H548">
        <v>0</v>
      </c>
      <c r="I548">
        <v>0</v>
      </c>
      <c r="J548">
        <v>244358</v>
      </c>
      <c r="K548">
        <v>26</v>
      </c>
      <c r="M548" s="6" t="str">
        <f t="shared" si="45"/>
        <v/>
      </c>
      <c r="N548" s="7" t="str">
        <f t="shared" si="47"/>
        <v/>
      </c>
      <c r="O548" t="str">
        <f t="shared" si="46"/>
        <v>24</v>
      </c>
      <c r="P548" s="4" t="str">
        <f>LEFT(L548,1)</f>
        <v/>
      </c>
      <c r="Q548" t="s">
        <v>20</v>
      </c>
    </row>
    <row r="549" spans="1:17" hidden="1" x14ac:dyDescent="0.25">
      <c r="A549">
        <v>150</v>
      </c>
      <c r="B549">
        <v>0</v>
      </c>
      <c r="C549">
        <v>2</v>
      </c>
      <c r="D549" t="s">
        <v>466</v>
      </c>
      <c r="E549" s="4">
        <f>LEN(D549)</f>
        <v>33</v>
      </c>
      <c r="F549" t="s">
        <v>24</v>
      </c>
      <c r="G549">
        <v>42</v>
      </c>
      <c r="H549">
        <v>0</v>
      </c>
      <c r="I549">
        <v>0</v>
      </c>
      <c r="J549">
        <v>244310</v>
      </c>
      <c r="K549">
        <v>13</v>
      </c>
      <c r="M549" s="6" t="str">
        <f t="shared" si="45"/>
        <v/>
      </c>
      <c r="N549" s="7" t="str">
        <f t="shared" si="47"/>
        <v/>
      </c>
      <c r="O549" t="str">
        <f t="shared" si="46"/>
        <v>24</v>
      </c>
      <c r="P549" s="4" t="str">
        <f>LEFT(L549,1)</f>
        <v/>
      </c>
      <c r="Q549" t="s">
        <v>20</v>
      </c>
    </row>
    <row r="550" spans="1:17" hidden="1" x14ac:dyDescent="0.25">
      <c r="A550">
        <v>399</v>
      </c>
      <c r="B550">
        <v>0</v>
      </c>
      <c r="C550">
        <v>2</v>
      </c>
      <c r="D550" t="s">
        <v>538</v>
      </c>
      <c r="E550" s="4">
        <f>LEN(D550)</f>
        <v>16</v>
      </c>
      <c r="F550" t="s">
        <v>24</v>
      </c>
      <c r="G550">
        <v>23</v>
      </c>
      <c r="H550">
        <v>0</v>
      </c>
      <c r="I550">
        <v>0</v>
      </c>
      <c r="J550">
        <v>244278</v>
      </c>
      <c r="K550">
        <v>10.5</v>
      </c>
      <c r="M550" s="6" t="str">
        <f t="shared" si="45"/>
        <v/>
      </c>
      <c r="N550" s="7" t="str">
        <f t="shared" si="47"/>
        <v/>
      </c>
      <c r="O550" t="str">
        <f t="shared" si="46"/>
        <v>24</v>
      </c>
      <c r="P550" s="4" t="str">
        <f>LEFT(L550,1)</f>
        <v/>
      </c>
      <c r="Q550" t="s">
        <v>20</v>
      </c>
    </row>
    <row r="551" spans="1:17" hidden="1" x14ac:dyDescent="0.25">
      <c r="A551">
        <v>281</v>
      </c>
      <c r="B551">
        <v>0</v>
      </c>
      <c r="C551">
        <v>3</v>
      </c>
      <c r="D551" t="s">
        <v>836</v>
      </c>
      <c r="E551" s="4">
        <f>LEN(D551)</f>
        <v>16</v>
      </c>
      <c r="F551" t="s">
        <v>24</v>
      </c>
      <c r="G551">
        <v>65</v>
      </c>
      <c r="H551">
        <v>0</v>
      </c>
      <c r="I551">
        <v>0</v>
      </c>
      <c r="J551">
        <v>336439</v>
      </c>
      <c r="K551">
        <v>7.75</v>
      </c>
      <c r="M551" s="6" t="str">
        <f t="shared" si="45"/>
        <v/>
      </c>
      <c r="N551" s="7" t="str">
        <f t="shared" si="47"/>
        <v/>
      </c>
      <c r="O551" t="str">
        <f t="shared" si="46"/>
        <v>33</v>
      </c>
      <c r="P551" s="4" t="str">
        <f>LEFT(L551,1)</f>
        <v/>
      </c>
      <c r="Q551" t="s">
        <v>161</v>
      </c>
    </row>
    <row r="552" spans="1:17" hidden="1" x14ac:dyDescent="0.25">
      <c r="A552">
        <v>674</v>
      </c>
      <c r="B552">
        <v>1</v>
      </c>
      <c r="C552">
        <v>2</v>
      </c>
      <c r="D552" t="s">
        <v>601</v>
      </c>
      <c r="E552" s="4">
        <f>LEN(D552)</f>
        <v>21</v>
      </c>
      <c r="F552" t="s">
        <v>24</v>
      </c>
      <c r="G552">
        <v>31</v>
      </c>
      <c r="H552">
        <v>0</v>
      </c>
      <c r="I552">
        <v>0</v>
      </c>
      <c r="J552">
        <v>244270</v>
      </c>
      <c r="K552">
        <v>13</v>
      </c>
      <c r="M552" s="6" t="str">
        <f t="shared" si="45"/>
        <v/>
      </c>
      <c r="N552" s="7" t="str">
        <f t="shared" si="47"/>
        <v/>
      </c>
      <c r="O552" t="str">
        <f t="shared" si="46"/>
        <v>24</v>
      </c>
      <c r="P552" s="4" t="str">
        <f>LEFT(L552,1)</f>
        <v/>
      </c>
      <c r="Q552" t="s">
        <v>20</v>
      </c>
    </row>
    <row r="553" spans="1:17" hidden="1" x14ac:dyDescent="0.25">
      <c r="A553">
        <v>250</v>
      </c>
      <c r="B553">
        <v>0</v>
      </c>
      <c r="C553">
        <v>2</v>
      </c>
      <c r="D553" t="s">
        <v>500</v>
      </c>
      <c r="E553" s="4">
        <f>LEN(D553)</f>
        <v>29</v>
      </c>
      <c r="F553" t="s">
        <v>24</v>
      </c>
      <c r="G553">
        <v>54</v>
      </c>
      <c r="H553">
        <v>1</v>
      </c>
      <c r="I553">
        <v>0</v>
      </c>
      <c r="J553">
        <v>244252</v>
      </c>
      <c r="K553">
        <v>26</v>
      </c>
      <c r="M553" s="6" t="str">
        <f t="shared" si="45"/>
        <v/>
      </c>
      <c r="N553" s="7" t="str">
        <f t="shared" si="47"/>
        <v/>
      </c>
      <c r="O553" t="str">
        <f t="shared" si="46"/>
        <v>24</v>
      </c>
      <c r="P553" s="4" t="str">
        <f>LEFT(L553,1)</f>
        <v/>
      </c>
      <c r="Q553" t="s">
        <v>20</v>
      </c>
    </row>
    <row r="554" spans="1:17" hidden="1" x14ac:dyDescent="0.25">
      <c r="A554">
        <v>855</v>
      </c>
      <c r="B554">
        <v>0</v>
      </c>
      <c r="C554">
        <v>2</v>
      </c>
      <c r="D554" t="s">
        <v>640</v>
      </c>
      <c r="E554" s="4">
        <f>LEN(D554)</f>
        <v>45</v>
      </c>
      <c r="F554" t="s">
        <v>14</v>
      </c>
      <c r="G554">
        <v>44</v>
      </c>
      <c r="H554">
        <v>1</v>
      </c>
      <c r="I554">
        <v>0</v>
      </c>
      <c r="J554">
        <v>244252</v>
      </c>
      <c r="K554">
        <v>26</v>
      </c>
      <c r="M554" s="6" t="str">
        <f t="shared" si="45"/>
        <v/>
      </c>
      <c r="N554" s="7" t="str">
        <f t="shared" si="47"/>
        <v/>
      </c>
      <c r="O554" t="str">
        <f t="shared" si="46"/>
        <v>24</v>
      </c>
      <c r="P554" s="4" t="str">
        <f>LEFT(L554,1)</f>
        <v/>
      </c>
      <c r="Q554" t="s">
        <v>20</v>
      </c>
    </row>
    <row r="555" spans="1:17" hidden="1" x14ac:dyDescent="0.25">
      <c r="A555">
        <v>577</v>
      </c>
      <c r="B555">
        <v>1</v>
      </c>
      <c r="C555">
        <v>2</v>
      </c>
      <c r="D555" t="s">
        <v>579</v>
      </c>
      <c r="E555" s="4">
        <f>LEN(D555)</f>
        <v>20</v>
      </c>
      <c r="F555" t="s">
        <v>14</v>
      </c>
      <c r="G555">
        <v>34</v>
      </c>
      <c r="H555">
        <v>0</v>
      </c>
      <c r="I555">
        <v>0</v>
      </c>
      <c r="J555">
        <v>243880</v>
      </c>
      <c r="K555">
        <v>13</v>
      </c>
      <c r="M555" s="6" t="str">
        <f t="shared" si="45"/>
        <v/>
      </c>
      <c r="N555" s="7" t="str">
        <f t="shared" si="47"/>
        <v/>
      </c>
      <c r="O555" t="str">
        <f t="shared" si="46"/>
        <v>24</v>
      </c>
      <c r="P555" s="4" t="str">
        <f>LEFT(L555,1)</f>
        <v/>
      </c>
      <c r="Q555" t="s">
        <v>20</v>
      </c>
    </row>
    <row r="556" spans="1:17" hidden="1" x14ac:dyDescent="0.25">
      <c r="A556">
        <v>703</v>
      </c>
      <c r="B556">
        <v>0</v>
      </c>
      <c r="C556">
        <v>3</v>
      </c>
      <c r="D556" t="s">
        <v>1116</v>
      </c>
      <c r="E556" s="4">
        <f>LEN(D556)</f>
        <v>21</v>
      </c>
      <c r="F556" t="s">
        <v>14</v>
      </c>
      <c r="G556">
        <v>18</v>
      </c>
      <c r="H556">
        <v>0</v>
      </c>
      <c r="I556">
        <v>1</v>
      </c>
      <c r="J556">
        <v>2691</v>
      </c>
      <c r="K556">
        <v>14.4542</v>
      </c>
      <c r="M556" s="6" t="str">
        <f t="shared" si="45"/>
        <v/>
      </c>
      <c r="N556" s="7" t="str">
        <f t="shared" si="47"/>
        <v/>
      </c>
      <c r="O556" t="str">
        <f t="shared" si="46"/>
        <v>26</v>
      </c>
      <c r="P556" s="4" t="str">
        <f>LEFT(L556,1)</f>
        <v/>
      </c>
      <c r="Q556" t="s">
        <v>17</v>
      </c>
    </row>
    <row r="557" spans="1:17" hidden="1" x14ac:dyDescent="0.25">
      <c r="A557">
        <v>218</v>
      </c>
      <c r="B557">
        <v>0</v>
      </c>
      <c r="C557">
        <v>2</v>
      </c>
      <c r="D557" t="s">
        <v>481</v>
      </c>
      <c r="E557" s="4">
        <f>LEN(D557)</f>
        <v>28</v>
      </c>
      <c r="F557" t="s">
        <v>24</v>
      </c>
      <c r="G557">
        <v>42</v>
      </c>
      <c r="H557">
        <v>1</v>
      </c>
      <c r="I557">
        <v>0</v>
      </c>
      <c r="J557">
        <v>243847</v>
      </c>
      <c r="K557">
        <v>27</v>
      </c>
      <c r="M557" s="6" t="str">
        <f t="shared" si="45"/>
        <v/>
      </c>
      <c r="N557" s="7" t="str">
        <f t="shared" si="47"/>
        <v/>
      </c>
      <c r="O557" t="str">
        <f t="shared" si="46"/>
        <v>24</v>
      </c>
      <c r="P557" s="4" t="str">
        <f>LEFT(L557,1)</f>
        <v/>
      </c>
      <c r="Q557" t="s">
        <v>20</v>
      </c>
    </row>
    <row r="558" spans="1:17" hidden="1" x14ac:dyDescent="0.25">
      <c r="A558">
        <v>601</v>
      </c>
      <c r="B558">
        <v>1</v>
      </c>
      <c r="C558">
        <v>2</v>
      </c>
      <c r="D558" t="s">
        <v>585</v>
      </c>
      <c r="E558" s="4">
        <f>LEN(D558)</f>
        <v>51</v>
      </c>
      <c r="F558" t="s">
        <v>14</v>
      </c>
      <c r="G558">
        <v>24</v>
      </c>
      <c r="H558">
        <v>2</v>
      </c>
      <c r="I558">
        <v>1</v>
      </c>
      <c r="J558">
        <v>243847</v>
      </c>
      <c r="K558">
        <v>27</v>
      </c>
      <c r="M558" s="6" t="str">
        <f t="shared" si="45"/>
        <v/>
      </c>
      <c r="N558" s="7" t="str">
        <f t="shared" si="47"/>
        <v/>
      </c>
      <c r="O558" t="str">
        <f t="shared" si="46"/>
        <v>24</v>
      </c>
      <c r="P558" s="4" t="str">
        <f>LEFT(L558,1)</f>
        <v/>
      </c>
      <c r="Q558" t="s">
        <v>20</v>
      </c>
    </row>
    <row r="559" spans="1:17" hidden="1" x14ac:dyDescent="0.25">
      <c r="A559">
        <v>290</v>
      </c>
      <c r="B559">
        <v>1</v>
      </c>
      <c r="C559">
        <v>3</v>
      </c>
      <c r="D559" t="s">
        <v>845</v>
      </c>
      <c r="E559" s="4">
        <f>LEN(D559)</f>
        <v>20</v>
      </c>
      <c r="F559" t="s">
        <v>14</v>
      </c>
      <c r="G559">
        <v>22</v>
      </c>
      <c r="H559">
        <v>0</v>
      </c>
      <c r="I559">
        <v>0</v>
      </c>
      <c r="J559">
        <v>370373</v>
      </c>
      <c r="K559">
        <v>7.75</v>
      </c>
      <c r="M559" s="6" t="str">
        <f t="shared" si="45"/>
        <v/>
      </c>
      <c r="N559" s="7" t="str">
        <f t="shared" si="47"/>
        <v/>
      </c>
      <c r="O559" t="str">
        <f t="shared" si="46"/>
        <v>37</v>
      </c>
      <c r="P559" s="4" t="str">
        <f>LEFT(L559,1)</f>
        <v/>
      </c>
      <c r="Q559" t="s">
        <v>161</v>
      </c>
    </row>
    <row r="560" spans="1:17" hidden="1" x14ac:dyDescent="0.25">
      <c r="A560">
        <v>400</v>
      </c>
      <c r="B560">
        <v>1</v>
      </c>
      <c r="C560">
        <v>2</v>
      </c>
      <c r="D560" t="s">
        <v>539</v>
      </c>
      <c r="E560" s="4">
        <f>LEN(D560)</f>
        <v>32</v>
      </c>
      <c r="F560" t="s">
        <v>14</v>
      </c>
      <c r="G560">
        <v>28</v>
      </c>
      <c r="H560">
        <v>0</v>
      </c>
      <c r="I560">
        <v>0</v>
      </c>
      <c r="J560">
        <v>240929</v>
      </c>
      <c r="K560">
        <v>12.65</v>
      </c>
      <c r="M560" s="6" t="str">
        <f t="shared" si="45"/>
        <v/>
      </c>
      <c r="N560" s="7" t="str">
        <f t="shared" si="47"/>
        <v/>
      </c>
      <c r="O560" t="str">
        <f t="shared" si="46"/>
        <v>24</v>
      </c>
      <c r="P560" s="4" t="str">
        <f>LEFT(L560,1)</f>
        <v/>
      </c>
      <c r="Q560" t="s">
        <v>20</v>
      </c>
    </row>
    <row r="561" spans="1:17" hidden="1" x14ac:dyDescent="0.25">
      <c r="A561">
        <v>21</v>
      </c>
      <c r="B561">
        <v>0</v>
      </c>
      <c r="C561">
        <v>2</v>
      </c>
      <c r="D561" t="s">
        <v>425</v>
      </c>
      <c r="E561" s="4">
        <f>LEN(D561)</f>
        <v>20</v>
      </c>
      <c r="F561" t="s">
        <v>24</v>
      </c>
      <c r="G561">
        <v>35</v>
      </c>
      <c r="H561">
        <v>0</v>
      </c>
      <c r="I561">
        <v>0</v>
      </c>
      <c r="J561">
        <v>239865</v>
      </c>
      <c r="K561">
        <v>26</v>
      </c>
      <c r="M561" s="6" t="str">
        <f t="shared" si="45"/>
        <v/>
      </c>
      <c r="N561" s="7" t="str">
        <f t="shared" si="47"/>
        <v/>
      </c>
      <c r="O561" t="str">
        <f t="shared" si="46"/>
        <v>23</v>
      </c>
      <c r="P561" s="4" t="str">
        <f>LEFT(L561,1)</f>
        <v/>
      </c>
      <c r="Q561" t="s">
        <v>20</v>
      </c>
    </row>
    <row r="562" spans="1:17" hidden="1" x14ac:dyDescent="0.25">
      <c r="A562">
        <v>792</v>
      </c>
      <c r="B562">
        <v>0</v>
      </c>
      <c r="C562">
        <v>2</v>
      </c>
      <c r="D562" t="s">
        <v>625</v>
      </c>
      <c r="E562" s="4">
        <f>LEN(D562)</f>
        <v>19</v>
      </c>
      <c r="F562" t="s">
        <v>24</v>
      </c>
      <c r="G562">
        <v>16</v>
      </c>
      <c r="H562">
        <v>0</v>
      </c>
      <c r="I562">
        <v>0</v>
      </c>
      <c r="J562">
        <v>239865</v>
      </c>
      <c r="K562">
        <v>26</v>
      </c>
      <c r="M562" s="6" t="str">
        <f t="shared" si="45"/>
        <v/>
      </c>
      <c r="N562" s="7" t="str">
        <f t="shared" si="47"/>
        <v/>
      </c>
      <c r="O562" t="str">
        <f t="shared" si="46"/>
        <v>23</v>
      </c>
      <c r="P562" s="4" t="str">
        <f>LEFT(L562,1)</f>
        <v/>
      </c>
      <c r="Q562" t="s">
        <v>20</v>
      </c>
    </row>
    <row r="563" spans="1:17" hidden="1" x14ac:dyDescent="0.25">
      <c r="A563">
        <v>533</v>
      </c>
      <c r="B563">
        <v>0</v>
      </c>
      <c r="C563">
        <v>3</v>
      </c>
      <c r="D563" t="s">
        <v>1008</v>
      </c>
      <c r="E563" s="4">
        <f>LEN(D563)</f>
        <v>20</v>
      </c>
      <c r="F563" t="s">
        <v>24</v>
      </c>
      <c r="G563">
        <v>17</v>
      </c>
      <c r="H563">
        <v>1</v>
      </c>
      <c r="I563">
        <v>1</v>
      </c>
      <c r="J563">
        <v>2690</v>
      </c>
      <c r="K563">
        <v>7.2291999999999996</v>
      </c>
      <c r="M563" s="6" t="str">
        <f t="shared" si="45"/>
        <v/>
      </c>
      <c r="N563" s="7" t="str">
        <f t="shared" si="47"/>
        <v/>
      </c>
      <c r="O563" t="str">
        <f t="shared" si="46"/>
        <v>26</v>
      </c>
      <c r="P563" s="4" t="str">
        <f>LEFT(L563,1)</f>
        <v/>
      </c>
      <c r="Q563" t="s">
        <v>17</v>
      </c>
    </row>
    <row r="564" spans="1:17" hidden="1" x14ac:dyDescent="0.25">
      <c r="A564">
        <v>675</v>
      </c>
      <c r="B564">
        <v>0</v>
      </c>
      <c r="C564">
        <v>2</v>
      </c>
      <c r="D564" t="s">
        <v>647</v>
      </c>
      <c r="E564" s="4">
        <f>LEN(D564)</f>
        <v>26</v>
      </c>
      <c r="F564" t="s">
        <v>24</v>
      </c>
      <c r="H564">
        <v>0</v>
      </c>
      <c r="I564">
        <v>0</v>
      </c>
      <c r="J564">
        <v>239856</v>
      </c>
      <c r="K564">
        <v>0</v>
      </c>
      <c r="M564" s="6" t="str">
        <f t="shared" si="45"/>
        <v/>
      </c>
      <c r="N564" s="7" t="str">
        <f t="shared" si="47"/>
        <v/>
      </c>
      <c r="O564" t="str">
        <f t="shared" si="46"/>
        <v>23</v>
      </c>
      <c r="P564" s="4" t="str">
        <f>LEFT(L564,1)</f>
        <v/>
      </c>
      <c r="Q564" t="s">
        <v>20</v>
      </c>
    </row>
    <row r="565" spans="1:17" hidden="1" x14ac:dyDescent="0.25">
      <c r="A565">
        <v>47</v>
      </c>
      <c r="B565">
        <v>0</v>
      </c>
      <c r="C565">
        <v>3</v>
      </c>
      <c r="D565" t="s">
        <v>851</v>
      </c>
      <c r="E565" s="4">
        <f>LEN(D565)</f>
        <v>17</v>
      </c>
      <c r="F565" t="s">
        <v>24</v>
      </c>
      <c r="H565">
        <v>1</v>
      </c>
      <c r="I565">
        <v>0</v>
      </c>
      <c r="J565">
        <v>370371</v>
      </c>
      <c r="K565">
        <v>15.5</v>
      </c>
      <c r="M565" s="6" t="str">
        <f t="shared" si="45"/>
        <v/>
      </c>
      <c r="N565" s="7" t="str">
        <f t="shared" si="47"/>
        <v/>
      </c>
      <c r="O565" t="str">
        <f t="shared" si="46"/>
        <v>37</v>
      </c>
      <c r="P565" s="4" t="str">
        <f>LEFT(L565,1)</f>
        <v/>
      </c>
      <c r="Q565" t="s">
        <v>161</v>
      </c>
    </row>
    <row r="566" spans="1:17" hidden="1" x14ac:dyDescent="0.25">
      <c r="A566">
        <v>365</v>
      </c>
      <c r="B566">
        <v>0</v>
      </c>
      <c r="C566">
        <v>3</v>
      </c>
      <c r="D566" t="s">
        <v>852</v>
      </c>
      <c r="E566" s="4">
        <f>LEN(D566)</f>
        <v>19</v>
      </c>
      <c r="F566" t="s">
        <v>24</v>
      </c>
      <c r="H566">
        <v>1</v>
      </c>
      <c r="I566">
        <v>0</v>
      </c>
      <c r="J566">
        <v>370365</v>
      </c>
      <c r="K566">
        <v>15.5</v>
      </c>
      <c r="M566" s="6" t="str">
        <f t="shared" si="45"/>
        <v/>
      </c>
      <c r="N566" s="7" t="str">
        <f t="shared" si="47"/>
        <v/>
      </c>
      <c r="O566" t="str">
        <f t="shared" si="46"/>
        <v>37</v>
      </c>
      <c r="P566" s="4" t="str">
        <f>LEFT(L566,1)</f>
        <v/>
      </c>
      <c r="Q566" t="s">
        <v>161</v>
      </c>
    </row>
    <row r="567" spans="1:17" hidden="1" x14ac:dyDescent="0.25">
      <c r="A567">
        <v>733</v>
      </c>
      <c r="B567">
        <v>0</v>
      </c>
      <c r="C567">
        <v>2</v>
      </c>
      <c r="D567" t="s">
        <v>649</v>
      </c>
      <c r="E567" s="4">
        <f>LEN(D567)</f>
        <v>20</v>
      </c>
      <c r="F567" t="s">
        <v>24</v>
      </c>
      <c r="H567">
        <v>0</v>
      </c>
      <c r="I567">
        <v>0</v>
      </c>
      <c r="J567">
        <v>239855</v>
      </c>
      <c r="K567">
        <v>0</v>
      </c>
      <c r="M567" s="6" t="str">
        <f t="shared" si="45"/>
        <v/>
      </c>
      <c r="N567" s="7" t="str">
        <f t="shared" si="47"/>
        <v/>
      </c>
      <c r="O567" t="str">
        <f t="shared" si="46"/>
        <v>23</v>
      </c>
      <c r="P567" s="4" t="str">
        <f>LEFT(L567,1)</f>
        <v/>
      </c>
      <c r="Q567" t="s">
        <v>20</v>
      </c>
    </row>
    <row r="568" spans="1:17" hidden="1" x14ac:dyDescent="0.25">
      <c r="A568">
        <v>187</v>
      </c>
      <c r="B568">
        <v>1</v>
      </c>
      <c r="C568">
        <v>3</v>
      </c>
      <c r="D568" t="s">
        <v>854</v>
      </c>
      <c r="E568" s="4">
        <f>LEN(D568)</f>
        <v>47</v>
      </c>
      <c r="F568" t="s">
        <v>14</v>
      </c>
      <c r="H568">
        <v>1</v>
      </c>
      <c r="I568">
        <v>0</v>
      </c>
      <c r="J568">
        <v>370365</v>
      </c>
      <c r="K568">
        <v>15.5</v>
      </c>
      <c r="M568" s="6" t="str">
        <f t="shared" si="45"/>
        <v/>
      </c>
      <c r="N568" s="7" t="str">
        <f t="shared" si="47"/>
        <v/>
      </c>
      <c r="O568" t="str">
        <f t="shared" si="46"/>
        <v>37</v>
      </c>
      <c r="P568" s="4" t="str">
        <f>LEFT(L568,1)</f>
        <v/>
      </c>
      <c r="Q568" t="s">
        <v>161</v>
      </c>
    </row>
    <row r="569" spans="1:17" hidden="1" x14ac:dyDescent="0.25">
      <c r="A569">
        <v>242</v>
      </c>
      <c r="B569">
        <v>1</v>
      </c>
      <c r="C569">
        <v>3</v>
      </c>
      <c r="D569" t="s">
        <v>855</v>
      </c>
      <c r="E569" s="4">
        <f>LEN(D569)</f>
        <v>30</v>
      </c>
      <c r="F569" t="s">
        <v>14</v>
      </c>
      <c r="H569">
        <v>1</v>
      </c>
      <c r="I569">
        <v>0</v>
      </c>
      <c r="J569">
        <v>367230</v>
      </c>
      <c r="K569">
        <v>15.5</v>
      </c>
      <c r="M569" s="6" t="str">
        <f t="shared" si="45"/>
        <v/>
      </c>
      <c r="N569" s="7" t="str">
        <f t="shared" si="47"/>
        <v/>
      </c>
      <c r="O569" t="str">
        <f t="shared" si="46"/>
        <v>36</v>
      </c>
      <c r="P569" s="4" t="str">
        <f>LEFT(L569,1)</f>
        <v/>
      </c>
      <c r="Q569" t="s">
        <v>161</v>
      </c>
    </row>
    <row r="570" spans="1:17" hidden="1" x14ac:dyDescent="0.25">
      <c r="A570">
        <v>613</v>
      </c>
      <c r="B570">
        <v>1</v>
      </c>
      <c r="C570">
        <v>3</v>
      </c>
      <c r="D570" t="s">
        <v>856</v>
      </c>
      <c r="E570" s="4">
        <f>LEN(D570)</f>
        <v>27</v>
      </c>
      <c r="F570" t="s">
        <v>14</v>
      </c>
      <c r="H570">
        <v>1</v>
      </c>
      <c r="I570">
        <v>0</v>
      </c>
      <c r="J570">
        <v>367230</v>
      </c>
      <c r="K570">
        <v>15.5</v>
      </c>
      <c r="M570" s="6" t="str">
        <f t="shared" si="45"/>
        <v/>
      </c>
      <c r="N570" s="7" t="str">
        <f t="shared" si="47"/>
        <v/>
      </c>
      <c r="O570" t="str">
        <f t="shared" si="46"/>
        <v>36</v>
      </c>
      <c r="P570" s="4" t="str">
        <f>LEFT(L570,1)</f>
        <v/>
      </c>
      <c r="Q570" t="s">
        <v>161</v>
      </c>
    </row>
    <row r="571" spans="1:17" hidden="1" x14ac:dyDescent="0.25">
      <c r="A571">
        <v>482</v>
      </c>
      <c r="B571">
        <v>0</v>
      </c>
      <c r="C571">
        <v>2</v>
      </c>
      <c r="D571" t="s">
        <v>641</v>
      </c>
      <c r="E571" s="4">
        <f>LEN(D571)</f>
        <v>32</v>
      </c>
      <c r="F571" t="s">
        <v>24</v>
      </c>
      <c r="H571">
        <v>0</v>
      </c>
      <c r="I571">
        <v>0</v>
      </c>
      <c r="J571">
        <v>239854</v>
      </c>
      <c r="K571">
        <v>0</v>
      </c>
      <c r="M571" s="6" t="str">
        <f t="shared" si="45"/>
        <v/>
      </c>
      <c r="N571" s="7" t="str">
        <f t="shared" si="47"/>
        <v/>
      </c>
      <c r="O571" t="str">
        <f t="shared" si="46"/>
        <v>23</v>
      </c>
      <c r="P571" s="4" t="str">
        <f>LEFT(L571,1)</f>
        <v/>
      </c>
      <c r="Q571" t="s">
        <v>20</v>
      </c>
    </row>
    <row r="572" spans="1:17" hidden="1" x14ac:dyDescent="0.25">
      <c r="A572">
        <v>278</v>
      </c>
      <c r="B572">
        <v>0</v>
      </c>
      <c r="C572">
        <v>2</v>
      </c>
      <c r="D572" t="s">
        <v>635</v>
      </c>
      <c r="E572" s="4">
        <f>LEN(D572)</f>
        <v>27</v>
      </c>
      <c r="F572" t="s">
        <v>24</v>
      </c>
      <c r="H572">
        <v>0</v>
      </c>
      <c r="I572">
        <v>0</v>
      </c>
      <c r="J572">
        <v>239853</v>
      </c>
      <c r="K572">
        <v>0</v>
      </c>
      <c r="M572" s="6" t="str">
        <f t="shared" si="45"/>
        <v/>
      </c>
      <c r="N572" s="7" t="str">
        <f t="shared" si="47"/>
        <v/>
      </c>
      <c r="O572" t="str">
        <f t="shared" si="46"/>
        <v>23</v>
      </c>
      <c r="P572" s="4" t="str">
        <f>LEFT(L572,1)</f>
        <v/>
      </c>
      <c r="Q572" t="s">
        <v>20</v>
      </c>
    </row>
    <row r="573" spans="1:17" hidden="1" x14ac:dyDescent="0.25">
      <c r="A573">
        <v>414</v>
      </c>
      <c r="B573">
        <v>0</v>
      </c>
      <c r="C573">
        <v>2</v>
      </c>
      <c r="D573" t="s">
        <v>637</v>
      </c>
      <c r="E573" s="4">
        <f>LEN(D573)</f>
        <v>30</v>
      </c>
      <c r="F573" t="s">
        <v>24</v>
      </c>
      <c r="H573">
        <v>0</v>
      </c>
      <c r="I573">
        <v>0</v>
      </c>
      <c r="J573">
        <v>239853</v>
      </c>
      <c r="K573">
        <v>0</v>
      </c>
      <c r="M573" s="6" t="str">
        <f t="shared" si="45"/>
        <v/>
      </c>
      <c r="N573" s="7" t="str">
        <f t="shared" si="47"/>
        <v/>
      </c>
      <c r="O573" t="str">
        <f t="shared" si="46"/>
        <v>23</v>
      </c>
      <c r="P573" s="4" t="str">
        <f>LEFT(L573,1)</f>
        <v/>
      </c>
      <c r="Q573" t="s">
        <v>20</v>
      </c>
    </row>
    <row r="574" spans="1:17" hidden="1" x14ac:dyDescent="0.25">
      <c r="A574">
        <v>467</v>
      </c>
      <c r="B574">
        <v>0</v>
      </c>
      <c r="C574">
        <v>2</v>
      </c>
      <c r="D574" t="s">
        <v>639</v>
      </c>
      <c r="E574" s="4">
        <f>LEN(D574)</f>
        <v>21</v>
      </c>
      <c r="F574" t="s">
        <v>24</v>
      </c>
      <c r="H574">
        <v>0</v>
      </c>
      <c r="I574">
        <v>0</v>
      </c>
      <c r="J574">
        <v>239853</v>
      </c>
      <c r="K574">
        <v>0</v>
      </c>
      <c r="M574" s="6" t="str">
        <f t="shared" si="45"/>
        <v/>
      </c>
      <c r="N574" s="7" t="str">
        <f t="shared" si="47"/>
        <v/>
      </c>
      <c r="O574" t="str">
        <f t="shared" si="46"/>
        <v>23</v>
      </c>
      <c r="P574" s="4" t="str">
        <f>LEFT(L574,1)</f>
        <v/>
      </c>
      <c r="Q574" t="s">
        <v>20</v>
      </c>
    </row>
    <row r="575" spans="1:17" hidden="1" x14ac:dyDescent="0.25">
      <c r="A575">
        <v>719</v>
      </c>
      <c r="B575">
        <v>0</v>
      </c>
      <c r="C575">
        <v>3</v>
      </c>
      <c r="D575" t="s">
        <v>862</v>
      </c>
      <c r="E575" s="4">
        <f>LEN(D575)</f>
        <v>19</v>
      </c>
      <c r="F575" t="s">
        <v>24</v>
      </c>
      <c r="H575">
        <v>0</v>
      </c>
      <c r="I575">
        <v>0</v>
      </c>
      <c r="J575">
        <v>36568</v>
      </c>
      <c r="K575">
        <v>15.5</v>
      </c>
      <c r="M575" s="6" t="str">
        <f t="shared" si="45"/>
        <v/>
      </c>
      <c r="N575" s="7" t="str">
        <f t="shared" si="47"/>
        <v/>
      </c>
      <c r="O575" t="str">
        <f t="shared" si="46"/>
        <v>36</v>
      </c>
      <c r="P575" s="4" t="str">
        <f>LEFT(L575,1)</f>
        <v/>
      </c>
      <c r="Q575" t="s">
        <v>161</v>
      </c>
    </row>
    <row r="576" spans="1:17" hidden="1" x14ac:dyDescent="0.25">
      <c r="A576">
        <v>289</v>
      </c>
      <c r="B576">
        <v>1</v>
      </c>
      <c r="C576">
        <v>2</v>
      </c>
      <c r="D576" t="s">
        <v>505</v>
      </c>
      <c r="E576" s="4">
        <f>LEN(D576)</f>
        <v>20</v>
      </c>
      <c r="F576" t="s">
        <v>24</v>
      </c>
      <c r="G576">
        <v>42</v>
      </c>
      <c r="H576">
        <v>0</v>
      </c>
      <c r="I576">
        <v>0</v>
      </c>
      <c r="J576">
        <v>237798</v>
      </c>
      <c r="K576">
        <v>13</v>
      </c>
      <c r="M576" s="6" t="str">
        <f t="shared" si="45"/>
        <v/>
      </c>
      <c r="N576" s="7" t="str">
        <f t="shared" si="47"/>
        <v/>
      </c>
      <c r="O576" t="str">
        <f t="shared" si="46"/>
        <v>23</v>
      </c>
      <c r="P576" s="4" t="str">
        <f>LEFT(L576,1)</f>
        <v/>
      </c>
      <c r="Q576" t="s">
        <v>20</v>
      </c>
    </row>
    <row r="577" spans="1:17" hidden="1" x14ac:dyDescent="0.25">
      <c r="A577">
        <v>581</v>
      </c>
      <c r="B577">
        <v>1</v>
      </c>
      <c r="C577">
        <v>2</v>
      </c>
      <c r="D577" t="s">
        <v>580</v>
      </c>
      <c r="E577" s="4">
        <f>LEN(D577)</f>
        <v>27</v>
      </c>
      <c r="F577" t="s">
        <v>14</v>
      </c>
      <c r="G577">
        <v>25</v>
      </c>
      <c r="H577">
        <v>1</v>
      </c>
      <c r="I577">
        <v>1</v>
      </c>
      <c r="J577">
        <v>237789</v>
      </c>
      <c r="K577">
        <v>30</v>
      </c>
      <c r="M577" s="6" t="str">
        <f t="shared" si="45"/>
        <v/>
      </c>
      <c r="N577" s="7" t="str">
        <f t="shared" si="47"/>
        <v/>
      </c>
      <c r="O577" t="str">
        <f t="shared" si="46"/>
        <v>23</v>
      </c>
      <c r="P577" s="4" t="str">
        <f>LEFT(L577,1)</f>
        <v/>
      </c>
      <c r="Q577" t="s">
        <v>20</v>
      </c>
    </row>
    <row r="578" spans="1:17" hidden="1" x14ac:dyDescent="0.25">
      <c r="A578">
        <v>579</v>
      </c>
      <c r="B578">
        <v>0</v>
      </c>
      <c r="C578">
        <v>3</v>
      </c>
      <c r="D578" t="s">
        <v>881</v>
      </c>
      <c r="E578" s="4">
        <f>LEN(D578)</f>
        <v>32</v>
      </c>
      <c r="F578" t="s">
        <v>14</v>
      </c>
      <c r="H578">
        <v>1</v>
      </c>
      <c r="I578">
        <v>0</v>
      </c>
      <c r="J578">
        <v>2689</v>
      </c>
      <c r="K578">
        <v>14.458299999999999</v>
      </c>
      <c r="M578" s="6" t="str">
        <f t="shared" si="45"/>
        <v/>
      </c>
      <c r="N578" s="7" t="str">
        <f t="shared" si="47"/>
        <v/>
      </c>
      <c r="O578" t="str">
        <f t="shared" si="46"/>
        <v>26</v>
      </c>
      <c r="P578" s="4" t="str">
        <f>LEFT(L578,1)</f>
        <v/>
      </c>
      <c r="Q578" t="s">
        <v>17</v>
      </c>
    </row>
    <row r="579" spans="1:17" hidden="1" x14ac:dyDescent="0.25">
      <c r="A579">
        <v>358</v>
      </c>
      <c r="B579">
        <v>0</v>
      </c>
      <c r="C579">
        <v>2</v>
      </c>
      <c r="D579" t="s">
        <v>526</v>
      </c>
      <c r="E579" s="4">
        <f>LEN(D579)</f>
        <v>25</v>
      </c>
      <c r="F579" t="s">
        <v>14</v>
      </c>
      <c r="G579">
        <v>38</v>
      </c>
      <c r="H579">
        <v>0</v>
      </c>
      <c r="I579">
        <v>0</v>
      </c>
      <c r="J579">
        <v>237671</v>
      </c>
      <c r="K579">
        <v>13</v>
      </c>
      <c r="M579" s="6" t="str">
        <f t="shared" ref="M579:M642" si="48">IF(LEN(L579)&gt;3,RIGHT((LEFT(L579,4)),3),IF(LEN(L579)=3,RIGHT(L579,2),RIGHT(L579,1)))</f>
        <v/>
      </c>
      <c r="N579" s="7" t="str">
        <f t="shared" si="47"/>
        <v/>
      </c>
      <c r="O579" t="str">
        <f t="shared" ref="O579:O642" si="49">LEFT(J579,2)</f>
        <v>23</v>
      </c>
      <c r="P579" s="4" t="str">
        <f>LEFT(L579,1)</f>
        <v/>
      </c>
      <c r="Q579" t="s">
        <v>20</v>
      </c>
    </row>
    <row r="580" spans="1:17" hidden="1" x14ac:dyDescent="0.25">
      <c r="A580">
        <v>781</v>
      </c>
      <c r="B580">
        <v>1</v>
      </c>
      <c r="C580">
        <v>3</v>
      </c>
      <c r="D580" t="s">
        <v>1168</v>
      </c>
      <c r="E580" s="4">
        <f>LEN(D580)</f>
        <v>20</v>
      </c>
      <c r="F580" t="s">
        <v>14</v>
      </c>
      <c r="G580">
        <v>13</v>
      </c>
      <c r="H580">
        <v>0</v>
      </c>
      <c r="I580">
        <v>0</v>
      </c>
      <c r="J580">
        <v>2687</v>
      </c>
      <c r="K580">
        <v>7.2291999999999996</v>
      </c>
      <c r="M580" s="6" t="str">
        <f t="shared" si="48"/>
        <v/>
      </c>
      <c r="N580" s="7" t="str">
        <f t="shared" ref="N580:N643" si="50">IF(LEN(M580)&gt;1, M580+0,"")</f>
        <v/>
      </c>
      <c r="O580" t="str">
        <f t="shared" si="49"/>
        <v>26</v>
      </c>
      <c r="P580" s="4" t="str">
        <f>LEFT(L580,1)</f>
        <v/>
      </c>
      <c r="Q580" t="s">
        <v>17</v>
      </c>
    </row>
    <row r="581" spans="1:17" hidden="1" x14ac:dyDescent="0.25">
      <c r="A581">
        <v>569</v>
      </c>
      <c r="B581">
        <v>0</v>
      </c>
      <c r="C581">
        <v>3</v>
      </c>
      <c r="D581" t="s">
        <v>1159</v>
      </c>
      <c r="E581" s="4">
        <f>LEN(D581)</f>
        <v>19</v>
      </c>
      <c r="F581" t="s">
        <v>24</v>
      </c>
      <c r="H581">
        <v>0</v>
      </c>
      <c r="I581">
        <v>0</v>
      </c>
      <c r="J581">
        <v>2686</v>
      </c>
      <c r="K581">
        <v>7.2291999999999996</v>
      </c>
      <c r="M581" s="6" t="str">
        <f t="shared" si="48"/>
        <v/>
      </c>
      <c r="N581" s="7" t="str">
        <f t="shared" si="50"/>
        <v/>
      </c>
      <c r="O581" t="str">
        <f t="shared" si="49"/>
        <v>26</v>
      </c>
      <c r="P581" s="4" t="str">
        <f>LEFT(L581,1)</f>
        <v/>
      </c>
      <c r="Q581" t="s">
        <v>17</v>
      </c>
    </row>
    <row r="582" spans="1:17" hidden="1" x14ac:dyDescent="0.25">
      <c r="A582">
        <v>636</v>
      </c>
      <c r="B582">
        <v>1</v>
      </c>
      <c r="C582">
        <v>2</v>
      </c>
      <c r="D582" t="s">
        <v>591</v>
      </c>
      <c r="E582" s="4">
        <f>LEN(D582)</f>
        <v>17</v>
      </c>
      <c r="F582" t="s">
        <v>14</v>
      </c>
      <c r="G582">
        <v>28</v>
      </c>
      <c r="H582">
        <v>0</v>
      </c>
      <c r="I582">
        <v>0</v>
      </c>
      <c r="J582">
        <v>237668</v>
      </c>
      <c r="K582">
        <v>13</v>
      </c>
      <c r="M582" s="6" t="str">
        <f t="shared" si="48"/>
        <v/>
      </c>
      <c r="N582" s="7" t="str">
        <f t="shared" si="50"/>
        <v/>
      </c>
      <c r="O582" t="str">
        <f t="shared" si="49"/>
        <v>23</v>
      </c>
      <c r="P582" s="4" t="str">
        <f>LEFT(L582,1)</f>
        <v/>
      </c>
      <c r="Q582" t="s">
        <v>20</v>
      </c>
    </row>
    <row r="583" spans="1:17" hidden="1" x14ac:dyDescent="0.25">
      <c r="A583">
        <v>587</v>
      </c>
      <c r="B583">
        <v>0</v>
      </c>
      <c r="C583">
        <v>2</v>
      </c>
      <c r="D583" t="s">
        <v>582</v>
      </c>
      <c r="E583" s="4">
        <f>LEN(D583)</f>
        <v>23</v>
      </c>
      <c r="F583" t="s">
        <v>24</v>
      </c>
      <c r="G583">
        <v>47</v>
      </c>
      <c r="H583">
        <v>0</v>
      </c>
      <c r="I583">
        <v>0</v>
      </c>
      <c r="J583">
        <v>237565</v>
      </c>
      <c r="K583">
        <v>15</v>
      </c>
      <c r="M583" s="6" t="str">
        <f t="shared" si="48"/>
        <v/>
      </c>
      <c r="N583" s="7" t="str">
        <f t="shared" si="50"/>
        <v/>
      </c>
      <c r="O583" t="str">
        <f t="shared" si="49"/>
        <v>23</v>
      </c>
      <c r="P583" s="4" t="str">
        <f>LEFT(L583,1)</f>
        <v/>
      </c>
      <c r="Q583" t="s">
        <v>20</v>
      </c>
    </row>
    <row r="584" spans="1:17" hidden="1" x14ac:dyDescent="0.25">
      <c r="A584">
        <v>233</v>
      </c>
      <c r="B584">
        <v>0</v>
      </c>
      <c r="C584">
        <v>2</v>
      </c>
      <c r="D584" t="s">
        <v>488</v>
      </c>
      <c r="E584" s="4">
        <f>LEN(D584)</f>
        <v>25</v>
      </c>
      <c r="F584" t="s">
        <v>24</v>
      </c>
      <c r="G584">
        <v>59</v>
      </c>
      <c r="H584">
        <v>0</v>
      </c>
      <c r="I584">
        <v>0</v>
      </c>
      <c r="J584">
        <v>237442</v>
      </c>
      <c r="K584">
        <v>13.5</v>
      </c>
      <c r="M584" s="6" t="str">
        <f t="shared" si="48"/>
        <v/>
      </c>
      <c r="N584" s="7" t="str">
        <f t="shared" si="50"/>
        <v/>
      </c>
      <c r="O584" t="str">
        <f t="shared" si="49"/>
        <v>23</v>
      </c>
      <c r="P584" s="4" t="str">
        <f>LEFT(L584,1)</f>
        <v/>
      </c>
      <c r="Q584" t="s">
        <v>20</v>
      </c>
    </row>
    <row r="585" spans="1:17" hidden="1" x14ac:dyDescent="0.25">
      <c r="A585">
        <v>729</v>
      </c>
      <c r="B585">
        <v>0</v>
      </c>
      <c r="C585">
        <v>2</v>
      </c>
      <c r="D585" t="s">
        <v>613</v>
      </c>
      <c r="E585" s="4">
        <f>LEN(D585)</f>
        <v>31</v>
      </c>
      <c r="F585" t="s">
        <v>24</v>
      </c>
      <c r="G585">
        <v>25</v>
      </c>
      <c r="H585">
        <v>1</v>
      </c>
      <c r="I585">
        <v>0</v>
      </c>
      <c r="J585">
        <v>236853</v>
      </c>
      <c r="K585">
        <v>26</v>
      </c>
      <c r="M585" s="6" t="str">
        <f t="shared" si="48"/>
        <v/>
      </c>
      <c r="N585" s="7" t="str">
        <f t="shared" si="50"/>
        <v/>
      </c>
      <c r="O585" t="str">
        <f t="shared" si="49"/>
        <v>23</v>
      </c>
      <c r="P585" s="4" t="str">
        <f>LEFT(L585,1)</f>
        <v/>
      </c>
      <c r="Q585" t="s">
        <v>20</v>
      </c>
    </row>
    <row r="586" spans="1:17" hidden="1" x14ac:dyDescent="0.25">
      <c r="A586">
        <v>866</v>
      </c>
      <c r="B586">
        <v>1</v>
      </c>
      <c r="C586">
        <v>2</v>
      </c>
      <c r="D586" t="s">
        <v>644</v>
      </c>
      <c r="E586" s="4">
        <f>LEN(D586)</f>
        <v>24</v>
      </c>
      <c r="F586" t="s">
        <v>14</v>
      </c>
      <c r="G586">
        <v>42</v>
      </c>
      <c r="H586">
        <v>0</v>
      </c>
      <c r="I586">
        <v>0</v>
      </c>
      <c r="J586">
        <v>236852</v>
      </c>
      <c r="K586">
        <v>13</v>
      </c>
      <c r="M586" s="6" t="str">
        <f t="shared" si="48"/>
        <v/>
      </c>
      <c r="N586" s="7" t="str">
        <f t="shared" si="50"/>
        <v/>
      </c>
      <c r="O586" t="str">
        <f t="shared" si="49"/>
        <v>23</v>
      </c>
      <c r="P586" s="4" t="str">
        <f>LEFT(L586,1)</f>
        <v/>
      </c>
      <c r="Q586" t="s">
        <v>20</v>
      </c>
    </row>
    <row r="587" spans="1:17" hidden="1" x14ac:dyDescent="0.25">
      <c r="A587">
        <v>799</v>
      </c>
      <c r="B587">
        <v>0</v>
      </c>
      <c r="C587">
        <v>3</v>
      </c>
      <c r="D587" t="s">
        <v>1181</v>
      </c>
      <c r="E587" s="4">
        <f>LEN(D587)</f>
        <v>28</v>
      </c>
      <c r="F587" t="s">
        <v>24</v>
      </c>
      <c r="G587">
        <v>30</v>
      </c>
      <c r="H587">
        <v>0</v>
      </c>
      <c r="I587">
        <v>0</v>
      </c>
      <c r="J587">
        <v>2685</v>
      </c>
      <c r="K587">
        <v>7.2291999999999996</v>
      </c>
      <c r="M587" s="6" t="str">
        <f t="shared" si="48"/>
        <v/>
      </c>
      <c r="N587" s="7" t="str">
        <f t="shared" si="50"/>
        <v/>
      </c>
      <c r="O587" t="str">
        <f t="shared" si="49"/>
        <v>26</v>
      </c>
      <c r="P587" s="4" t="str">
        <f>LEFT(L587,1)</f>
        <v/>
      </c>
      <c r="Q587" t="s">
        <v>17</v>
      </c>
    </row>
    <row r="588" spans="1:17" hidden="1" x14ac:dyDescent="0.25">
      <c r="A588">
        <v>229</v>
      </c>
      <c r="B588">
        <v>0</v>
      </c>
      <c r="C588">
        <v>2</v>
      </c>
      <c r="D588" t="s">
        <v>487</v>
      </c>
      <c r="E588" s="4">
        <f>LEN(D588)</f>
        <v>25</v>
      </c>
      <c r="F588" t="s">
        <v>24</v>
      </c>
      <c r="G588">
        <v>18</v>
      </c>
      <c r="H588">
        <v>0</v>
      </c>
      <c r="I588">
        <v>0</v>
      </c>
      <c r="J588">
        <v>236171</v>
      </c>
      <c r="K588">
        <v>13</v>
      </c>
      <c r="M588" s="6" t="str">
        <f t="shared" si="48"/>
        <v/>
      </c>
      <c r="N588" s="7" t="str">
        <f t="shared" si="50"/>
        <v/>
      </c>
      <c r="O588" t="str">
        <f t="shared" si="49"/>
        <v>23</v>
      </c>
      <c r="P588" s="4" t="str">
        <f>LEFT(L588,1)</f>
        <v/>
      </c>
      <c r="Q588" t="s">
        <v>20</v>
      </c>
    </row>
    <row r="589" spans="1:17" hidden="1" x14ac:dyDescent="0.25">
      <c r="A589">
        <v>667</v>
      </c>
      <c r="B589">
        <v>0</v>
      </c>
      <c r="C589">
        <v>2</v>
      </c>
      <c r="D589" t="s">
        <v>597</v>
      </c>
      <c r="E589" s="4">
        <f>LEN(D589)</f>
        <v>27</v>
      </c>
      <c r="F589" t="s">
        <v>24</v>
      </c>
      <c r="G589">
        <v>25</v>
      </c>
      <c r="H589">
        <v>0</v>
      </c>
      <c r="I589">
        <v>0</v>
      </c>
      <c r="J589">
        <v>234686</v>
      </c>
      <c r="K589">
        <v>13</v>
      </c>
      <c r="M589" s="6" t="str">
        <f t="shared" si="48"/>
        <v/>
      </c>
      <c r="N589" s="7" t="str">
        <f t="shared" si="50"/>
        <v/>
      </c>
      <c r="O589" t="str">
        <f t="shared" si="49"/>
        <v>23</v>
      </c>
      <c r="P589" s="4" t="str">
        <f>LEFT(L589,1)</f>
        <v/>
      </c>
      <c r="Q589" t="s">
        <v>20</v>
      </c>
    </row>
    <row r="590" spans="1:17" hidden="1" x14ac:dyDescent="0.25">
      <c r="A590">
        <v>191</v>
      </c>
      <c r="B590">
        <v>1</v>
      </c>
      <c r="C590">
        <v>2</v>
      </c>
      <c r="D590" t="s">
        <v>474</v>
      </c>
      <c r="E590" s="4">
        <f>LEN(D590)</f>
        <v>19</v>
      </c>
      <c r="F590" t="s">
        <v>14</v>
      </c>
      <c r="G590">
        <v>32</v>
      </c>
      <c r="H590">
        <v>0</v>
      </c>
      <c r="I590">
        <v>0</v>
      </c>
      <c r="J590">
        <v>234604</v>
      </c>
      <c r="K590">
        <v>13</v>
      </c>
      <c r="M590" s="6" t="str">
        <f t="shared" si="48"/>
        <v/>
      </c>
      <c r="N590" s="7" t="str">
        <f t="shared" si="50"/>
        <v/>
      </c>
      <c r="O590" t="str">
        <f t="shared" si="49"/>
        <v>23</v>
      </c>
      <c r="P590" s="4" t="str">
        <f>LEFT(L590,1)</f>
        <v/>
      </c>
      <c r="Q590" t="s">
        <v>20</v>
      </c>
    </row>
    <row r="591" spans="1:17" hidden="1" x14ac:dyDescent="0.25">
      <c r="A591">
        <v>464</v>
      </c>
      <c r="B591">
        <v>0</v>
      </c>
      <c r="C591">
        <v>2</v>
      </c>
      <c r="D591" t="s">
        <v>558</v>
      </c>
      <c r="E591" s="4">
        <f>LEN(D591)</f>
        <v>28</v>
      </c>
      <c r="F591" t="s">
        <v>24</v>
      </c>
      <c r="G591">
        <v>48</v>
      </c>
      <c r="H591">
        <v>0</v>
      </c>
      <c r="I591">
        <v>0</v>
      </c>
      <c r="J591">
        <v>234360</v>
      </c>
      <c r="K591">
        <v>13</v>
      </c>
      <c r="M591" s="6" t="str">
        <f t="shared" si="48"/>
        <v/>
      </c>
      <c r="N591" s="7" t="str">
        <f t="shared" si="50"/>
        <v/>
      </c>
      <c r="O591" t="str">
        <f t="shared" si="49"/>
        <v>23</v>
      </c>
      <c r="P591" s="4" t="str">
        <f>LEFT(L591,1)</f>
        <v/>
      </c>
      <c r="Q591" t="s">
        <v>20</v>
      </c>
    </row>
    <row r="592" spans="1:17" hidden="1" x14ac:dyDescent="0.25">
      <c r="A592">
        <v>844</v>
      </c>
      <c r="B592">
        <v>0</v>
      </c>
      <c r="C592">
        <v>3</v>
      </c>
      <c r="D592" t="s">
        <v>1213</v>
      </c>
      <c r="E592" s="4">
        <f>LEN(D592)</f>
        <v>26</v>
      </c>
      <c r="F592" t="s">
        <v>24</v>
      </c>
      <c r="G592">
        <v>34.5</v>
      </c>
      <c r="H592">
        <v>0</v>
      </c>
      <c r="I592">
        <v>0</v>
      </c>
      <c r="J592">
        <v>2683</v>
      </c>
      <c r="K592">
        <v>6.4375</v>
      </c>
      <c r="M592" s="6" t="str">
        <f t="shared" si="48"/>
        <v/>
      </c>
      <c r="N592" s="7" t="str">
        <f t="shared" si="50"/>
        <v/>
      </c>
      <c r="O592" t="str">
        <f t="shared" si="49"/>
        <v>26</v>
      </c>
      <c r="P592" s="4" t="str">
        <f>LEFT(L592,1)</f>
        <v/>
      </c>
      <c r="Q592" t="s">
        <v>17</v>
      </c>
    </row>
    <row r="593" spans="1:17" hidden="1" x14ac:dyDescent="0.25">
      <c r="A593">
        <v>865</v>
      </c>
      <c r="B593">
        <v>0</v>
      </c>
      <c r="C593">
        <v>2</v>
      </c>
      <c r="D593" t="s">
        <v>643</v>
      </c>
      <c r="E593" s="4">
        <f>LEN(D593)</f>
        <v>22</v>
      </c>
      <c r="F593" t="s">
        <v>24</v>
      </c>
      <c r="G593">
        <v>24</v>
      </c>
      <c r="H593">
        <v>0</v>
      </c>
      <c r="I593">
        <v>0</v>
      </c>
      <c r="J593">
        <v>233866</v>
      </c>
      <c r="K593">
        <v>13</v>
      </c>
      <c r="M593" s="6" t="str">
        <f t="shared" si="48"/>
        <v/>
      </c>
      <c r="N593" s="7" t="str">
        <f t="shared" si="50"/>
        <v/>
      </c>
      <c r="O593" t="str">
        <f t="shared" si="49"/>
        <v>23</v>
      </c>
      <c r="P593" s="4" t="str">
        <f>LEFT(L593,1)</f>
        <v/>
      </c>
      <c r="Q593" t="s">
        <v>20</v>
      </c>
    </row>
    <row r="594" spans="1:17" hidden="1" x14ac:dyDescent="0.25">
      <c r="A594">
        <v>74</v>
      </c>
      <c r="B594">
        <v>0</v>
      </c>
      <c r="C594">
        <v>3</v>
      </c>
      <c r="D594" t="s">
        <v>703</v>
      </c>
      <c r="E594" s="4">
        <f>LEN(D594)</f>
        <v>27</v>
      </c>
      <c r="F594" t="s">
        <v>24</v>
      </c>
      <c r="G594">
        <v>26</v>
      </c>
      <c r="H594">
        <v>1</v>
      </c>
      <c r="I594">
        <v>0</v>
      </c>
      <c r="J594">
        <v>2680</v>
      </c>
      <c r="K594">
        <v>14.4542</v>
      </c>
      <c r="M594" s="6" t="str">
        <f t="shared" si="48"/>
        <v/>
      </c>
      <c r="N594" s="7" t="str">
        <f t="shared" si="50"/>
        <v/>
      </c>
      <c r="O594" t="str">
        <f t="shared" si="49"/>
        <v>26</v>
      </c>
      <c r="P594" s="4" t="str">
        <f>LEFT(L594,1)</f>
        <v/>
      </c>
      <c r="Q594" t="s">
        <v>17</v>
      </c>
    </row>
    <row r="595" spans="1:17" hidden="1" x14ac:dyDescent="0.25">
      <c r="A595">
        <v>735</v>
      </c>
      <c r="B595">
        <v>0</v>
      </c>
      <c r="C595">
        <v>2</v>
      </c>
      <c r="D595" t="s">
        <v>615</v>
      </c>
      <c r="E595" s="4">
        <f>LEN(D595)</f>
        <v>28</v>
      </c>
      <c r="F595" t="s">
        <v>24</v>
      </c>
      <c r="G595">
        <v>23</v>
      </c>
      <c r="H595">
        <v>0</v>
      </c>
      <c r="I595">
        <v>0</v>
      </c>
      <c r="J595">
        <v>233639</v>
      </c>
      <c r="K595">
        <v>13</v>
      </c>
      <c r="M595" s="6" t="str">
        <f t="shared" si="48"/>
        <v/>
      </c>
      <c r="N595" s="7" t="str">
        <f t="shared" si="50"/>
        <v/>
      </c>
      <c r="O595" t="str">
        <f t="shared" si="49"/>
        <v>23</v>
      </c>
      <c r="P595" s="4" t="str">
        <f>LEFT(L595,1)</f>
        <v/>
      </c>
      <c r="Q595" t="s">
        <v>20</v>
      </c>
    </row>
    <row r="596" spans="1:17" hidden="1" x14ac:dyDescent="0.25">
      <c r="A596">
        <v>141</v>
      </c>
      <c r="B596">
        <v>0</v>
      </c>
      <c r="C596">
        <v>3</v>
      </c>
      <c r="D596" t="s">
        <v>868</v>
      </c>
      <c r="E596" s="4">
        <f>LEN(D596)</f>
        <v>29</v>
      </c>
      <c r="F596" t="s">
        <v>14</v>
      </c>
      <c r="H596">
        <v>0</v>
      </c>
      <c r="I596">
        <v>2</v>
      </c>
      <c r="J596">
        <v>2678</v>
      </c>
      <c r="K596">
        <v>15.245799999999999</v>
      </c>
      <c r="M596" s="6" t="str">
        <f t="shared" si="48"/>
        <v/>
      </c>
      <c r="N596" s="7" t="str">
        <f t="shared" si="50"/>
        <v/>
      </c>
      <c r="O596" t="str">
        <f t="shared" si="49"/>
        <v>26</v>
      </c>
      <c r="P596" s="4" t="str">
        <f>LEFT(L596,1)</f>
        <v/>
      </c>
      <c r="Q596" t="s">
        <v>17</v>
      </c>
    </row>
    <row r="597" spans="1:17" hidden="1" x14ac:dyDescent="0.25">
      <c r="A597">
        <v>145</v>
      </c>
      <c r="B597">
        <v>0</v>
      </c>
      <c r="C597">
        <v>2</v>
      </c>
      <c r="D597" t="s">
        <v>461</v>
      </c>
      <c r="E597" s="4">
        <f>LEN(D597)</f>
        <v>26</v>
      </c>
      <c r="F597" t="s">
        <v>24</v>
      </c>
      <c r="G597">
        <v>18</v>
      </c>
      <c r="H597">
        <v>0</v>
      </c>
      <c r="I597">
        <v>0</v>
      </c>
      <c r="J597">
        <v>231945</v>
      </c>
      <c r="K597">
        <v>11.5</v>
      </c>
      <c r="M597" s="6" t="str">
        <f t="shared" si="48"/>
        <v/>
      </c>
      <c r="N597" s="7" t="str">
        <f t="shared" si="50"/>
        <v/>
      </c>
      <c r="O597" t="str">
        <f t="shared" si="49"/>
        <v>23</v>
      </c>
      <c r="P597" s="4" t="str">
        <f>LEFT(L597,1)</f>
        <v/>
      </c>
      <c r="Q597" t="s">
        <v>20</v>
      </c>
    </row>
    <row r="598" spans="1:17" hidden="1" x14ac:dyDescent="0.25">
      <c r="A598">
        <v>853</v>
      </c>
      <c r="B598">
        <v>0</v>
      </c>
      <c r="C598">
        <v>3</v>
      </c>
      <c r="D598" t="s">
        <v>1220</v>
      </c>
      <c r="E598" s="4">
        <f>LEN(D598)</f>
        <v>23</v>
      </c>
      <c r="F598" t="s">
        <v>14</v>
      </c>
      <c r="G598">
        <v>9</v>
      </c>
      <c r="H598">
        <v>1</v>
      </c>
      <c r="I598">
        <v>1</v>
      </c>
      <c r="J598">
        <v>2678</v>
      </c>
      <c r="K598">
        <v>15.245799999999999</v>
      </c>
      <c r="M598" s="6" t="str">
        <f t="shared" si="48"/>
        <v/>
      </c>
      <c r="N598" s="7" t="str">
        <f t="shared" si="50"/>
        <v/>
      </c>
      <c r="O598" t="str">
        <f t="shared" si="49"/>
        <v>26</v>
      </c>
      <c r="P598" s="4" t="str">
        <f>LEFT(L598,1)</f>
        <v/>
      </c>
      <c r="Q598" t="s">
        <v>17</v>
      </c>
    </row>
    <row r="599" spans="1:17" hidden="1" x14ac:dyDescent="0.25">
      <c r="A599">
        <v>99</v>
      </c>
      <c r="B599">
        <v>1</v>
      </c>
      <c r="C599">
        <v>2</v>
      </c>
      <c r="D599" t="s">
        <v>448</v>
      </c>
      <c r="E599" s="4">
        <f>LEN(D599)</f>
        <v>36</v>
      </c>
      <c r="F599" t="s">
        <v>14</v>
      </c>
      <c r="G599">
        <v>34</v>
      </c>
      <c r="H599">
        <v>0</v>
      </c>
      <c r="I599">
        <v>1</v>
      </c>
      <c r="J599">
        <v>231919</v>
      </c>
      <c r="K599">
        <v>23</v>
      </c>
      <c r="M599" s="6" t="str">
        <f t="shared" si="48"/>
        <v/>
      </c>
      <c r="N599" s="7" t="str">
        <f t="shared" si="50"/>
        <v/>
      </c>
      <c r="O599" t="str">
        <f t="shared" si="49"/>
        <v>23</v>
      </c>
      <c r="P599" s="4" t="str">
        <f>LEFT(L599,1)</f>
        <v/>
      </c>
      <c r="Q599" t="s">
        <v>20</v>
      </c>
    </row>
    <row r="600" spans="1:17" hidden="1" x14ac:dyDescent="0.25">
      <c r="A600">
        <v>652</v>
      </c>
      <c r="B600">
        <v>1</v>
      </c>
      <c r="C600">
        <v>2</v>
      </c>
      <c r="D600" t="s">
        <v>593</v>
      </c>
      <c r="E600" s="4">
        <f>LEN(D600)</f>
        <v>19</v>
      </c>
      <c r="F600" t="s">
        <v>14</v>
      </c>
      <c r="G600">
        <v>18</v>
      </c>
      <c r="H600">
        <v>0</v>
      </c>
      <c r="I600">
        <v>1</v>
      </c>
      <c r="J600">
        <v>231919</v>
      </c>
      <c r="K600">
        <v>23</v>
      </c>
      <c r="M600" s="6" t="str">
        <f t="shared" si="48"/>
        <v/>
      </c>
      <c r="N600" s="7" t="str">
        <f t="shared" si="50"/>
        <v/>
      </c>
      <c r="O600" t="str">
        <f t="shared" si="49"/>
        <v>23</v>
      </c>
      <c r="P600" s="4" t="str">
        <f>LEFT(L600,1)</f>
        <v/>
      </c>
      <c r="Q600" t="s">
        <v>20</v>
      </c>
    </row>
    <row r="601" spans="1:17" hidden="1" x14ac:dyDescent="0.25">
      <c r="A601">
        <v>444</v>
      </c>
      <c r="B601">
        <v>1</v>
      </c>
      <c r="C601">
        <v>2</v>
      </c>
      <c r="D601" t="s">
        <v>553</v>
      </c>
      <c r="E601" s="4">
        <f>LEN(D601)</f>
        <v>25</v>
      </c>
      <c r="F601" t="s">
        <v>14</v>
      </c>
      <c r="G601">
        <v>28</v>
      </c>
      <c r="H601">
        <v>0</v>
      </c>
      <c r="I601">
        <v>0</v>
      </c>
      <c r="J601">
        <v>230434</v>
      </c>
      <c r="K601">
        <v>13</v>
      </c>
      <c r="M601" s="6" t="str">
        <f t="shared" si="48"/>
        <v/>
      </c>
      <c r="N601" s="7" t="str">
        <f t="shared" si="50"/>
        <v/>
      </c>
      <c r="O601" t="str">
        <f t="shared" si="49"/>
        <v>23</v>
      </c>
      <c r="P601" s="4" t="str">
        <f>LEFT(L601,1)</f>
        <v/>
      </c>
      <c r="Q601" t="s">
        <v>20</v>
      </c>
    </row>
    <row r="602" spans="1:17" hidden="1" x14ac:dyDescent="0.25">
      <c r="A602">
        <v>260</v>
      </c>
      <c r="B602">
        <v>1</v>
      </c>
      <c r="C602">
        <v>2</v>
      </c>
      <c r="D602" t="s">
        <v>501</v>
      </c>
      <c r="E602" s="4">
        <f>LEN(D602)</f>
        <v>27</v>
      </c>
      <c r="F602" t="s">
        <v>14</v>
      </c>
      <c r="G602">
        <v>50</v>
      </c>
      <c r="H602">
        <v>0</v>
      </c>
      <c r="I602">
        <v>1</v>
      </c>
      <c r="J602">
        <v>230433</v>
      </c>
      <c r="K602">
        <v>26</v>
      </c>
      <c r="M602" s="6" t="str">
        <f t="shared" si="48"/>
        <v/>
      </c>
      <c r="N602" s="7" t="str">
        <f t="shared" si="50"/>
        <v/>
      </c>
      <c r="O602" t="str">
        <f t="shared" si="49"/>
        <v>23</v>
      </c>
      <c r="P602" s="4" t="str">
        <f>LEFT(L602,1)</f>
        <v/>
      </c>
      <c r="Q602" t="s">
        <v>20</v>
      </c>
    </row>
    <row r="603" spans="1:17" hidden="1" x14ac:dyDescent="0.25">
      <c r="A603">
        <v>37</v>
      </c>
      <c r="B603">
        <v>1</v>
      </c>
      <c r="C603">
        <v>3</v>
      </c>
      <c r="D603" t="s">
        <v>1167</v>
      </c>
      <c r="E603" s="4">
        <f>LEN(D603)</f>
        <v>16</v>
      </c>
      <c r="F603" t="s">
        <v>24</v>
      </c>
      <c r="H603">
        <v>0</v>
      </c>
      <c r="I603">
        <v>0</v>
      </c>
      <c r="J603">
        <v>2677</v>
      </c>
      <c r="K603">
        <v>7.2291999999999996</v>
      </c>
      <c r="M603" s="6" t="str">
        <f t="shared" si="48"/>
        <v/>
      </c>
      <c r="N603" s="7" t="str">
        <f t="shared" si="50"/>
        <v/>
      </c>
      <c r="O603" t="str">
        <f t="shared" si="49"/>
        <v>26</v>
      </c>
      <c r="P603" s="4" t="str">
        <f>LEFT(L603,1)</f>
        <v/>
      </c>
      <c r="Q603" t="s">
        <v>17</v>
      </c>
    </row>
    <row r="604" spans="1:17" hidden="1" x14ac:dyDescent="0.25">
      <c r="A604">
        <v>881</v>
      </c>
      <c r="B604">
        <v>1</v>
      </c>
      <c r="C604">
        <v>2</v>
      </c>
      <c r="D604" t="s">
        <v>650</v>
      </c>
      <c r="E604" s="4">
        <f>LEN(D604)</f>
        <v>44</v>
      </c>
      <c r="F604" t="s">
        <v>14</v>
      </c>
      <c r="G604">
        <v>25</v>
      </c>
      <c r="H604">
        <v>0</v>
      </c>
      <c r="I604">
        <v>1</v>
      </c>
      <c r="J604">
        <v>230433</v>
      </c>
      <c r="K604">
        <v>26</v>
      </c>
      <c r="M604" s="6" t="str">
        <f t="shared" si="48"/>
        <v/>
      </c>
      <c r="N604" s="7" t="str">
        <f t="shared" si="50"/>
        <v/>
      </c>
      <c r="O604" t="str">
        <f t="shared" si="49"/>
        <v>23</v>
      </c>
      <c r="P604" s="4" t="str">
        <f>LEFT(L604,1)</f>
        <v/>
      </c>
      <c r="Q604" t="s">
        <v>20</v>
      </c>
    </row>
    <row r="605" spans="1:17" hidden="1" x14ac:dyDescent="0.25">
      <c r="A605">
        <v>774</v>
      </c>
      <c r="B605">
        <v>0</v>
      </c>
      <c r="C605">
        <v>3</v>
      </c>
      <c r="D605" t="s">
        <v>1200</v>
      </c>
      <c r="E605" s="4">
        <f>LEN(D605)</f>
        <v>15</v>
      </c>
      <c r="F605" t="s">
        <v>24</v>
      </c>
      <c r="H605">
        <v>0</v>
      </c>
      <c r="I605">
        <v>0</v>
      </c>
      <c r="J605">
        <v>2674</v>
      </c>
      <c r="K605">
        <v>7.2249999999999996</v>
      </c>
      <c r="M605" s="6" t="str">
        <f t="shared" si="48"/>
        <v/>
      </c>
      <c r="N605" s="7" t="str">
        <f t="shared" si="50"/>
        <v/>
      </c>
      <c r="O605" t="str">
        <f t="shared" si="49"/>
        <v>26</v>
      </c>
      <c r="P605" s="4" t="str">
        <f>LEFT(L605,1)</f>
        <v/>
      </c>
      <c r="Q605" t="s">
        <v>17</v>
      </c>
    </row>
    <row r="606" spans="1:17" x14ac:dyDescent="0.25">
      <c r="A606">
        <v>184</v>
      </c>
      <c r="B606">
        <v>1</v>
      </c>
      <c r="C606">
        <v>2</v>
      </c>
      <c r="D606" t="s">
        <v>472</v>
      </c>
      <c r="E606" s="4">
        <f>LEN(D606)</f>
        <v>25</v>
      </c>
      <c r="F606" t="s">
        <v>24</v>
      </c>
      <c r="G606">
        <v>1</v>
      </c>
      <c r="H606">
        <v>2</v>
      </c>
      <c r="I606">
        <v>1</v>
      </c>
      <c r="J606">
        <v>230136</v>
      </c>
      <c r="K606">
        <v>39</v>
      </c>
      <c r="L606" t="s">
        <v>473</v>
      </c>
      <c r="M606" s="6" t="str">
        <f t="shared" si="48"/>
        <v>4</v>
      </c>
      <c r="N606" s="7" t="str">
        <f t="shared" si="50"/>
        <v/>
      </c>
      <c r="O606" t="str">
        <f t="shared" si="49"/>
        <v>23</v>
      </c>
      <c r="P606" s="4" t="str">
        <f>LEFT(L606,1)</f>
        <v>F</v>
      </c>
      <c r="Q606" t="s">
        <v>20</v>
      </c>
    </row>
    <row r="607" spans="1:17" x14ac:dyDescent="0.25">
      <c r="A607">
        <v>619</v>
      </c>
      <c r="B607">
        <v>1</v>
      </c>
      <c r="C607">
        <v>2</v>
      </c>
      <c r="D607" t="s">
        <v>588</v>
      </c>
      <c r="E607" s="4">
        <f>LEN(D607)</f>
        <v>27</v>
      </c>
      <c r="F607" t="s">
        <v>14</v>
      </c>
      <c r="G607">
        <v>4</v>
      </c>
      <c r="H607">
        <v>2</v>
      </c>
      <c r="I607">
        <v>1</v>
      </c>
      <c r="J607">
        <v>230136</v>
      </c>
      <c r="K607">
        <v>39</v>
      </c>
      <c r="L607" t="s">
        <v>473</v>
      </c>
      <c r="M607" s="6" t="str">
        <f t="shared" si="48"/>
        <v>4</v>
      </c>
      <c r="N607" s="7" t="str">
        <f t="shared" si="50"/>
        <v/>
      </c>
      <c r="O607" t="str">
        <f t="shared" si="49"/>
        <v>23</v>
      </c>
      <c r="P607" s="4" t="str">
        <f>LEFT(L607,1)</f>
        <v>F</v>
      </c>
      <c r="Q607" t="s">
        <v>20</v>
      </c>
    </row>
    <row r="608" spans="1:17" x14ac:dyDescent="0.25">
      <c r="A608">
        <v>149</v>
      </c>
      <c r="B608">
        <v>0</v>
      </c>
      <c r="C608">
        <v>2</v>
      </c>
      <c r="D608" t="s">
        <v>464</v>
      </c>
      <c r="E608" s="4">
        <f>LEN(D608)</f>
        <v>40</v>
      </c>
      <c r="F608" t="s">
        <v>24</v>
      </c>
      <c r="G608">
        <v>36.5</v>
      </c>
      <c r="H608">
        <v>0</v>
      </c>
      <c r="I608">
        <v>2</v>
      </c>
      <c r="J608">
        <v>230080</v>
      </c>
      <c r="K608">
        <v>26</v>
      </c>
      <c r="L608" t="s">
        <v>465</v>
      </c>
      <c r="M608" s="6" t="str">
        <f t="shared" si="48"/>
        <v>2</v>
      </c>
      <c r="N608" s="7" t="str">
        <f t="shared" si="50"/>
        <v/>
      </c>
      <c r="O608" t="str">
        <f t="shared" si="49"/>
        <v>23</v>
      </c>
      <c r="P608" s="4" t="str">
        <f>LEFT(L608,1)</f>
        <v>F</v>
      </c>
      <c r="Q608" t="s">
        <v>20</v>
      </c>
    </row>
    <row r="609" spans="1:17" x14ac:dyDescent="0.25">
      <c r="A609">
        <v>194</v>
      </c>
      <c r="B609">
        <v>1</v>
      </c>
      <c r="C609">
        <v>2</v>
      </c>
      <c r="D609" t="s">
        <v>476</v>
      </c>
      <c r="E609" s="4">
        <f>LEN(D609)</f>
        <v>26</v>
      </c>
      <c r="F609" t="s">
        <v>24</v>
      </c>
      <c r="G609">
        <v>3</v>
      </c>
      <c r="H609">
        <v>1</v>
      </c>
      <c r="I609">
        <v>1</v>
      </c>
      <c r="J609">
        <v>230080</v>
      </c>
      <c r="K609">
        <v>26</v>
      </c>
      <c r="L609" t="s">
        <v>465</v>
      </c>
      <c r="M609" s="6" t="str">
        <f t="shared" si="48"/>
        <v>2</v>
      </c>
      <c r="N609" s="7" t="str">
        <f t="shared" si="50"/>
        <v/>
      </c>
      <c r="O609" t="str">
        <f t="shared" si="49"/>
        <v>23</v>
      </c>
      <c r="P609" s="4" t="str">
        <f>LEFT(L609,1)</f>
        <v>F</v>
      </c>
      <c r="Q609" t="s">
        <v>20</v>
      </c>
    </row>
    <row r="610" spans="1:17" x14ac:dyDescent="0.25">
      <c r="A610">
        <v>341</v>
      </c>
      <c r="B610">
        <v>1</v>
      </c>
      <c r="C610">
        <v>2</v>
      </c>
      <c r="D610" t="s">
        <v>518</v>
      </c>
      <c r="E610" s="4">
        <f>LEN(D610)</f>
        <v>30</v>
      </c>
      <c r="F610" t="s">
        <v>24</v>
      </c>
      <c r="G610">
        <v>2</v>
      </c>
      <c r="H610">
        <v>1</v>
      </c>
      <c r="I610">
        <v>1</v>
      </c>
      <c r="J610">
        <v>230080</v>
      </c>
      <c r="K610">
        <v>26</v>
      </c>
      <c r="L610" t="s">
        <v>465</v>
      </c>
      <c r="M610" s="6" t="str">
        <f t="shared" si="48"/>
        <v>2</v>
      </c>
      <c r="N610" s="7" t="str">
        <f t="shared" si="50"/>
        <v/>
      </c>
      <c r="O610" t="str">
        <f t="shared" si="49"/>
        <v>23</v>
      </c>
      <c r="P610" s="4" t="str">
        <f>LEFT(L610,1)</f>
        <v>F</v>
      </c>
      <c r="Q610" t="s">
        <v>20</v>
      </c>
    </row>
    <row r="611" spans="1:17" hidden="1" x14ac:dyDescent="0.25">
      <c r="A611">
        <v>345</v>
      </c>
      <c r="B611">
        <v>0</v>
      </c>
      <c r="C611">
        <v>2</v>
      </c>
      <c r="D611" t="s">
        <v>521</v>
      </c>
      <c r="E611" s="4">
        <f>LEN(D611)</f>
        <v>23</v>
      </c>
      <c r="F611" t="s">
        <v>24</v>
      </c>
      <c r="G611">
        <v>36</v>
      </c>
      <c r="H611">
        <v>0</v>
      </c>
      <c r="I611">
        <v>0</v>
      </c>
      <c r="J611">
        <v>229236</v>
      </c>
      <c r="K611">
        <v>13</v>
      </c>
      <c r="M611" s="6" t="str">
        <f t="shared" si="48"/>
        <v/>
      </c>
      <c r="N611" s="7" t="str">
        <f t="shared" si="50"/>
        <v/>
      </c>
      <c r="O611" t="str">
        <f t="shared" si="49"/>
        <v>22</v>
      </c>
      <c r="P611" s="4" t="str">
        <f>LEFT(L611,1)</f>
        <v/>
      </c>
      <c r="Q611" t="s">
        <v>20</v>
      </c>
    </row>
    <row r="612" spans="1:17" hidden="1" x14ac:dyDescent="0.25">
      <c r="A612">
        <v>134</v>
      </c>
      <c r="B612">
        <v>1</v>
      </c>
      <c r="C612">
        <v>2</v>
      </c>
      <c r="D612" t="s">
        <v>456</v>
      </c>
      <c r="E612" s="4">
        <f>LEN(D612)</f>
        <v>45</v>
      </c>
      <c r="F612" t="s">
        <v>14</v>
      </c>
      <c r="G612">
        <v>29</v>
      </c>
      <c r="H612">
        <v>1</v>
      </c>
      <c r="I612">
        <v>0</v>
      </c>
      <c r="J612">
        <v>228414</v>
      </c>
      <c r="K612">
        <v>26</v>
      </c>
      <c r="M612" s="6" t="str">
        <f t="shared" si="48"/>
        <v/>
      </c>
      <c r="N612" s="7" t="str">
        <f t="shared" si="50"/>
        <v/>
      </c>
      <c r="O612" t="str">
        <f t="shared" si="49"/>
        <v>22</v>
      </c>
      <c r="P612" s="4" t="str">
        <f>LEFT(L612,1)</f>
        <v/>
      </c>
      <c r="Q612" t="s">
        <v>20</v>
      </c>
    </row>
    <row r="613" spans="1:17" hidden="1" x14ac:dyDescent="0.25">
      <c r="A613">
        <v>519</v>
      </c>
      <c r="B613">
        <v>1</v>
      </c>
      <c r="C613">
        <v>2</v>
      </c>
      <c r="D613" t="s">
        <v>566</v>
      </c>
      <c r="E613" s="4">
        <f>LEN(D613)</f>
        <v>52</v>
      </c>
      <c r="F613" t="s">
        <v>14</v>
      </c>
      <c r="G613">
        <v>36</v>
      </c>
      <c r="H613">
        <v>1</v>
      </c>
      <c r="I613">
        <v>0</v>
      </c>
      <c r="J613">
        <v>226875</v>
      </c>
      <c r="K613">
        <v>26</v>
      </c>
      <c r="M613" s="6" t="str">
        <f t="shared" si="48"/>
        <v/>
      </c>
      <c r="N613" s="7" t="str">
        <f t="shared" si="50"/>
        <v/>
      </c>
      <c r="O613" t="str">
        <f t="shared" si="49"/>
        <v>22</v>
      </c>
      <c r="P613" s="4" t="str">
        <f>LEFT(L613,1)</f>
        <v/>
      </c>
      <c r="Q613" t="s">
        <v>20</v>
      </c>
    </row>
    <row r="614" spans="1:17" hidden="1" x14ac:dyDescent="0.25">
      <c r="A614">
        <v>707</v>
      </c>
      <c r="B614">
        <v>1</v>
      </c>
      <c r="C614">
        <v>2</v>
      </c>
      <c r="D614" t="s">
        <v>606</v>
      </c>
      <c r="E614" s="4">
        <f>LEN(D614)</f>
        <v>29</v>
      </c>
      <c r="F614" t="s">
        <v>14</v>
      </c>
      <c r="G614">
        <v>45</v>
      </c>
      <c r="H614">
        <v>0</v>
      </c>
      <c r="I614">
        <v>0</v>
      </c>
      <c r="J614">
        <v>223596</v>
      </c>
      <c r="K614">
        <v>13.5</v>
      </c>
      <c r="M614" s="6" t="str">
        <f t="shared" si="48"/>
        <v/>
      </c>
      <c r="N614" s="7" t="str">
        <f t="shared" si="50"/>
        <v/>
      </c>
      <c r="O614" t="str">
        <f t="shared" si="49"/>
        <v>22</v>
      </c>
      <c r="P614" s="4" t="str">
        <f>LEFT(L614,1)</f>
        <v/>
      </c>
      <c r="Q614" t="s">
        <v>20</v>
      </c>
    </row>
    <row r="615" spans="1:17" hidden="1" x14ac:dyDescent="0.25">
      <c r="A615">
        <v>616</v>
      </c>
      <c r="B615">
        <v>1</v>
      </c>
      <c r="C615">
        <v>2</v>
      </c>
      <c r="D615" t="s">
        <v>587</v>
      </c>
      <c r="E615" s="4">
        <f>LEN(D615)</f>
        <v>19</v>
      </c>
      <c r="F615" t="s">
        <v>14</v>
      </c>
      <c r="G615">
        <v>24</v>
      </c>
      <c r="H615">
        <v>1</v>
      </c>
      <c r="I615">
        <v>2</v>
      </c>
      <c r="J615">
        <v>220845</v>
      </c>
      <c r="K615">
        <v>65</v>
      </c>
      <c r="M615" s="6" t="str">
        <f t="shared" si="48"/>
        <v/>
      </c>
      <c r="N615" s="7" t="str">
        <f t="shared" si="50"/>
        <v/>
      </c>
      <c r="O615" t="str">
        <f t="shared" si="49"/>
        <v>22</v>
      </c>
      <c r="P615" s="4" t="str">
        <f>LEFT(L615,1)</f>
        <v/>
      </c>
      <c r="Q615" t="s">
        <v>20</v>
      </c>
    </row>
    <row r="616" spans="1:17" hidden="1" x14ac:dyDescent="0.25">
      <c r="A616">
        <v>755</v>
      </c>
      <c r="B616">
        <v>1</v>
      </c>
      <c r="C616">
        <v>2</v>
      </c>
      <c r="D616" t="s">
        <v>618</v>
      </c>
      <c r="E616" s="4">
        <f>LEN(D616)</f>
        <v>32</v>
      </c>
      <c r="F616" t="s">
        <v>14</v>
      </c>
      <c r="G616">
        <v>48</v>
      </c>
      <c r="H616">
        <v>1</v>
      </c>
      <c r="I616">
        <v>2</v>
      </c>
      <c r="J616">
        <v>220845</v>
      </c>
      <c r="K616">
        <v>65</v>
      </c>
      <c r="M616" s="6" t="str">
        <f t="shared" si="48"/>
        <v/>
      </c>
      <c r="N616" s="7" t="str">
        <f t="shared" si="50"/>
        <v/>
      </c>
      <c r="O616" t="str">
        <f t="shared" si="49"/>
        <v>22</v>
      </c>
      <c r="P616" s="4" t="str">
        <f>LEFT(L616,1)</f>
        <v/>
      </c>
      <c r="Q616" t="s">
        <v>20</v>
      </c>
    </row>
    <row r="617" spans="1:17" hidden="1" x14ac:dyDescent="0.25">
      <c r="A617">
        <v>222</v>
      </c>
      <c r="B617">
        <v>0</v>
      </c>
      <c r="C617">
        <v>2</v>
      </c>
      <c r="D617" t="s">
        <v>484</v>
      </c>
      <c r="E617" s="4">
        <f>LEN(D617)</f>
        <v>20</v>
      </c>
      <c r="F617" t="s">
        <v>24</v>
      </c>
      <c r="G617">
        <v>27</v>
      </c>
      <c r="H617">
        <v>0</v>
      </c>
      <c r="I617">
        <v>0</v>
      </c>
      <c r="J617">
        <v>220367</v>
      </c>
      <c r="K617">
        <v>13</v>
      </c>
      <c r="M617" s="6" t="str">
        <f t="shared" si="48"/>
        <v/>
      </c>
      <c r="N617" s="7" t="str">
        <f t="shared" si="50"/>
        <v/>
      </c>
      <c r="O617" t="str">
        <f t="shared" si="49"/>
        <v>22</v>
      </c>
      <c r="P617" s="4" t="str">
        <f>LEFT(L617,1)</f>
        <v/>
      </c>
      <c r="Q617" t="s">
        <v>20</v>
      </c>
    </row>
    <row r="618" spans="1:17" hidden="1" x14ac:dyDescent="0.25">
      <c r="A618">
        <v>563</v>
      </c>
      <c r="B618">
        <v>0</v>
      </c>
      <c r="C618">
        <v>2</v>
      </c>
      <c r="D618" t="s">
        <v>576</v>
      </c>
      <c r="E618" s="4">
        <f>LEN(D618)</f>
        <v>26</v>
      </c>
      <c r="F618" t="s">
        <v>24</v>
      </c>
      <c r="G618">
        <v>28</v>
      </c>
      <c r="H618">
        <v>0</v>
      </c>
      <c r="I618">
        <v>0</v>
      </c>
      <c r="J618">
        <v>218629</v>
      </c>
      <c r="K618">
        <v>13.5</v>
      </c>
      <c r="M618" s="6" t="str">
        <f t="shared" si="48"/>
        <v/>
      </c>
      <c r="N618" s="7" t="str">
        <f t="shared" si="50"/>
        <v/>
      </c>
      <c r="O618" t="str">
        <f t="shared" si="49"/>
        <v>21</v>
      </c>
      <c r="P618" s="4" t="str">
        <f>LEFT(L618,1)</f>
        <v/>
      </c>
      <c r="Q618" t="s">
        <v>20</v>
      </c>
    </row>
    <row r="619" spans="1:17" hidden="1" x14ac:dyDescent="0.25">
      <c r="A619">
        <v>887</v>
      </c>
      <c r="B619">
        <v>0</v>
      </c>
      <c r="C619">
        <v>2</v>
      </c>
      <c r="D619" t="s">
        <v>653</v>
      </c>
      <c r="E619" s="4">
        <f>LEN(D619)</f>
        <v>21</v>
      </c>
      <c r="F619" t="s">
        <v>24</v>
      </c>
      <c r="G619">
        <v>27</v>
      </c>
      <c r="H619">
        <v>0</v>
      </c>
      <c r="I619">
        <v>0</v>
      </c>
      <c r="J619">
        <v>211536</v>
      </c>
      <c r="K619">
        <v>13</v>
      </c>
      <c r="M619" s="6" t="str">
        <f t="shared" si="48"/>
        <v/>
      </c>
      <c r="N619" s="7" t="str">
        <f t="shared" si="50"/>
        <v/>
      </c>
      <c r="O619" t="str">
        <f t="shared" si="49"/>
        <v>21</v>
      </c>
      <c r="P619" s="4" t="str">
        <f>LEFT(L619,1)</f>
        <v/>
      </c>
      <c r="Q619" t="s">
        <v>20</v>
      </c>
    </row>
    <row r="620" spans="1:17" hidden="1" x14ac:dyDescent="0.25">
      <c r="A620">
        <v>694</v>
      </c>
      <c r="B620">
        <v>0</v>
      </c>
      <c r="C620">
        <v>3</v>
      </c>
      <c r="D620" t="s">
        <v>1111</v>
      </c>
      <c r="E620" s="4">
        <f>LEN(D620)</f>
        <v>16</v>
      </c>
      <c r="F620" t="s">
        <v>24</v>
      </c>
      <c r="G620">
        <v>25</v>
      </c>
      <c r="H620">
        <v>0</v>
      </c>
      <c r="I620">
        <v>0</v>
      </c>
      <c r="J620">
        <v>2672</v>
      </c>
      <c r="K620">
        <v>7.2249999999999996</v>
      </c>
      <c r="M620" s="6" t="str">
        <f t="shared" si="48"/>
        <v/>
      </c>
      <c r="N620" s="7" t="str">
        <f t="shared" si="50"/>
        <v/>
      </c>
      <c r="O620" t="str">
        <f t="shared" si="49"/>
        <v>26</v>
      </c>
      <c r="P620" s="4" t="str">
        <f>LEFT(L620,1)</f>
        <v/>
      </c>
      <c r="Q620" t="s">
        <v>17</v>
      </c>
    </row>
    <row r="621" spans="1:17" hidden="1" x14ac:dyDescent="0.25">
      <c r="A621">
        <v>556</v>
      </c>
      <c r="B621">
        <v>0</v>
      </c>
      <c r="C621">
        <v>1</v>
      </c>
      <c r="D621" t="s">
        <v>297</v>
      </c>
      <c r="E621" s="4">
        <f>LEN(D621)</f>
        <v>18</v>
      </c>
      <c r="F621" t="s">
        <v>24</v>
      </c>
      <c r="G621">
        <v>62</v>
      </c>
      <c r="H621">
        <v>0</v>
      </c>
      <c r="I621">
        <v>0</v>
      </c>
      <c r="J621">
        <v>113807</v>
      </c>
      <c r="K621">
        <v>26.55</v>
      </c>
      <c r="M621" s="6" t="str">
        <f t="shared" si="48"/>
        <v/>
      </c>
      <c r="N621" s="7" t="str">
        <f t="shared" si="50"/>
        <v/>
      </c>
      <c r="O621" t="str">
        <f t="shared" si="49"/>
        <v>11</v>
      </c>
      <c r="P621" s="4" t="str">
        <f>LEFT(L621,1)</f>
        <v/>
      </c>
      <c r="Q621" t="s">
        <v>20</v>
      </c>
    </row>
    <row r="622" spans="1:17" hidden="1" x14ac:dyDescent="0.25">
      <c r="A622">
        <v>6</v>
      </c>
      <c r="B622">
        <v>0</v>
      </c>
      <c r="C622">
        <v>3</v>
      </c>
      <c r="D622" t="s">
        <v>917</v>
      </c>
      <c r="E622" s="4">
        <f>LEN(D622)</f>
        <v>16</v>
      </c>
      <c r="F622" t="s">
        <v>24</v>
      </c>
      <c r="H622">
        <v>0</v>
      </c>
      <c r="I622">
        <v>0</v>
      </c>
      <c r="J622">
        <v>330877</v>
      </c>
      <c r="K622">
        <v>8.4582999999999995</v>
      </c>
      <c r="M622" s="6" t="str">
        <f t="shared" si="48"/>
        <v/>
      </c>
      <c r="N622" s="7" t="str">
        <f t="shared" si="50"/>
        <v/>
      </c>
      <c r="O622" t="str">
        <f t="shared" si="49"/>
        <v>33</v>
      </c>
      <c r="P622" s="4" t="str">
        <f>LEFT(L622,1)</f>
        <v/>
      </c>
      <c r="Q622" t="s">
        <v>161</v>
      </c>
    </row>
    <row r="623" spans="1:17" hidden="1" x14ac:dyDescent="0.25">
      <c r="A623">
        <v>681</v>
      </c>
      <c r="B623">
        <v>0</v>
      </c>
      <c r="C623">
        <v>3</v>
      </c>
      <c r="D623" t="s">
        <v>918</v>
      </c>
      <c r="E623" s="4">
        <f>LEN(D623)</f>
        <v>19</v>
      </c>
      <c r="F623" t="s">
        <v>14</v>
      </c>
      <c r="H623">
        <v>0</v>
      </c>
      <c r="I623">
        <v>0</v>
      </c>
      <c r="J623">
        <v>330935</v>
      </c>
      <c r="K623">
        <v>8.1374999999999993</v>
      </c>
      <c r="M623" s="6" t="str">
        <f t="shared" si="48"/>
        <v/>
      </c>
      <c r="N623" s="7" t="str">
        <f t="shared" si="50"/>
        <v/>
      </c>
      <c r="O623" t="str">
        <f t="shared" si="49"/>
        <v>33</v>
      </c>
      <c r="P623" s="4" t="str">
        <f>LEFT(L623,1)</f>
        <v/>
      </c>
      <c r="Q623" t="s">
        <v>161</v>
      </c>
    </row>
    <row r="624" spans="1:17" x14ac:dyDescent="0.25">
      <c r="A624">
        <v>725</v>
      </c>
      <c r="B624">
        <v>1</v>
      </c>
      <c r="C624">
        <v>1</v>
      </c>
      <c r="D624" t="s">
        <v>366</v>
      </c>
      <c r="E624" s="4">
        <f>LEN(D624)</f>
        <v>29</v>
      </c>
      <c r="F624" t="s">
        <v>24</v>
      </c>
      <c r="G624">
        <v>27</v>
      </c>
      <c r="H624">
        <v>1</v>
      </c>
      <c r="I624">
        <v>0</v>
      </c>
      <c r="J624">
        <v>113806</v>
      </c>
      <c r="K624">
        <v>53.1</v>
      </c>
      <c r="L624" t="s">
        <v>367</v>
      </c>
      <c r="M624" s="6" t="str">
        <f t="shared" si="48"/>
        <v>8</v>
      </c>
      <c r="N624" s="7" t="str">
        <f t="shared" si="50"/>
        <v/>
      </c>
      <c r="O624" t="str">
        <f t="shared" si="49"/>
        <v>11</v>
      </c>
      <c r="P624" s="4" t="str">
        <f>LEFT(L624,1)</f>
        <v>E</v>
      </c>
      <c r="Q624" t="s">
        <v>20</v>
      </c>
    </row>
    <row r="625" spans="1:17" x14ac:dyDescent="0.25">
      <c r="A625">
        <v>810</v>
      </c>
      <c r="B625">
        <v>1</v>
      </c>
      <c r="C625">
        <v>1</v>
      </c>
      <c r="D625" t="s">
        <v>393</v>
      </c>
      <c r="E625" s="4">
        <f>LEN(D625)</f>
        <v>46</v>
      </c>
      <c r="F625" t="s">
        <v>14</v>
      </c>
      <c r="G625">
        <v>33</v>
      </c>
      <c r="H625">
        <v>1</v>
      </c>
      <c r="I625">
        <v>0</v>
      </c>
      <c r="J625">
        <v>113806</v>
      </c>
      <c r="K625">
        <v>53.1</v>
      </c>
      <c r="L625" t="s">
        <v>367</v>
      </c>
      <c r="M625" s="6" t="str">
        <f t="shared" si="48"/>
        <v>8</v>
      </c>
      <c r="N625" s="7" t="str">
        <f t="shared" si="50"/>
        <v/>
      </c>
      <c r="O625" t="str">
        <f t="shared" si="49"/>
        <v>11</v>
      </c>
      <c r="P625" s="4" t="str">
        <f>LEFT(L625,1)</f>
        <v>E</v>
      </c>
      <c r="Q625" t="s">
        <v>20</v>
      </c>
    </row>
    <row r="626" spans="1:17" hidden="1" x14ac:dyDescent="0.25">
      <c r="A626">
        <v>608</v>
      </c>
      <c r="B626">
        <v>1</v>
      </c>
      <c r="C626">
        <v>1</v>
      </c>
      <c r="D626" t="s">
        <v>318</v>
      </c>
      <c r="E626" s="4">
        <f>LEN(D626)</f>
        <v>27</v>
      </c>
      <c r="F626" t="s">
        <v>24</v>
      </c>
      <c r="G626">
        <v>27</v>
      </c>
      <c r="H626">
        <v>0</v>
      </c>
      <c r="I626">
        <v>0</v>
      </c>
      <c r="J626">
        <v>113804</v>
      </c>
      <c r="K626">
        <v>30.5</v>
      </c>
      <c r="M626" s="6" t="str">
        <f t="shared" si="48"/>
        <v/>
      </c>
      <c r="N626" s="7" t="str">
        <f t="shared" si="50"/>
        <v/>
      </c>
      <c r="O626" t="str">
        <f t="shared" si="49"/>
        <v>11</v>
      </c>
      <c r="P626" s="4" t="str">
        <f>LEFT(L626,1)</f>
        <v/>
      </c>
      <c r="Q626" t="s">
        <v>20</v>
      </c>
    </row>
    <row r="627" spans="1:17" x14ac:dyDescent="0.25">
      <c r="A627">
        <v>4</v>
      </c>
      <c r="B627">
        <v>1</v>
      </c>
      <c r="C627">
        <v>1</v>
      </c>
      <c r="D627" t="s">
        <v>18</v>
      </c>
      <c r="E627" s="4">
        <f>LEN(D627)</f>
        <v>44</v>
      </c>
      <c r="F627" t="s">
        <v>14</v>
      </c>
      <c r="G627">
        <v>35</v>
      </c>
      <c r="H627">
        <v>1</v>
      </c>
      <c r="I627">
        <v>0</v>
      </c>
      <c r="J627">
        <v>113803</v>
      </c>
      <c r="K627">
        <v>53.1</v>
      </c>
      <c r="L627" t="s">
        <v>19</v>
      </c>
      <c r="M627" s="6" t="str">
        <f t="shared" si="48"/>
        <v>123</v>
      </c>
      <c r="N627" s="7">
        <f t="shared" si="50"/>
        <v>123</v>
      </c>
      <c r="O627" t="str">
        <f t="shared" si="49"/>
        <v>11</v>
      </c>
      <c r="P627" s="4" t="str">
        <f>LEFT(L627,1)</f>
        <v>C</v>
      </c>
      <c r="Q627" t="s">
        <v>20</v>
      </c>
    </row>
    <row r="628" spans="1:17" hidden="1" x14ac:dyDescent="0.25">
      <c r="A628">
        <v>422</v>
      </c>
      <c r="B628">
        <v>0</v>
      </c>
      <c r="C628">
        <v>3</v>
      </c>
      <c r="D628" t="s">
        <v>925</v>
      </c>
      <c r="E628" s="4">
        <f>LEN(D628)</f>
        <v>19</v>
      </c>
      <c r="F628" t="s">
        <v>24</v>
      </c>
      <c r="G628">
        <v>21</v>
      </c>
      <c r="H628">
        <v>0</v>
      </c>
      <c r="I628">
        <v>0</v>
      </c>
      <c r="J628" t="s">
        <v>926</v>
      </c>
      <c r="K628">
        <v>7.7332999999999998</v>
      </c>
      <c r="M628" s="6" t="str">
        <f t="shared" si="48"/>
        <v/>
      </c>
      <c r="N628" s="7" t="str">
        <f t="shared" si="50"/>
        <v/>
      </c>
      <c r="O628" t="str">
        <f t="shared" si="49"/>
        <v>A/</v>
      </c>
      <c r="P628" s="4" t="str">
        <f>LEFT(L628,1)</f>
        <v/>
      </c>
      <c r="Q628" t="s">
        <v>161</v>
      </c>
    </row>
    <row r="629" spans="1:17" x14ac:dyDescent="0.25">
      <c r="A629">
        <v>138</v>
      </c>
      <c r="B629">
        <v>0</v>
      </c>
      <c r="C629">
        <v>1</v>
      </c>
      <c r="D629" t="s">
        <v>108</v>
      </c>
      <c r="E629" s="4">
        <f>LEN(D629)</f>
        <v>27</v>
      </c>
      <c r="F629" t="s">
        <v>24</v>
      </c>
      <c r="G629">
        <v>37</v>
      </c>
      <c r="H629">
        <v>1</v>
      </c>
      <c r="I629">
        <v>0</v>
      </c>
      <c r="J629">
        <v>113803</v>
      </c>
      <c r="K629">
        <v>53.1</v>
      </c>
      <c r="L629" t="s">
        <v>19</v>
      </c>
      <c r="M629" s="6" t="str">
        <f t="shared" si="48"/>
        <v>123</v>
      </c>
      <c r="N629" s="7">
        <f t="shared" si="50"/>
        <v>123</v>
      </c>
      <c r="O629" t="str">
        <f t="shared" si="49"/>
        <v>11</v>
      </c>
      <c r="P629" s="4" t="str">
        <f>LEFT(L629,1)</f>
        <v>C</v>
      </c>
      <c r="Q629" t="s">
        <v>20</v>
      </c>
    </row>
    <row r="630" spans="1:17" hidden="1" x14ac:dyDescent="0.25">
      <c r="A630">
        <v>695</v>
      </c>
      <c r="B630">
        <v>0</v>
      </c>
      <c r="C630">
        <v>1</v>
      </c>
      <c r="D630" t="s">
        <v>350</v>
      </c>
      <c r="E630" s="4">
        <f>LEN(D630)</f>
        <v>15</v>
      </c>
      <c r="F630" t="s">
        <v>24</v>
      </c>
      <c r="G630">
        <v>60</v>
      </c>
      <c r="H630">
        <v>0</v>
      </c>
      <c r="I630">
        <v>0</v>
      </c>
      <c r="J630">
        <v>113800</v>
      </c>
      <c r="K630">
        <v>26.55</v>
      </c>
      <c r="M630" s="6" t="str">
        <f t="shared" si="48"/>
        <v/>
      </c>
      <c r="N630" s="7" t="str">
        <f t="shared" si="50"/>
        <v/>
      </c>
      <c r="O630" t="str">
        <f t="shared" si="49"/>
        <v>11</v>
      </c>
      <c r="P630" s="4" t="str">
        <f>LEFT(L630,1)</f>
        <v/>
      </c>
      <c r="Q630" t="s">
        <v>20</v>
      </c>
    </row>
    <row r="631" spans="1:17" hidden="1" x14ac:dyDescent="0.25">
      <c r="A631">
        <v>271</v>
      </c>
      <c r="B631">
        <v>0</v>
      </c>
      <c r="C631">
        <v>1</v>
      </c>
      <c r="D631" t="s">
        <v>112</v>
      </c>
      <c r="E631" s="4">
        <f>LEN(D631)</f>
        <v>21</v>
      </c>
      <c r="F631" t="s">
        <v>24</v>
      </c>
      <c r="H631">
        <v>0</v>
      </c>
      <c r="I631">
        <v>0</v>
      </c>
      <c r="J631">
        <v>113798</v>
      </c>
      <c r="K631">
        <v>31</v>
      </c>
      <c r="M631" s="6" t="str">
        <f t="shared" si="48"/>
        <v/>
      </c>
      <c r="N631" s="7" t="str">
        <f t="shared" si="50"/>
        <v/>
      </c>
      <c r="O631" t="str">
        <f t="shared" si="49"/>
        <v>11</v>
      </c>
      <c r="P631" s="4" t="str">
        <f>LEFT(L631,1)</f>
        <v/>
      </c>
      <c r="Q631" t="s">
        <v>20</v>
      </c>
    </row>
    <row r="632" spans="1:17" hidden="1" x14ac:dyDescent="0.25">
      <c r="A632">
        <v>603</v>
      </c>
      <c r="B632">
        <v>0</v>
      </c>
      <c r="C632">
        <v>1</v>
      </c>
      <c r="D632" t="s">
        <v>93</v>
      </c>
      <c r="E632" s="4">
        <f>LEN(D632)</f>
        <v>25</v>
      </c>
      <c r="F632" t="s">
        <v>24</v>
      </c>
      <c r="H632">
        <v>0</v>
      </c>
      <c r="I632">
        <v>0</v>
      </c>
      <c r="J632">
        <v>113796</v>
      </c>
      <c r="K632">
        <v>42.4</v>
      </c>
      <c r="M632" s="6" t="str">
        <f t="shared" si="48"/>
        <v/>
      </c>
      <c r="N632" s="7" t="str">
        <f t="shared" si="50"/>
        <v/>
      </c>
      <c r="O632" t="str">
        <f t="shared" si="49"/>
        <v>11</v>
      </c>
      <c r="P632" s="4" t="str">
        <f>LEFT(L632,1)</f>
        <v/>
      </c>
      <c r="Q632" t="s">
        <v>20</v>
      </c>
    </row>
    <row r="633" spans="1:17" hidden="1" x14ac:dyDescent="0.25">
      <c r="A633">
        <v>448</v>
      </c>
      <c r="B633">
        <v>1</v>
      </c>
      <c r="C633">
        <v>1</v>
      </c>
      <c r="D633" t="s">
        <v>246</v>
      </c>
      <c r="E633" s="4">
        <f>LEN(D633)</f>
        <v>27</v>
      </c>
      <c r="F633" t="s">
        <v>24</v>
      </c>
      <c r="G633">
        <v>34</v>
      </c>
      <c r="H633">
        <v>0</v>
      </c>
      <c r="I633">
        <v>0</v>
      </c>
      <c r="J633">
        <v>113794</v>
      </c>
      <c r="K633">
        <v>26.55</v>
      </c>
      <c r="M633" s="6" t="str">
        <f t="shared" si="48"/>
        <v/>
      </c>
      <c r="N633" s="7" t="str">
        <f t="shared" si="50"/>
        <v/>
      </c>
      <c r="O633" t="str">
        <f t="shared" si="49"/>
        <v>11</v>
      </c>
      <c r="P633" s="4" t="str">
        <f>LEFT(L633,1)</f>
        <v/>
      </c>
      <c r="Q633" t="s">
        <v>20</v>
      </c>
    </row>
    <row r="634" spans="1:17" hidden="1" x14ac:dyDescent="0.25">
      <c r="A634">
        <v>468</v>
      </c>
      <c r="B634">
        <v>0</v>
      </c>
      <c r="C634">
        <v>1</v>
      </c>
      <c r="D634" t="s">
        <v>258</v>
      </c>
      <c r="E634" s="4">
        <f>LEN(D634)</f>
        <v>26</v>
      </c>
      <c r="F634" t="s">
        <v>24</v>
      </c>
      <c r="G634">
        <v>56</v>
      </c>
      <c r="H634">
        <v>0</v>
      </c>
      <c r="I634">
        <v>0</v>
      </c>
      <c r="J634">
        <v>113792</v>
      </c>
      <c r="K634">
        <v>26.55</v>
      </c>
      <c r="M634" s="6" t="str">
        <f t="shared" si="48"/>
        <v/>
      </c>
      <c r="N634" s="7" t="str">
        <f t="shared" si="50"/>
        <v/>
      </c>
      <c r="O634" t="str">
        <f t="shared" si="49"/>
        <v>11</v>
      </c>
      <c r="P634" s="4" t="str">
        <f>LEFT(L634,1)</f>
        <v/>
      </c>
      <c r="Q634" t="s">
        <v>20</v>
      </c>
    </row>
    <row r="635" spans="1:17" hidden="1" x14ac:dyDescent="0.25">
      <c r="A635">
        <v>36</v>
      </c>
      <c r="B635">
        <v>0</v>
      </c>
      <c r="C635">
        <v>1</v>
      </c>
      <c r="D635" t="s">
        <v>58</v>
      </c>
      <c r="E635" s="4">
        <f>LEN(D635)</f>
        <v>30</v>
      </c>
      <c r="F635" t="s">
        <v>24</v>
      </c>
      <c r="G635">
        <v>42</v>
      </c>
      <c r="H635">
        <v>1</v>
      </c>
      <c r="I635">
        <v>0</v>
      </c>
      <c r="J635">
        <v>113789</v>
      </c>
      <c r="K635">
        <v>52</v>
      </c>
      <c r="M635" s="6" t="str">
        <f t="shared" si="48"/>
        <v/>
      </c>
      <c r="N635" s="7" t="str">
        <f t="shared" si="50"/>
        <v/>
      </c>
      <c r="O635" t="str">
        <f t="shared" si="49"/>
        <v>11</v>
      </c>
      <c r="P635" s="4" t="str">
        <f>LEFT(L635,1)</f>
        <v/>
      </c>
      <c r="Q635" t="s">
        <v>20</v>
      </c>
    </row>
    <row r="636" spans="1:17" hidden="1" x14ac:dyDescent="0.25">
      <c r="A636">
        <v>384</v>
      </c>
      <c r="B636">
        <v>1</v>
      </c>
      <c r="C636">
        <v>1</v>
      </c>
      <c r="D636" t="s">
        <v>234</v>
      </c>
      <c r="E636" s="4">
        <f>LEN(D636)</f>
        <v>51</v>
      </c>
      <c r="F636" t="s">
        <v>14</v>
      </c>
      <c r="G636">
        <v>35</v>
      </c>
      <c r="H636">
        <v>1</v>
      </c>
      <c r="I636">
        <v>0</v>
      </c>
      <c r="J636">
        <v>113789</v>
      </c>
      <c r="K636">
        <v>52</v>
      </c>
      <c r="M636" s="6" t="str">
        <f t="shared" si="48"/>
        <v/>
      </c>
      <c r="N636" s="7" t="str">
        <f t="shared" si="50"/>
        <v/>
      </c>
      <c r="O636" t="str">
        <f t="shared" si="49"/>
        <v>11</v>
      </c>
      <c r="P636" s="4" t="str">
        <f>LEFT(L636,1)</f>
        <v/>
      </c>
      <c r="Q636" t="s">
        <v>20</v>
      </c>
    </row>
    <row r="637" spans="1:17" x14ac:dyDescent="0.25">
      <c r="A637">
        <v>24</v>
      </c>
      <c r="B637">
        <v>1</v>
      </c>
      <c r="C637">
        <v>1</v>
      </c>
      <c r="D637" t="s">
        <v>41</v>
      </c>
      <c r="E637" s="4">
        <f>LEN(D637)</f>
        <v>28</v>
      </c>
      <c r="F637" t="s">
        <v>24</v>
      </c>
      <c r="G637">
        <v>28</v>
      </c>
      <c r="H637">
        <v>0</v>
      </c>
      <c r="I637">
        <v>0</v>
      </c>
      <c r="J637">
        <v>113788</v>
      </c>
      <c r="K637">
        <v>35.5</v>
      </c>
      <c r="L637" t="s">
        <v>42</v>
      </c>
      <c r="M637" s="6" t="str">
        <f t="shared" si="48"/>
        <v>6</v>
      </c>
      <c r="N637" s="7" t="str">
        <f t="shared" si="50"/>
        <v/>
      </c>
      <c r="O637" t="str">
        <f t="shared" si="49"/>
        <v>11</v>
      </c>
      <c r="P637" s="4" t="str">
        <f>LEFT(L637,1)</f>
        <v>A</v>
      </c>
      <c r="Q637" t="s">
        <v>20</v>
      </c>
    </row>
    <row r="638" spans="1:17" x14ac:dyDescent="0.25">
      <c r="A638">
        <v>493</v>
      </c>
      <c r="B638">
        <v>0</v>
      </c>
      <c r="C638">
        <v>1</v>
      </c>
      <c r="D638" t="s">
        <v>263</v>
      </c>
      <c r="E638" s="4">
        <f>LEN(D638)</f>
        <v>26</v>
      </c>
      <c r="F638" t="s">
        <v>24</v>
      </c>
      <c r="G638">
        <v>55</v>
      </c>
      <c r="H638">
        <v>0</v>
      </c>
      <c r="I638">
        <v>0</v>
      </c>
      <c r="J638">
        <v>113787</v>
      </c>
      <c r="K638">
        <v>30.5</v>
      </c>
      <c r="L638" t="s">
        <v>264</v>
      </c>
      <c r="M638" s="6" t="str">
        <f t="shared" si="48"/>
        <v>30</v>
      </c>
      <c r="N638" s="7">
        <f t="shared" si="50"/>
        <v>30</v>
      </c>
      <c r="O638" t="str">
        <f t="shared" si="49"/>
        <v>11</v>
      </c>
      <c r="P638" s="4" t="str">
        <f>LEFT(L638,1)</f>
        <v>C</v>
      </c>
      <c r="Q638" t="s">
        <v>20</v>
      </c>
    </row>
    <row r="639" spans="1:17" x14ac:dyDescent="0.25">
      <c r="A639">
        <v>450</v>
      </c>
      <c r="B639">
        <v>1</v>
      </c>
      <c r="C639">
        <v>1</v>
      </c>
      <c r="D639" t="s">
        <v>247</v>
      </c>
      <c r="E639" s="4">
        <f>LEN(D639)</f>
        <v>30</v>
      </c>
      <c r="F639" t="s">
        <v>24</v>
      </c>
      <c r="G639">
        <v>52</v>
      </c>
      <c r="H639">
        <v>0</v>
      </c>
      <c r="I639">
        <v>0</v>
      </c>
      <c r="J639">
        <v>113786</v>
      </c>
      <c r="K639">
        <v>30.5</v>
      </c>
      <c r="L639" t="s">
        <v>248</v>
      </c>
      <c r="M639" s="6" t="str">
        <f t="shared" si="48"/>
        <v>104</v>
      </c>
      <c r="N639" s="7">
        <f t="shared" si="50"/>
        <v>104</v>
      </c>
      <c r="O639" t="str">
        <f t="shared" si="49"/>
        <v>11</v>
      </c>
      <c r="P639" s="4" t="str">
        <f>LEFT(L639,1)</f>
        <v>C</v>
      </c>
      <c r="Q639" t="s">
        <v>20</v>
      </c>
    </row>
    <row r="640" spans="1:17" x14ac:dyDescent="0.25">
      <c r="A640">
        <v>340</v>
      </c>
      <c r="B640">
        <v>0</v>
      </c>
      <c r="C640">
        <v>1</v>
      </c>
      <c r="D640" t="s">
        <v>220</v>
      </c>
      <c r="E640" s="4">
        <f>LEN(D640)</f>
        <v>28</v>
      </c>
      <c r="F640" t="s">
        <v>24</v>
      </c>
      <c r="G640">
        <v>45</v>
      </c>
      <c r="H640">
        <v>0</v>
      </c>
      <c r="I640">
        <v>0</v>
      </c>
      <c r="J640">
        <v>113784</v>
      </c>
      <c r="K640">
        <v>35.5</v>
      </c>
      <c r="L640" t="s">
        <v>190</v>
      </c>
      <c r="M640" s="6" t="str">
        <f t="shared" si="48"/>
        <v>T</v>
      </c>
      <c r="N640" s="7" t="str">
        <f t="shared" si="50"/>
        <v/>
      </c>
      <c r="O640" t="str">
        <f t="shared" si="49"/>
        <v>11</v>
      </c>
      <c r="P640" s="4" t="str">
        <f>LEFT(L640,1)</f>
        <v>T</v>
      </c>
      <c r="Q640" t="s">
        <v>20</v>
      </c>
    </row>
    <row r="641" spans="1:17" x14ac:dyDescent="0.25">
      <c r="A641">
        <v>12</v>
      </c>
      <c r="B641">
        <v>1</v>
      </c>
      <c r="C641">
        <v>1</v>
      </c>
      <c r="D641" t="s">
        <v>32</v>
      </c>
      <c r="E641" s="4">
        <f>LEN(D641)</f>
        <v>24</v>
      </c>
      <c r="F641" t="s">
        <v>14</v>
      </c>
      <c r="G641">
        <v>58</v>
      </c>
      <c r="H641">
        <v>0</v>
      </c>
      <c r="I641">
        <v>0</v>
      </c>
      <c r="J641">
        <v>113783</v>
      </c>
      <c r="K641">
        <v>26.55</v>
      </c>
      <c r="L641" t="s">
        <v>33</v>
      </c>
      <c r="M641" s="6" t="str">
        <f t="shared" si="48"/>
        <v>103</v>
      </c>
      <c r="N641" s="7">
        <f t="shared" si="50"/>
        <v>103</v>
      </c>
      <c r="O641" t="str">
        <f t="shared" si="49"/>
        <v>11</v>
      </c>
      <c r="P641" s="4" t="str">
        <f>LEFT(L641,1)</f>
        <v>C</v>
      </c>
      <c r="Q641" t="s">
        <v>20</v>
      </c>
    </row>
    <row r="642" spans="1:17" x14ac:dyDescent="0.25">
      <c r="A642">
        <v>298</v>
      </c>
      <c r="B642">
        <v>0</v>
      </c>
      <c r="C642">
        <v>1</v>
      </c>
      <c r="D642" t="s">
        <v>191</v>
      </c>
      <c r="E642" s="4">
        <f>LEN(D642)</f>
        <v>28</v>
      </c>
      <c r="F642" t="s">
        <v>14</v>
      </c>
      <c r="G642">
        <v>2</v>
      </c>
      <c r="H642">
        <v>1</v>
      </c>
      <c r="I642">
        <v>2</v>
      </c>
      <c r="J642">
        <v>113781</v>
      </c>
      <c r="K642">
        <v>151.55000000000001</v>
      </c>
      <c r="L642" t="s">
        <v>192</v>
      </c>
      <c r="M642" s="6" t="str">
        <f t="shared" si="48"/>
        <v xml:space="preserve">22 </v>
      </c>
      <c r="N642" s="7">
        <f t="shared" si="50"/>
        <v>22</v>
      </c>
      <c r="O642" t="str">
        <f t="shared" si="49"/>
        <v>11</v>
      </c>
      <c r="P642" s="4" t="str">
        <f>LEFT(L642,1)</f>
        <v>C</v>
      </c>
      <c r="Q642" t="s">
        <v>20</v>
      </c>
    </row>
    <row r="643" spans="1:17" x14ac:dyDescent="0.25">
      <c r="A643">
        <v>306</v>
      </c>
      <c r="B643">
        <v>1</v>
      </c>
      <c r="C643">
        <v>1</v>
      </c>
      <c r="D643" t="s">
        <v>194</v>
      </c>
      <c r="E643" s="4">
        <f>LEN(D643)</f>
        <v>30</v>
      </c>
      <c r="F643" t="s">
        <v>24</v>
      </c>
      <c r="G643">
        <v>0.92</v>
      </c>
      <c r="H643">
        <v>1</v>
      </c>
      <c r="I643">
        <v>2</v>
      </c>
      <c r="J643">
        <v>113781</v>
      </c>
      <c r="K643">
        <v>151.55000000000001</v>
      </c>
      <c r="L643" t="s">
        <v>192</v>
      </c>
      <c r="M643" s="6" t="str">
        <f t="shared" ref="M643:M706" si="51">IF(LEN(L643)&gt;3,RIGHT((LEFT(L643,4)),3),IF(LEN(L643)=3,RIGHT(L643,2),RIGHT(L643,1)))</f>
        <v xml:space="preserve">22 </v>
      </c>
      <c r="N643" s="7">
        <f t="shared" si="50"/>
        <v>22</v>
      </c>
      <c r="O643" t="str">
        <f t="shared" ref="O643:O706" si="52">LEFT(J643,2)</f>
        <v>11</v>
      </c>
      <c r="P643" s="4" t="str">
        <f>LEFT(L643,1)</f>
        <v>C</v>
      </c>
      <c r="Q643" t="s">
        <v>20</v>
      </c>
    </row>
    <row r="644" spans="1:17" hidden="1" x14ac:dyDescent="0.25">
      <c r="A644">
        <v>833</v>
      </c>
      <c r="B644">
        <v>0</v>
      </c>
      <c r="C644">
        <v>3</v>
      </c>
      <c r="D644" t="s">
        <v>1163</v>
      </c>
      <c r="E644" s="4">
        <f>LEN(D644)</f>
        <v>14</v>
      </c>
      <c r="F644" t="s">
        <v>24</v>
      </c>
      <c r="H644">
        <v>0</v>
      </c>
      <c r="I644">
        <v>0</v>
      </c>
      <c r="J644">
        <v>2671</v>
      </c>
      <c r="K644">
        <v>7.2291999999999996</v>
      </c>
      <c r="M644" s="6" t="str">
        <f t="shared" si="51"/>
        <v/>
      </c>
      <c r="N644" s="7" t="str">
        <f t="shared" ref="N644:N707" si="53">IF(LEN(M644)&gt;1, M644+0,"")</f>
        <v/>
      </c>
      <c r="O644" t="str">
        <f t="shared" si="52"/>
        <v>26</v>
      </c>
      <c r="P644" s="4" t="str">
        <f>LEFT(L644,1)</f>
        <v/>
      </c>
      <c r="Q644" t="s">
        <v>17</v>
      </c>
    </row>
    <row r="645" spans="1:17" x14ac:dyDescent="0.25">
      <c r="A645">
        <v>499</v>
      </c>
      <c r="B645">
        <v>0</v>
      </c>
      <c r="C645">
        <v>1</v>
      </c>
      <c r="D645" t="s">
        <v>269</v>
      </c>
      <c r="E645" s="4">
        <f>LEN(D645)</f>
        <v>47</v>
      </c>
      <c r="F645" t="s">
        <v>14</v>
      </c>
      <c r="G645">
        <v>25</v>
      </c>
      <c r="H645">
        <v>1</v>
      </c>
      <c r="I645">
        <v>2</v>
      </c>
      <c r="J645">
        <v>113781</v>
      </c>
      <c r="K645">
        <v>151.55000000000001</v>
      </c>
      <c r="L645" t="s">
        <v>192</v>
      </c>
      <c r="M645" s="6" t="str">
        <f t="shared" si="51"/>
        <v xml:space="preserve">22 </v>
      </c>
      <c r="N645" s="7">
        <f t="shared" si="53"/>
        <v>22</v>
      </c>
      <c r="O645" t="str">
        <f t="shared" si="52"/>
        <v>11</v>
      </c>
      <c r="P645" s="4" t="str">
        <f>LEFT(L645,1)</f>
        <v>C</v>
      </c>
      <c r="Q645" t="s">
        <v>20</v>
      </c>
    </row>
    <row r="646" spans="1:17" hidden="1" x14ac:dyDescent="0.25">
      <c r="A646">
        <v>709</v>
      </c>
      <c r="B646">
        <v>1</v>
      </c>
      <c r="C646">
        <v>1</v>
      </c>
      <c r="D646" t="s">
        <v>359</v>
      </c>
      <c r="E646" s="4">
        <f>LEN(D646)</f>
        <v>20</v>
      </c>
      <c r="F646" t="s">
        <v>14</v>
      </c>
      <c r="G646">
        <v>22</v>
      </c>
      <c r="H646">
        <v>0</v>
      </c>
      <c r="I646">
        <v>0</v>
      </c>
      <c r="J646">
        <v>113781</v>
      </c>
      <c r="K646">
        <v>151.55000000000001</v>
      </c>
      <c r="M646" s="6" t="str">
        <f t="shared" si="51"/>
        <v/>
      </c>
      <c r="N646" s="7" t="str">
        <f t="shared" si="53"/>
        <v/>
      </c>
      <c r="O646" t="str">
        <f t="shared" si="52"/>
        <v>11</v>
      </c>
      <c r="P646" s="4" t="str">
        <f>LEFT(L646,1)</f>
        <v/>
      </c>
      <c r="Q646" t="s">
        <v>20</v>
      </c>
    </row>
    <row r="647" spans="1:17" x14ac:dyDescent="0.25">
      <c r="A647">
        <v>152</v>
      </c>
      <c r="B647">
        <v>1</v>
      </c>
      <c r="C647">
        <v>1</v>
      </c>
      <c r="D647" t="s">
        <v>113</v>
      </c>
      <c r="E647" s="4">
        <f>LEN(D647)</f>
        <v>33</v>
      </c>
      <c r="F647" t="s">
        <v>14</v>
      </c>
      <c r="G647">
        <v>22</v>
      </c>
      <c r="H647">
        <v>1</v>
      </c>
      <c r="I647">
        <v>0</v>
      </c>
      <c r="J647">
        <v>113776</v>
      </c>
      <c r="K647">
        <v>66.599999999999994</v>
      </c>
      <c r="L647" t="s">
        <v>114</v>
      </c>
      <c r="M647" s="6" t="str">
        <f t="shared" si="51"/>
        <v>2</v>
      </c>
      <c r="N647" s="7" t="str">
        <f t="shared" si="53"/>
        <v/>
      </c>
      <c r="O647" t="str">
        <f t="shared" si="52"/>
        <v>11</v>
      </c>
      <c r="P647" s="4" t="str">
        <f>LEFT(L647,1)</f>
        <v>C</v>
      </c>
      <c r="Q647" t="s">
        <v>20</v>
      </c>
    </row>
    <row r="648" spans="1:17" x14ac:dyDescent="0.25">
      <c r="A648">
        <v>337</v>
      </c>
      <c r="B648">
        <v>0</v>
      </c>
      <c r="C648">
        <v>1</v>
      </c>
      <c r="D648" t="s">
        <v>217</v>
      </c>
      <c r="E648" s="4">
        <f>LEN(D648)</f>
        <v>25</v>
      </c>
      <c r="F648" t="s">
        <v>24</v>
      </c>
      <c r="G648">
        <v>29</v>
      </c>
      <c r="H648">
        <v>1</v>
      </c>
      <c r="I648">
        <v>0</v>
      </c>
      <c r="J648">
        <v>113776</v>
      </c>
      <c r="K648">
        <v>66.599999999999994</v>
      </c>
      <c r="L648" t="s">
        <v>114</v>
      </c>
      <c r="M648" s="6" t="str">
        <f t="shared" si="51"/>
        <v>2</v>
      </c>
      <c r="N648" s="7" t="str">
        <f t="shared" si="53"/>
        <v/>
      </c>
      <c r="O648" t="str">
        <f t="shared" si="52"/>
        <v>11</v>
      </c>
      <c r="P648" s="4" t="str">
        <f>LEFT(L648,1)</f>
        <v>C</v>
      </c>
      <c r="Q648" t="s">
        <v>20</v>
      </c>
    </row>
    <row r="649" spans="1:17" x14ac:dyDescent="0.25">
      <c r="A649">
        <v>749</v>
      </c>
      <c r="B649">
        <v>0</v>
      </c>
      <c r="C649">
        <v>1</v>
      </c>
      <c r="D649" t="s">
        <v>375</v>
      </c>
      <c r="E649" s="4">
        <f>LEN(D649)</f>
        <v>25</v>
      </c>
      <c r="F649" t="s">
        <v>24</v>
      </c>
      <c r="G649">
        <v>19</v>
      </c>
      <c r="H649">
        <v>1</v>
      </c>
      <c r="I649">
        <v>0</v>
      </c>
      <c r="J649">
        <v>113773</v>
      </c>
      <c r="K649">
        <v>53.1</v>
      </c>
      <c r="L649" t="s">
        <v>376</v>
      </c>
      <c r="M649" s="6" t="str">
        <f t="shared" si="51"/>
        <v>30</v>
      </c>
      <c r="N649" s="7">
        <f t="shared" si="53"/>
        <v>30</v>
      </c>
      <c r="O649" t="str">
        <f t="shared" si="52"/>
        <v>11</v>
      </c>
      <c r="P649" s="4" t="str">
        <f>LEFT(L649,1)</f>
        <v>D</v>
      </c>
      <c r="Q649" t="s">
        <v>20</v>
      </c>
    </row>
    <row r="650" spans="1:17" x14ac:dyDescent="0.25">
      <c r="A650">
        <v>186</v>
      </c>
      <c r="B650">
        <v>0</v>
      </c>
      <c r="C650">
        <v>1</v>
      </c>
      <c r="D650" t="s">
        <v>89</v>
      </c>
      <c r="E650" s="4">
        <f>LEN(D650)</f>
        <v>21</v>
      </c>
      <c r="F650" t="s">
        <v>24</v>
      </c>
      <c r="H650">
        <v>0</v>
      </c>
      <c r="I650">
        <v>0</v>
      </c>
      <c r="J650">
        <v>113767</v>
      </c>
      <c r="K650">
        <v>50</v>
      </c>
      <c r="L650" t="s">
        <v>90</v>
      </c>
      <c r="M650" s="6" t="str">
        <f t="shared" si="51"/>
        <v>32</v>
      </c>
      <c r="N650" s="7">
        <f t="shared" si="53"/>
        <v>32</v>
      </c>
      <c r="O650" t="str">
        <f t="shared" si="52"/>
        <v>11</v>
      </c>
      <c r="P650" s="4" t="str">
        <f>LEFT(L650,1)</f>
        <v>A</v>
      </c>
      <c r="Q650" t="s">
        <v>20</v>
      </c>
    </row>
    <row r="651" spans="1:17" x14ac:dyDescent="0.25">
      <c r="A651">
        <v>391</v>
      </c>
      <c r="B651">
        <v>1</v>
      </c>
      <c r="C651">
        <v>1</v>
      </c>
      <c r="D651" t="s">
        <v>235</v>
      </c>
      <c r="E651" s="4">
        <f>LEN(D651)</f>
        <v>26</v>
      </c>
      <c r="F651" t="s">
        <v>24</v>
      </c>
      <c r="G651">
        <v>36</v>
      </c>
      <c r="H651">
        <v>1</v>
      </c>
      <c r="I651">
        <v>2</v>
      </c>
      <c r="J651">
        <v>113760</v>
      </c>
      <c r="K651">
        <v>120</v>
      </c>
      <c r="L651" t="s">
        <v>236</v>
      </c>
      <c r="M651" s="6" t="str">
        <f t="shared" si="51"/>
        <v xml:space="preserve">96 </v>
      </c>
      <c r="N651" s="7">
        <f t="shared" si="53"/>
        <v>96</v>
      </c>
      <c r="O651" t="str">
        <f t="shared" si="52"/>
        <v>11</v>
      </c>
      <c r="P651" s="4" t="str">
        <f>LEFT(L651,1)</f>
        <v>B</v>
      </c>
      <c r="Q651" t="s">
        <v>20</v>
      </c>
    </row>
    <row r="652" spans="1:17" x14ac:dyDescent="0.25">
      <c r="A652">
        <v>436</v>
      </c>
      <c r="B652">
        <v>1</v>
      </c>
      <c r="C652">
        <v>1</v>
      </c>
      <c r="D652" t="s">
        <v>242</v>
      </c>
      <c r="E652" s="4">
        <f>LEN(D652)</f>
        <v>25</v>
      </c>
      <c r="F652" t="s">
        <v>14</v>
      </c>
      <c r="G652">
        <v>14</v>
      </c>
      <c r="H652">
        <v>1</v>
      </c>
      <c r="I652">
        <v>2</v>
      </c>
      <c r="J652">
        <v>113760</v>
      </c>
      <c r="K652">
        <v>120</v>
      </c>
      <c r="L652" t="s">
        <v>236</v>
      </c>
      <c r="M652" s="6" t="str">
        <f t="shared" si="51"/>
        <v xml:space="preserve">96 </v>
      </c>
      <c r="N652" s="7">
        <f t="shared" si="53"/>
        <v>96</v>
      </c>
      <c r="O652" t="str">
        <f t="shared" si="52"/>
        <v>11</v>
      </c>
      <c r="P652" s="4" t="str">
        <f>LEFT(L652,1)</f>
        <v>B</v>
      </c>
      <c r="Q652" t="s">
        <v>20</v>
      </c>
    </row>
    <row r="653" spans="1:17" x14ac:dyDescent="0.25">
      <c r="A653">
        <v>764</v>
      </c>
      <c r="B653">
        <v>1</v>
      </c>
      <c r="C653">
        <v>1</v>
      </c>
      <c r="D653" t="s">
        <v>378</v>
      </c>
      <c r="E653" s="4">
        <f>LEN(D653)</f>
        <v>41</v>
      </c>
      <c r="F653" t="s">
        <v>14</v>
      </c>
      <c r="G653">
        <v>36</v>
      </c>
      <c r="H653">
        <v>1</v>
      </c>
      <c r="I653">
        <v>2</v>
      </c>
      <c r="J653">
        <v>113760</v>
      </c>
      <c r="K653">
        <v>120</v>
      </c>
      <c r="L653" t="s">
        <v>236</v>
      </c>
      <c r="M653" s="6" t="str">
        <f t="shared" si="51"/>
        <v xml:space="preserve">96 </v>
      </c>
      <c r="N653" s="7">
        <f t="shared" si="53"/>
        <v>96</v>
      </c>
      <c r="O653" t="str">
        <f t="shared" si="52"/>
        <v>11</v>
      </c>
      <c r="P653" s="4" t="str">
        <f>LEFT(L653,1)</f>
        <v>B</v>
      </c>
      <c r="Q653" t="s">
        <v>20</v>
      </c>
    </row>
    <row r="654" spans="1:17" x14ac:dyDescent="0.25">
      <c r="A654">
        <v>803</v>
      </c>
      <c r="B654">
        <v>1</v>
      </c>
      <c r="C654">
        <v>1</v>
      </c>
      <c r="D654" t="s">
        <v>390</v>
      </c>
      <c r="E654" s="4">
        <f>LEN(D654)</f>
        <v>35</v>
      </c>
      <c r="F654" t="s">
        <v>24</v>
      </c>
      <c r="G654">
        <v>11</v>
      </c>
      <c r="H654">
        <v>1</v>
      </c>
      <c r="I654">
        <v>2</v>
      </c>
      <c r="J654">
        <v>113760</v>
      </c>
      <c r="K654">
        <v>120</v>
      </c>
      <c r="L654" t="s">
        <v>236</v>
      </c>
      <c r="M654" s="6" t="str">
        <f t="shared" si="51"/>
        <v xml:space="preserve">96 </v>
      </c>
      <c r="N654" s="7">
        <f t="shared" si="53"/>
        <v>96</v>
      </c>
      <c r="O654" t="str">
        <f t="shared" si="52"/>
        <v>11</v>
      </c>
      <c r="P654" s="4" t="str">
        <f>LEFT(L654,1)</f>
        <v>B</v>
      </c>
      <c r="Q654" t="s">
        <v>20</v>
      </c>
    </row>
    <row r="655" spans="1:17" x14ac:dyDescent="0.25">
      <c r="A655">
        <v>253</v>
      </c>
      <c r="B655">
        <v>0</v>
      </c>
      <c r="C655">
        <v>1</v>
      </c>
      <c r="D655" t="s">
        <v>164</v>
      </c>
      <c r="E655" s="4">
        <f>LEN(D655)</f>
        <v>25</v>
      </c>
      <c r="F655" t="s">
        <v>24</v>
      </c>
      <c r="G655">
        <v>62</v>
      </c>
      <c r="H655">
        <v>0</v>
      </c>
      <c r="I655">
        <v>0</v>
      </c>
      <c r="J655">
        <v>113514</v>
      </c>
      <c r="K655">
        <v>26.55</v>
      </c>
      <c r="L655" t="s">
        <v>165</v>
      </c>
      <c r="M655" s="6" t="str">
        <f t="shared" si="51"/>
        <v>87</v>
      </c>
      <c r="N655" s="7">
        <f t="shared" si="53"/>
        <v>87</v>
      </c>
      <c r="O655" t="str">
        <f t="shared" si="52"/>
        <v>11</v>
      </c>
      <c r="P655" s="4" t="str">
        <f>LEFT(L655,1)</f>
        <v>C</v>
      </c>
      <c r="Q655" t="s">
        <v>20</v>
      </c>
    </row>
    <row r="656" spans="1:17" x14ac:dyDescent="0.25">
      <c r="A656">
        <v>352</v>
      </c>
      <c r="B656">
        <v>0</v>
      </c>
      <c r="C656">
        <v>1</v>
      </c>
      <c r="D656" t="s">
        <v>104</v>
      </c>
      <c r="E656" s="4">
        <f>LEN(D656)</f>
        <v>38</v>
      </c>
      <c r="F656" t="s">
        <v>24</v>
      </c>
      <c r="H656">
        <v>0</v>
      </c>
      <c r="I656">
        <v>0</v>
      </c>
      <c r="J656">
        <v>113510</v>
      </c>
      <c r="K656">
        <v>35</v>
      </c>
      <c r="L656" t="s">
        <v>105</v>
      </c>
      <c r="M656" s="6" t="str">
        <f t="shared" si="51"/>
        <v>128</v>
      </c>
      <c r="N656" s="7">
        <f t="shared" si="53"/>
        <v>128</v>
      </c>
      <c r="O656" t="str">
        <f t="shared" si="52"/>
        <v>11</v>
      </c>
      <c r="P656" s="4" t="str">
        <f>LEFT(L656,1)</f>
        <v>C</v>
      </c>
      <c r="Q656" t="s">
        <v>20</v>
      </c>
    </row>
    <row r="657" spans="1:17" x14ac:dyDescent="0.25">
      <c r="A657">
        <v>167</v>
      </c>
      <c r="B657">
        <v>1</v>
      </c>
      <c r="C657">
        <v>1</v>
      </c>
      <c r="D657" t="s">
        <v>69</v>
      </c>
      <c r="E657" s="4">
        <f>LEN(D657)</f>
        <v>38</v>
      </c>
      <c r="F657" t="s">
        <v>14</v>
      </c>
      <c r="H657">
        <v>0</v>
      </c>
      <c r="I657">
        <v>1</v>
      </c>
      <c r="J657">
        <v>113505</v>
      </c>
      <c r="K657">
        <v>55</v>
      </c>
      <c r="L657" t="s">
        <v>70</v>
      </c>
      <c r="M657" s="6" t="str">
        <f t="shared" si="51"/>
        <v>33</v>
      </c>
      <c r="N657" s="7">
        <f t="shared" si="53"/>
        <v>33</v>
      </c>
      <c r="O657" t="str">
        <f t="shared" si="52"/>
        <v>11</v>
      </c>
      <c r="P657" s="4" t="str">
        <f>LEFT(L657,1)</f>
        <v>E</v>
      </c>
      <c r="Q657" t="s">
        <v>20</v>
      </c>
    </row>
    <row r="658" spans="1:17" x14ac:dyDescent="0.25">
      <c r="A658">
        <v>357</v>
      </c>
      <c r="B658">
        <v>1</v>
      </c>
      <c r="C658">
        <v>1</v>
      </c>
      <c r="D658" t="s">
        <v>222</v>
      </c>
      <c r="E658" s="4">
        <f>LEN(D658)</f>
        <v>27</v>
      </c>
      <c r="F658" t="s">
        <v>14</v>
      </c>
      <c r="G658">
        <v>22</v>
      </c>
      <c r="H658">
        <v>0</v>
      </c>
      <c r="I658">
        <v>1</v>
      </c>
      <c r="J658">
        <v>113505</v>
      </c>
      <c r="K658">
        <v>55</v>
      </c>
      <c r="L658" t="s">
        <v>70</v>
      </c>
      <c r="M658" s="6" t="str">
        <f t="shared" si="51"/>
        <v>33</v>
      </c>
      <c r="N658" s="7">
        <f t="shared" si="53"/>
        <v>33</v>
      </c>
      <c r="O658" t="str">
        <f t="shared" si="52"/>
        <v>11</v>
      </c>
      <c r="P658" s="4" t="str">
        <f>LEFT(L658,1)</f>
        <v>E</v>
      </c>
      <c r="Q658" t="s">
        <v>20</v>
      </c>
    </row>
    <row r="659" spans="1:17" x14ac:dyDescent="0.25">
      <c r="A659">
        <v>783</v>
      </c>
      <c r="B659">
        <v>0</v>
      </c>
      <c r="C659">
        <v>1</v>
      </c>
      <c r="D659" t="s">
        <v>384</v>
      </c>
      <c r="E659" s="4">
        <f>LEN(D659)</f>
        <v>22</v>
      </c>
      <c r="F659" t="s">
        <v>24</v>
      </c>
      <c r="G659">
        <v>29</v>
      </c>
      <c r="H659">
        <v>0</v>
      </c>
      <c r="I659">
        <v>0</v>
      </c>
      <c r="J659">
        <v>113501</v>
      </c>
      <c r="K659">
        <v>30</v>
      </c>
      <c r="L659" t="s">
        <v>385</v>
      </c>
      <c r="M659" s="6" t="str">
        <f t="shared" si="51"/>
        <v>6</v>
      </c>
      <c r="N659" s="7" t="str">
        <f t="shared" si="53"/>
        <v/>
      </c>
      <c r="O659" t="str">
        <f t="shared" si="52"/>
        <v>11</v>
      </c>
      <c r="P659" s="4" t="str">
        <f>LEFT(L659,1)</f>
        <v>D</v>
      </c>
      <c r="Q659" t="s">
        <v>20</v>
      </c>
    </row>
    <row r="660" spans="1:17" hidden="1" x14ac:dyDescent="0.25">
      <c r="A660">
        <v>84</v>
      </c>
      <c r="B660">
        <v>0</v>
      </c>
      <c r="C660">
        <v>1</v>
      </c>
      <c r="D660" t="s">
        <v>73</v>
      </c>
      <c r="E660" s="4">
        <f>LEN(D660)</f>
        <v>23</v>
      </c>
      <c r="F660" t="s">
        <v>24</v>
      </c>
      <c r="G660">
        <v>28</v>
      </c>
      <c r="H660">
        <v>0</v>
      </c>
      <c r="I660">
        <v>0</v>
      </c>
      <c r="J660">
        <v>113059</v>
      </c>
      <c r="K660">
        <v>47.1</v>
      </c>
      <c r="M660" s="6" t="str">
        <f t="shared" si="51"/>
        <v/>
      </c>
      <c r="N660" s="7" t="str">
        <f t="shared" si="53"/>
        <v/>
      </c>
      <c r="O660" t="str">
        <f t="shared" si="52"/>
        <v>11</v>
      </c>
      <c r="P660" s="4" t="str">
        <f>LEFT(L660,1)</f>
        <v/>
      </c>
      <c r="Q660" t="s">
        <v>20</v>
      </c>
    </row>
    <row r="661" spans="1:17" x14ac:dyDescent="0.25">
      <c r="A661">
        <v>285</v>
      </c>
      <c r="B661">
        <v>0</v>
      </c>
      <c r="C661">
        <v>1</v>
      </c>
      <c r="D661" t="s">
        <v>140</v>
      </c>
      <c r="E661" s="4">
        <f>LEN(D661)</f>
        <v>26</v>
      </c>
      <c r="F661" t="s">
        <v>24</v>
      </c>
      <c r="H661">
        <v>0</v>
      </c>
      <c r="I661">
        <v>0</v>
      </c>
      <c r="J661">
        <v>113056</v>
      </c>
      <c r="K661">
        <v>26</v>
      </c>
      <c r="L661" t="s">
        <v>141</v>
      </c>
      <c r="M661" s="6" t="str">
        <f t="shared" si="51"/>
        <v>19</v>
      </c>
      <c r="N661" s="7">
        <f t="shared" si="53"/>
        <v>19</v>
      </c>
      <c r="O661" t="str">
        <f t="shared" si="52"/>
        <v>11</v>
      </c>
      <c r="P661" s="4" t="str">
        <f>LEFT(L661,1)</f>
        <v>A</v>
      </c>
      <c r="Q661" t="s">
        <v>20</v>
      </c>
    </row>
    <row r="662" spans="1:17" x14ac:dyDescent="0.25">
      <c r="A662">
        <v>858</v>
      </c>
      <c r="B662">
        <v>1</v>
      </c>
      <c r="C662">
        <v>1</v>
      </c>
      <c r="D662" t="s">
        <v>406</v>
      </c>
      <c r="E662" s="4">
        <f>LEN(D662)</f>
        <v>22</v>
      </c>
      <c r="F662" t="s">
        <v>24</v>
      </c>
      <c r="G662">
        <v>51</v>
      </c>
      <c r="H662">
        <v>0</v>
      </c>
      <c r="I662">
        <v>0</v>
      </c>
      <c r="J662">
        <v>113055</v>
      </c>
      <c r="K662">
        <v>26.55</v>
      </c>
      <c r="L662" t="s">
        <v>407</v>
      </c>
      <c r="M662" s="6" t="str">
        <f t="shared" si="51"/>
        <v>17</v>
      </c>
      <c r="N662" s="7">
        <f t="shared" si="53"/>
        <v>17</v>
      </c>
      <c r="O662" t="str">
        <f t="shared" si="52"/>
        <v>11</v>
      </c>
      <c r="P662" s="4" t="str">
        <f>LEFT(L662,1)</f>
        <v>E</v>
      </c>
      <c r="Q662" t="s">
        <v>20</v>
      </c>
    </row>
    <row r="663" spans="1:17" x14ac:dyDescent="0.25">
      <c r="A663">
        <v>537</v>
      </c>
      <c r="B663">
        <v>0</v>
      </c>
      <c r="C663">
        <v>1</v>
      </c>
      <c r="D663" t="s">
        <v>283</v>
      </c>
      <c r="E663" s="4">
        <f>LEN(D663)</f>
        <v>33</v>
      </c>
      <c r="F663" t="s">
        <v>24</v>
      </c>
      <c r="G663">
        <v>45</v>
      </c>
      <c r="H663">
        <v>0</v>
      </c>
      <c r="I663">
        <v>0</v>
      </c>
      <c r="J663">
        <v>113050</v>
      </c>
      <c r="K663">
        <v>26.55</v>
      </c>
      <c r="L663" t="s">
        <v>284</v>
      </c>
      <c r="M663" s="6" t="str">
        <f t="shared" si="51"/>
        <v>38</v>
      </c>
      <c r="N663" s="7">
        <f t="shared" si="53"/>
        <v>38</v>
      </c>
      <c r="O663" t="str">
        <f t="shared" si="52"/>
        <v>11</v>
      </c>
      <c r="P663" s="4" t="str">
        <f>LEFT(L663,1)</f>
        <v>B</v>
      </c>
      <c r="Q663" t="s">
        <v>20</v>
      </c>
    </row>
    <row r="664" spans="1:17" hidden="1" x14ac:dyDescent="0.25">
      <c r="A664">
        <v>61</v>
      </c>
      <c r="B664">
        <v>0</v>
      </c>
      <c r="C664">
        <v>3</v>
      </c>
      <c r="D664" t="s">
        <v>694</v>
      </c>
      <c r="E664" s="4">
        <f>LEN(D664)</f>
        <v>21</v>
      </c>
      <c r="F664" t="s">
        <v>24</v>
      </c>
      <c r="G664">
        <v>22</v>
      </c>
      <c r="H664">
        <v>0</v>
      </c>
      <c r="I664">
        <v>0</v>
      </c>
      <c r="J664">
        <v>2669</v>
      </c>
      <c r="K664">
        <v>7.2291999999999996</v>
      </c>
      <c r="M664" s="6" t="str">
        <f t="shared" si="51"/>
        <v/>
      </c>
      <c r="N664" s="7" t="str">
        <f t="shared" si="53"/>
        <v/>
      </c>
      <c r="O664" t="str">
        <f t="shared" si="52"/>
        <v>26</v>
      </c>
      <c r="P664" s="4" t="str">
        <f>LEFT(L664,1)</f>
        <v/>
      </c>
      <c r="Q664" t="s">
        <v>17</v>
      </c>
    </row>
    <row r="665" spans="1:17" x14ac:dyDescent="0.25">
      <c r="A665">
        <v>332</v>
      </c>
      <c r="B665">
        <v>0</v>
      </c>
      <c r="C665">
        <v>1</v>
      </c>
      <c r="D665" t="s">
        <v>214</v>
      </c>
      <c r="E665" s="4">
        <f>LEN(D665)</f>
        <v>19</v>
      </c>
      <c r="F665" t="s">
        <v>24</v>
      </c>
      <c r="G665">
        <v>45.5</v>
      </c>
      <c r="H665">
        <v>0</v>
      </c>
      <c r="I665">
        <v>0</v>
      </c>
      <c r="J665">
        <v>113043</v>
      </c>
      <c r="K665">
        <v>28.5</v>
      </c>
      <c r="L665" t="s">
        <v>138</v>
      </c>
      <c r="M665" s="6" t="str">
        <f t="shared" si="51"/>
        <v>124</v>
      </c>
      <c r="N665" s="7">
        <f t="shared" si="53"/>
        <v>124</v>
      </c>
      <c r="O665" t="str">
        <f t="shared" si="52"/>
        <v>11</v>
      </c>
      <c r="P665" s="4" t="str">
        <f>LEFT(L665,1)</f>
        <v>C</v>
      </c>
      <c r="Q665" t="s">
        <v>20</v>
      </c>
    </row>
    <row r="666" spans="1:17" x14ac:dyDescent="0.25">
      <c r="A666">
        <v>712</v>
      </c>
      <c r="B666">
        <v>0</v>
      </c>
      <c r="C666">
        <v>1</v>
      </c>
      <c r="D666" t="s">
        <v>137</v>
      </c>
      <c r="E666" s="4">
        <f>LEN(D666)</f>
        <v>18</v>
      </c>
      <c r="F666" t="s">
        <v>24</v>
      </c>
      <c r="H666">
        <v>0</v>
      </c>
      <c r="I666">
        <v>0</v>
      </c>
      <c r="J666">
        <v>113028</v>
      </c>
      <c r="K666">
        <v>26.55</v>
      </c>
      <c r="L666" t="s">
        <v>138</v>
      </c>
      <c r="M666" s="6" t="str">
        <f t="shared" si="51"/>
        <v>124</v>
      </c>
      <c r="N666" s="7">
        <f t="shared" si="53"/>
        <v>124</v>
      </c>
      <c r="O666" t="str">
        <f t="shared" si="52"/>
        <v>11</v>
      </c>
      <c r="P666" s="4" t="str">
        <f>LEFT(L666,1)</f>
        <v>C</v>
      </c>
      <c r="Q666" t="s">
        <v>20</v>
      </c>
    </row>
    <row r="667" spans="1:17" x14ac:dyDescent="0.25">
      <c r="A667">
        <v>264</v>
      </c>
      <c r="B667">
        <v>0</v>
      </c>
      <c r="C667">
        <v>1</v>
      </c>
      <c r="D667" t="s">
        <v>172</v>
      </c>
      <c r="E667" s="4">
        <f>LEN(D667)</f>
        <v>21</v>
      </c>
      <c r="F667" t="s">
        <v>24</v>
      </c>
      <c r="G667">
        <v>40</v>
      </c>
      <c r="H667">
        <v>0</v>
      </c>
      <c r="I667">
        <v>0</v>
      </c>
      <c r="J667">
        <v>112059</v>
      </c>
      <c r="K667">
        <v>0</v>
      </c>
      <c r="L667" t="s">
        <v>173</v>
      </c>
      <c r="M667" s="6" t="str">
        <f t="shared" si="51"/>
        <v>94</v>
      </c>
      <c r="N667" s="7">
        <f t="shared" si="53"/>
        <v>94</v>
      </c>
      <c r="O667" t="str">
        <f t="shared" si="52"/>
        <v>11</v>
      </c>
      <c r="P667" s="4" t="str">
        <f>LEFT(L667,1)</f>
        <v>B</v>
      </c>
      <c r="Q667" t="s">
        <v>20</v>
      </c>
    </row>
    <row r="668" spans="1:17" x14ac:dyDescent="0.25">
      <c r="A668">
        <v>816</v>
      </c>
      <c r="B668">
        <v>0</v>
      </c>
      <c r="C668">
        <v>1</v>
      </c>
      <c r="D668" t="s">
        <v>419</v>
      </c>
      <c r="E668" s="4">
        <f>LEN(D668)</f>
        <v>16</v>
      </c>
      <c r="F668" t="s">
        <v>24</v>
      </c>
      <c r="H668">
        <v>0</v>
      </c>
      <c r="I668">
        <v>0</v>
      </c>
      <c r="J668">
        <v>112058</v>
      </c>
      <c r="K668">
        <v>0</v>
      </c>
      <c r="L668" t="s">
        <v>420</v>
      </c>
      <c r="M668" s="6" t="str">
        <f t="shared" si="51"/>
        <v>102</v>
      </c>
      <c r="N668" s="7">
        <f t="shared" si="53"/>
        <v>102</v>
      </c>
      <c r="O668" t="str">
        <f t="shared" si="52"/>
        <v>11</v>
      </c>
      <c r="P668" s="4" t="str">
        <f>LEFT(L668,1)</f>
        <v>B</v>
      </c>
      <c r="Q668" t="s">
        <v>20</v>
      </c>
    </row>
    <row r="669" spans="1:17" x14ac:dyDescent="0.25">
      <c r="A669">
        <v>888</v>
      </c>
      <c r="B669">
        <v>1</v>
      </c>
      <c r="C669">
        <v>1</v>
      </c>
      <c r="D669" t="s">
        <v>417</v>
      </c>
      <c r="E669" s="4">
        <f>LEN(D669)</f>
        <v>28</v>
      </c>
      <c r="F669" t="s">
        <v>14</v>
      </c>
      <c r="G669">
        <v>19</v>
      </c>
      <c r="H669">
        <v>0</v>
      </c>
      <c r="I669">
        <v>0</v>
      </c>
      <c r="J669">
        <v>112053</v>
      </c>
      <c r="K669">
        <v>30</v>
      </c>
      <c r="L669" t="s">
        <v>418</v>
      </c>
      <c r="M669" s="6" t="str">
        <f t="shared" si="51"/>
        <v>42</v>
      </c>
      <c r="N669" s="7">
        <f t="shared" si="53"/>
        <v>42</v>
      </c>
      <c r="O669" t="str">
        <f t="shared" si="52"/>
        <v>11</v>
      </c>
      <c r="P669" s="4" t="str">
        <f>LEFT(L669,1)</f>
        <v>B</v>
      </c>
      <c r="Q669" t="s">
        <v>20</v>
      </c>
    </row>
    <row r="670" spans="1:17" hidden="1" x14ac:dyDescent="0.25">
      <c r="A670">
        <v>634</v>
      </c>
      <c r="B670">
        <v>0</v>
      </c>
      <c r="C670">
        <v>1</v>
      </c>
      <c r="D670" t="s">
        <v>409</v>
      </c>
      <c r="E670" s="4">
        <f>LEN(D670)</f>
        <v>29</v>
      </c>
      <c r="F670" t="s">
        <v>24</v>
      </c>
      <c r="H670">
        <v>0</v>
      </c>
      <c r="I670">
        <v>0</v>
      </c>
      <c r="J670">
        <v>112052</v>
      </c>
      <c r="K670">
        <v>0</v>
      </c>
      <c r="M670" s="6" t="str">
        <f t="shared" si="51"/>
        <v/>
      </c>
      <c r="N670" s="7" t="str">
        <f t="shared" si="53"/>
        <v/>
      </c>
      <c r="O670" t="str">
        <f t="shared" si="52"/>
        <v>11</v>
      </c>
      <c r="P670" s="4" t="str">
        <f>LEFT(L670,1)</f>
        <v/>
      </c>
      <c r="Q670" t="s">
        <v>20</v>
      </c>
    </row>
    <row r="671" spans="1:17" x14ac:dyDescent="0.25">
      <c r="A671">
        <v>807</v>
      </c>
      <c r="B671">
        <v>0</v>
      </c>
      <c r="C671">
        <v>1</v>
      </c>
      <c r="D671" t="s">
        <v>391</v>
      </c>
      <c r="E671" s="4">
        <f>LEN(D671)</f>
        <v>22</v>
      </c>
      <c r="F671" t="s">
        <v>24</v>
      </c>
      <c r="G671">
        <v>39</v>
      </c>
      <c r="H671">
        <v>0</v>
      </c>
      <c r="I671">
        <v>0</v>
      </c>
      <c r="J671">
        <v>112050</v>
      </c>
      <c r="K671">
        <v>0</v>
      </c>
      <c r="L671" t="s">
        <v>392</v>
      </c>
      <c r="M671" s="6" t="str">
        <f t="shared" si="51"/>
        <v>36</v>
      </c>
      <c r="N671" s="7">
        <f t="shared" si="53"/>
        <v>36</v>
      </c>
      <c r="O671" t="str">
        <f t="shared" si="52"/>
        <v>11</v>
      </c>
      <c r="P671" s="4" t="str">
        <f>LEFT(L671,1)</f>
        <v>A</v>
      </c>
      <c r="Q671" t="s">
        <v>20</v>
      </c>
    </row>
    <row r="672" spans="1:17" hidden="1" x14ac:dyDescent="0.25">
      <c r="A672">
        <v>188</v>
      </c>
      <c r="B672">
        <v>1</v>
      </c>
      <c r="C672">
        <v>1</v>
      </c>
      <c r="D672" t="s">
        <v>144</v>
      </c>
      <c r="E672" s="4">
        <f>LEN(D672)</f>
        <v>45</v>
      </c>
      <c r="F672" t="s">
        <v>24</v>
      </c>
      <c r="G672">
        <v>45</v>
      </c>
      <c r="H672">
        <v>0</v>
      </c>
      <c r="I672">
        <v>0</v>
      </c>
      <c r="J672">
        <v>111428</v>
      </c>
      <c r="K672">
        <v>26.55</v>
      </c>
      <c r="M672" s="6" t="str">
        <f t="shared" si="51"/>
        <v/>
      </c>
      <c r="N672" s="7" t="str">
        <f t="shared" si="53"/>
        <v/>
      </c>
      <c r="O672" t="str">
        <f t="shared" si="52"/>
        <v>11</v>
      </c>
      <c r="P672" s="4" t="str">
        <f>LEFT(L672,1)</f>
        <v/>
      </c>
      <c r="Q672" t="s">
        <v>20</v>
      </c>
    </row>
    <row r="673" spans="1:17" hidden="1" x14ac:dyDescent="0.25">
      <c r="A673">
        <v>508</v>
      </c>
      <c r="B673">
        <v>1</v>
      </c>
      <c r="C673">
        <v>1</v>
      </c>
      <c r="D673" t="s">
        <v>139</v>
      </c>
      <c r="E673" s="4">
        <f>LEN(D673)</f>
        <v>45</v>
      </c>
      <c r="F673" t="s">
        <v>24</v>
      </c>
      <c r="H673">
        <v>0</v>
      </c>
      <c r="I673">
        <v>0</v>
      </c>
      <c r="J673">
        <v>111427</v>
      </c>
      <c r="K673">
        <v>26.55</v>
      </c>
      <c r="M673" s="6" t="str">
        <f t="shared" si="51"/>
        <v/>
      </c>
      <c r="N673" s="7" t="str">
        <f t="shared" si="53"/>
        <v/>
      </c>
      <c r="O673" t="str">
        <f t="shared" si="52"/>
        <v>11</v>
      </c>
      <c r="P673" s="4" t="str">
        <f>LEFT(L673,1)</f>
        <v/>
      </c>
      <c r="Q673" t="s">
        <v>20</v>
      </c>
    </row>
    <row r="674" spans="1:17" hidden="1" x14ac:dyDescent="0.25">
      <c r="A674">
        <v>502</v>
      </c>
      <c r="B674">
        <v>0</v>
      </c>
      <c r="C674">
        <v>3</v>
      </c>
      <c r="D674" t="s">
        <v>989</v>
      </c>
      <c r="E674" s="4">
        <f>LEN(D674)</f>
        <v>19</v>
      </c>
      <c r="F674" t="s">
        <v>14</v>
      </c>
      <c r="G674">
        <v>21</v>
      </c>
      <c r="H674">
        <v>0</v>
      </c>
      <c r="I674">
        <v>0</v>
      </c>
      <c r="J674">
        <v>364846</v>
      </c>
      <c r="K674">
        <v>7.75</v>
      </c>
      <c r="M674" s="6" t="str">
        <f t="shared" si="51"/>
        <v/>
      </c>
      <c r="N674" s="7" t="str">
        <f t="shared" si="53"/>
        <v/>
      </c>
      <c r="O674" t="str">
        <f t="shared" si="52"/>
        <v>36</v>
      </c>
      <c r="P674" s="4" t="str">
        <f>LEFT(L674,1)</f>
        <v/>
      </c>
      <c r="Q674" t="s">
        <v>161</v>
      </c>
    </row>
    <row r="675" spans="1:17" x14ac:dyDescent="0.25">
      <c r="A675">
        <v>463</v>
      </c>
      <c r="B675">
        <v>0</v>
      </c>
      <c r="C675">
        <v>1</v>
      </c>
      <c r="D675" t="s">
        <v>256</v>
      </c>
      <c r="E675" s="4">
        <f>LEN(D675)</f>
        <v>17</v>
      </c>
      <c r="F675" t="s">
        <v>24</v>
      </c>
      <c r="G675">
        <v>47</v>
      </c>
      <c r="H675">
        <v>0</v>
      </c>
      <c r="I675">
        <v>0</v>
      </c>
      <c r="J675">
        <v>111320</v>
      </c>
      <c r="K675">
        <v>38.5</v>
      </c>
      <c r="L675" t="s">
        <v>257</v>
      </c>
      <c r="M675" s="6" t="str">
        <f t="shared" si="51"/>
        <v>63</v>
      </c>
      <c r="N675" s="7">
        <f t="shared" si="53"/>
        <v>63</v>
      </c>
      <c r="O675" t="str">
        <f t="shared" si="52"/>
        <v>11</v>
      </c>
      <c r="P675" s="4" t="str">
        <f>LEFT(L675,1)</f>
        <v>E</v>
      </c>
      <c r="Q675" t="s">
        <v>20</v>
      </c>
    </row>
    <row r="676" spans="1:17" x14ac:dyDescent="0.25">
      <c r="A676">
        <v>171</v>
      </c>
      <c r="B676">
        <v>0</v>
      </c>
      <c r="C676">
        <v>1</v>
      </c>
      <c r="D676" t="s">
        <v>128</v>
      </c>
      <c r="E676" s="4">
        <f>LEN(D676)</f>
        <v>25</v>
      </c>
      <c r="F676" t="s">
        <v>24</v>
      </c>
      <c r="G676">
        <v>61</v>
      </c>
      <c r="H676">
        <v>0</v>
      </c>
      <c r="I676">
        <v>0</v>
      </c>
      <c r="J676">
        <v>111240</v>
      </c>
      <c r="K676">
        <v>33.5</v>
      </c>
      <c r="L676" t="s">
        <v>129</v>
      </c>
      <c r="M676" s="6" t="str">
        <f t="shared" si="51"/>
        <v>19</v>
      </c>
      <c r="N676" s="7">
        <f t="shared" si="53"/>
        <v>19</v>
      </c>
      <c r="O676" t="str">
        <f t="shared" si="52"/>
        <v>11</v>
      </c>
      <c r="P676" s="4" t="str">
        <f>LEFT(L676,1)</f>
        <v>B</v>
      </c>
      <c r="Q676" t="s">
        <v>20</v>
      </c>
    </row>
    <row r="677" spans="1:17" x14ac:dyDescent="0.25">
      <c r="A677">
        <v>431</v>
      </c>
      <c r="B677">
        <v>1</v>
      </c>
      <c r="C677">
        <v>1</v>
      </c>
      <c r="D677" t="s">
        <v>239</v>
      </c>
      <c r="E677" s="4">
        <f>LEN(D677)</f>
        <v>41</v>
      </c>
      <c r="F677" t="s">
        <v>24</v>
      </c>
      <c r="G677">
        <v>28</v>
      </c>
      <c r="H677">
        <v>0</v>
      </c>
      <c r="I677">
        <v>0</v>
      </c>
      <c r="J677">
        <v>110564</v>
      </c>
      <c r="K677">
        <v>26.55</v>
      </c>
      <c r="L677" t="s">
        <v>102</v>
      </c>
      <c r="M677" s="6" t="str">
        <f t="shared" si="51"/>
        <v>52</v>
      </c>
      <c r="N677" s="7">
        <f t="shared" si="53"/>
        <v>52</v>
      </c>
      <c r="O677" t="str">
        <f t="shared" si="52"/>
        <v>11</v>
      </c>
      <c r="P677" s="4" t="str">
        <f>LEFT(L677,1)</f>
        <v>C</v>
      </c>
      <c r="Q677" t="s">
        <v>20</v>
      </c>
    </row>
    <row r="678" spans="1:17" x14ac:dyDescent="0.25">
      <c r="A678">
        <v>476</v>
      </c>
      <c r="B678">
        <v>0</v>
      </c>
      <c r="C678">
        <v>1</v>
      </c>
      <c r="D678" t="s">
        <v>74</v>
      </c>
      <c r="E678" s="4">
        <f>LEN(D678)</f>
        <v>27</v>
      </c>
      <c r="F678" t="s">
        <v>24</v>
      </c>
      <c r="H678">
        <v>0</v>
      </c>
      <c r="I678">
        <v>0</v>
      </c>
      <c r="J678">
        <v>110465</v>
      </c>
      <c r="K678">
        <v>52</v>
      </c>
      <c r="L678" t="s">
        <v>75</v>
      </c>
      <c r="M678" s="6" t="str">
        <f t="shared" si="51"/>
        <v>14</v>
      </c>
      <c r="N678" s="7">
        <f t="shared" si="53"/>
        <v>14</v>
      </c>
      <c r="O678" t="str">
        <f t="shared" si="52"/>
        <v>11</v>
      </c>
      <c r="P678" s="4" t="str">
        <f>LEFT(L678,1)</f>
        <v>A</v>
      </c>
      <c r="Q678" t="s">
        <v>20</v>
      </c>
    </row>
    <row r="679" spans="1:17" x14ac:dyDescent="0.25">
      <c r="A679">
        <v>111</v>
      </c>
      <c r="B679">
        <v>0</v>
      </c>
      <c r="C679">
        <v>1</v>
      </c>
      <c r="D679" t="s">
        <v>95</v>
      </c>
      <c r="E679" s="4">
        <f>LEN(D679)</f>
        <v>30</v>
      </c>
      <c r="F679" t="s">
        <v>24</v>
      </c>
      <c r="G679">
        <v>47</v>
      </c>
      <c r="H679">
        <v>0</v>
      </c>
      <c r="I679">
        <v>0</v>
      </c>
      <c r="J679">
        <v>110465</v>
      </c>
      <c r="K679">
        <v>52</v>
      </c>
      <c r="L679" t="s">
        <v>96</v>
      </c>
      <c r="M679" s="6" t="str">
        <f t="shared" si="51"/>
        <v>110</v>
      </c>
      <c r="N679" s="7">
        <f t="shared" si="53"/>
        <v>110</v>
      </c>
      <c r="O679" t="str">
        <f t="shared" si="52"/>
        <v>11</v>
      </c>
      <c r="P679" s="4" t="str">
        <f>LEFT(L679,1)</f>
        <v>C</v>
      </c>
      <c r="Q679" t="s">
        <v>20</v>
      </c>
    </row>
    <row r="680" spans="1:17" hidden="1" x14ac:dyDescent="0.25">
      <c r="A680">
        <v>511</v>
      </c>
      <c r="B680">
        <v>1</v>
      </c>
      <c r="C680">
        <v>3</v>
      </c>
      <c r="D680" t="s">
        <v>996</v>
      </c>
      <c r="E680" s="4">
        <f>LEN(D680)</f>
        <v>24</v>
      </c>
      <c r="F680" t="s">
        <v>24</v>
      </c>
      <c r="G680">
        <v>29</v>
      </c>
      <c r="H680">
        <v>0</v>
      </c>
      <c r="I680">
        <v>0</v>
      </c>
      <c r="J680">
        <v>382651</v>
      </c>
      <c r="K680">
        <v>7.75</v>
      </c>
      <c r="M680" s="6" t="str">
        <f t="shared" si="51"/>
        <v/>
      </c>
      <c r="N680" s="7" t="str">
        <f t="shared" si="53"/>
        <v/>
      </c>
      <c r="O680" t="str">
        <f t="shared" si="52"/>
        <v>38</v>
      </c>
      <c r="P680" s="4" t="str">
        <f>LEFT(L680,1)</f>
        <v/>
      </c>
      <c r="Q680" t="s">
        <v>161</v>
      </c>
    </row>
    <row r="681" spans="1:17" x14ac:dyDescent="0.25">
      <c r="A681">
        <v>263</v>
      </c>
      <c r="B681">
        <v>0</v>
      </c>
      <c r="C681">
        <v>1</v>
      </c>
      <c r="D681" t="s">
        <v>170</v>
      </c>
      <c r="E681" s="4">
        <f>LEN(D681)</f>
        <v>17</v>
      </c>
      <c r="F681" t="s">
        <v>24</v>
      </c>
      <c r="G681">
        <v>52</v>
      </c>
      <c r="H681">
        <v>1</v>
      </c>
      <c r="I681">
        <v>1</v>
      </c>
      <c r="J681">
        <v>110413</v>
      </c>
      <c r="K681">
        <v>79.650000000000006</v>
      </c>
      <c r="L681" t="s">
        <v>171</v>
      </c>
      <c r="M681" s="6" t="str">
        <f t="shared" si="51"/>
        <v>67</v>
      </c>
      <c r="N681" s="7">
        <f t="shared" si="53"/>
        <v>67</v>
      </c>
      <c r="O681" t="str">
        <f t="shared" si="52"/>
        <v>11</v>
      </c>
      <c r="P681" s="4" t="str">
        <f>LEFT(L681,1)</f>
        <v>E</v>
      </c>
      <c r="Q681" t="s">
        <v>20</v>
      </c>
    </row>
    <row r="682" spans="1:17" x14ac:dyDescent="0.25">
      <c r="A682">
        <v>559</v>
      </c>
      <c r="B682">
        <v>1</v>
      </c>
      <c r="C682">
        <v>1</v>
      </c>
      <c r="D682" t="s">
        <v>300</v>
      </c>
      <c r="E682" s="4">
        <f>LEN(D682)</f>
        <v>38</v>
      </c>
      <c r="F682" t="s">
        <v>14</v>
      </c>
      <c r="G682">
        <v>39</v>
      </c>
      <c r="H682">
        <v>1</v>
      </c>
      <c r="I682">
        <v>1</v>
      </c>
      <c r="J682">
        <v>110413</v>
      </c>
      <c r="K682">
        <v>79.650000000000006</v>
      </c>
      <c r="L682" t="s">
        <v>171</v>
      </c>
      <c r="M682" s="6" t="str">
        <f t="shared" si="51"/>
        <v>67</v>
      </c>
      <c r="N682" s="7">
        <f t="shared" si="53"/>
        <v>67</v>
      </c>
      <c r="O682" t="str">
        <f t="shared" si="52"/>
        <v>11</v>
      </c>
      <c r="P682" s="4" t="str">
        <f>LEFT(L682,1)</f>
        <v>E</v>
      </c>
      <c r="Q682" t="s">
        <v>20</v>
      </c>
    </row>
    <row r="683" spans="1:17" x14ac:dyDescent="0.25">
      <c r="A683">
        <v>129</v>
      </c>
      <c r="B683">
        <v>1</v>
      </c>
      <c r="C683">
        <v>3</v>
      </c>
      <c r="D683" t="s">
        <v>822</v>
      </c>
      <c r="E683" s="4">
        <f>LEN(D683)</f>
        <v>17</v>
      </c>
      <c r="F683" t="s">
        <v>14</v>
      </c>
      <c r="H683">
        <v>1</v>
      </c>
      <c r="I683">
        <v>1</v>
      </c>
      <c r="J683">
        <v>2668</v>
      </c>
      <c r="K683">
        <v>22.3583</v>
      </c>
      <c r="L683" t="s">
        <v>823</v>
      </c>
      <c r="M683" s="6" t="str">
        <f t="shared" si="51"/>
        <v xml:space="preserve"> E6</v>
      </c>
      <c r="N683" s="7" t="e">
        <f t="shared" si="53"/>
        <v>#VALUE!</v>
      </c>
      <c r="O683" t="str">
        <f t="shared" si="52"/>
        <v>26</v>
      </c>
      <c r="P683" s="4" t="str">
        <f>LEFT(L683,1)</f>
        <v>F</v>
      </c>
      <c r="Q683" t="s">
        <v>17</v>
      </c>
    </row>
    <row r="684" spans="1:17" x14ac:dyDescent="0.25">
      <c r="A684">
        <v>586</v>
      </c>
      <c r="B684">
        <v>1</v>
      </c>
      <c r="C684">
        <v>1</v>
      </c>
      <c r="D684" t="s">
        <v>310</v>
      </c>
      <c r="E684" s="4">
        <f>LEN(D684)</f>
        <v>19</v>
      </c>
      <c r="F684" t="s">
        <v>14</v>
      </c>
      <c r="G684">
        <v>18</v>
      </c>
      <c r="H684">
        <v>0</v>
      </c>
      <c r="I684">
        <v>2</v>
      </c>
      <c r="J684">
        <v>110413</v>
      </c>
      <c r="K684">
        <v>79.650000000000006</v>
      </c>
      <c r="L684" t="s">
        <v>311</v>
      </c>
      <c r="M684" s="6" t="str">
        <f t="shared" si="51"/>
        <v>68</v>
      </c>
      <c r="N684" s="7">
        <f t="shared" si="53"/>
        <v>68</v>
      </c>
      <c r="O684" t="str">
        <f t="shared" si="52"/>
        <v>11</v>
      </c>
      <c r="P684" s="4" t="str">
        <f>LEFT(L684,1)</f>
        <v>E</v>
      </c>
      <c r="Q684" t="s">
        <v>20</v>
      </c>
    </row>
    <row r="685" spans="1:17" x14ac:dyDescent="0.25">
      <c r="A685">
        <v>258</v>
      </c>
      <c r="B685">
        <v>1</v>
      </c>
      <c r="C685">
        <v>1</v>
      </c>
      <c r="D685" t="s">
        <v>166</v>
      </c>
      <c r="E685" s="4">
        <f>LEN(D685)</f>
        <v>20</v>
      </c>
      <c r="F685" t="s">
        <v>14</v>
      </c>
      <c r="G685">
        <v>30</v>
      </c>
      <c r="H685">
        <v>0</v>
      </c>
      <c r="I685">
        <v>0</v>
      </c>
      <c r="J685">
        <v>110152</v>
      </c>
      <c r="K685">
        <v>86.5</v>
      </c>
      <c r="L685" t="s">
        <v>167</v>
      </c>
      <c r="M685" s="6" t="str">
        <f t="shared" si="51"/>
        <v>77</v>
      </c>
      <c r="N685" s="7">
        <f t="shared" si="53"/>
        <v>77</v>
      </c>
      <c r="O685" t="str">
        <f t="shared" si="52"/>
        <v>11</v>
      </c>
      <c r="P685" s="4" t="str">
        <f>LEFT(L685,1)</f>
        <v>B</v>
      </c>
      <c r="Q685" t="s">
        <v>20</v>
      </c>
    </row>
    <row r="686" spans="1:17" x14ac:dyDescent="0.25">
      <c r="A686">
        <v>505</v>
      </c>
      <c r="B686">
        <v>1</v>
      </c>
      <c r="C686">
        <v>1</v>
      </c>
      <c r="D686" t="s">
        <v>270</v>
      </c>
      <c r="E686" s="4">
        <f>LEN(D686)</f>
        <v>21</v>
      </c>
      <c r="F686" t="s">
        <v>14</v>
      </c>
      <c r="G686">
        <v>16</v>
      </c>
      <c r="H686">
        <v>0</v>
      </c>
      <c r="I686">
        <v>0</v>
      </c>
      <c r="J686">
        <v>110152</v>
      </c>
      <c r="K686">
        <v>86.5</v>
      </c>
      <c r="L686" t="s">
        <v>271</v>
      </c>
      <c r="M686" s="6" t="str">
        <f t="shared" si="51"/>
        <v>79</v>
      </c>
      <c r="N686" s="7">
        <f t="shared" si="53"/>
        <v>79</v>
      </c>
      <c r="O686" t="str">
        <f t="shared" si="52"/>
        <v>11</v>
      </c>
      <c r="P686" s="4" t="str">
        <f>LEFT(L686,1)</f>
        <v>B</v>
      </c>
      <c r="Q686" t="s">
        <v>20</v>
      </c>
    </row>
    <row r="687" spans="1:17" x14ac:dyDescent="0.25">
      <c r="A687">
        <v>760</v>
      </c>
      <c r="B687">
        <v>1</v>
      </c>
      <c r="C687">
        <v>1</v>
      </c>
      <c r="D687" t="s">
        <v>377</v>
      </c>
      <c r="E687" s="4">
        <f>LEN(D687)</f>
        <v>56</v>
      </c>
      <c r="F687" t="s">
        <v>14</v>
      </c>
      <c r="G687">
        <v>33</v>
      </c>
      <c r="H687">
        <v>0</v>
      </c>
      <c r="I687">
        <v>0</v>
      </c>
      <c r="J687">
        <v>110152</v>
      </c>
      <c r="K687">
        <v>86.5</v>
      </c>
      <c r="L687" t="s">
        <v>167</v>
      </c>
      <c r="M687" s="6" t="str">
        <f t="shared" si="51"/>
        <v>77</v>
      </c>
      <c r="N687" s="7">
        <f t="shared" si="53"/>
        <v>77</v>
      </c>
      <c r="O687" t="str">
        <f t="shared" si="52"/>
        <v>11</v>
      </c>
      <c r="P687" s="4" t="str">
        <f>LEFT(L687,1)</f>
        <v>B</v>
      </c>
      <c r="Q687" t="s">
        <v>20</v>
      </c>
    </row>
    <row r="688" spans="1:17" hidden="1" x14ac:dyDescent="0.25">
      <c r="A688">
        <v>526</v>
      </c>
      <c r="B688">
        <v>0</v>
      </c>
      <c r="C688">
        <v>3</v>
      </c>
      <c r="D688" t="s">
        <v>1004</v>
      </c>
      <c r="E688" s="4">
        <f>LEN(D688)</f>
        <v>18</v>
      </c>
      <c r="F688" t="s">
        <v>24</v>
      </c>
      <c r="G688">
        <v>40.5</v>
      </c>
      <c r="H688">
        <v>0</v>
      </c>
      <c r="I688">
        <v>0</v>
      </c>
      <c r="J688">
        <v>367232</v>
      </c>
      <c r="K688">
        <v>7.75</v>
      </c>
      <c r="M688" s="6" t="str">
        <f t="shared" si="51"/>
        <v/>
      </c>
      <c r="N688" s="7" t="str">
        <f t="shared" si="53"/>
        <v/>
      </c>
      <c r="O688" t="str">
        <f t="shared" si="52"/>
        <v>36</v>
      </c>
      <c r="P688" s="4" t="str">
        <f>LEFT(L688,1)</f>
        <v/>
      </c>
      <c r="Q688" t="s">
        <v>161</v>
      </c>
    </row>
    <row r="689" spans="1:17" hidden="1" x14ac:dyDescent="0.25">
      <c r="A689">
        <v>445</v>
      </c>
      <c r="B689">
        <v>1</v>
      </c>
      <c r="C689">
        <v>3</v>
      </c>
      <c r="D689" t="s">
        <v>921</v>
      </c>
      <c r="E689" s="4">
        <f>LEN(D689)</f>
        <v>33</v>
      </c>
      <c r="F689" t="s">
        <v>24</v>
      </c>
      <c r="H689">
        <v>0</v>
      </c>
      <c r="I689">
        <v>0</v>
      </c>
      <c r="J689">
        <v>65306</v>
      </c>
      <c r="K689">
        <v>8.1125000000000007</v>
      </c>
      <c r="M689" s="6" t="str">
        <f t="shared" si="51"/>
        <v/>
      </c>
      <c r="N689" s="7" t="str">
        <f t="shared" si="53"/>
        <v/>
      </c>
      <c r="O689" t="str">
        <f t="shared" si="52"/>
        <v>65</v>
      </c>
      <c r="P689" s="4" t="str">
        <f>LEFT(L689,1)</f>
        <v/>
      </c>
      <c r="Q689" t="s">
        <v>20</v>
      </c>
    </row>
    <row r="690" spans="1:17" hidden="1" x14ac:dyDescent="0.25">
      <c r="A690">
        <v>491</v>
      </c>
      <c r="B690">
        <v>0</v>
      </c>
      <c r="C690">
        <v>3</v>
      </c>
      <c r="D690" t="s">
        <v>832</v>
      </c>
      <c r="E690" s="4">
        <f>LEN(D690)</f>
        <v>36</v>
      </c>
      <c r="F690" t="s">
        <v>24</v>
      </c>
      <c r="H690">
        <v>1</v>
      </c>
      <c r="I690">
        <v>0</v>
      </c>
      <c r="J690">
        <v>65304</v>
      </c>
      <c r="K690">
        <v>19.966699999999999</v>
      </c>
      <c r="M690" s="6" t="str">
        <f t="shared" si="51"/>
        <v/>
      </c>
      <c r="N690" s="7" t="str">
        <f t="shared" si="53"/>
        <v/>
      </c>
      <c r="O690" t="str">
        <f t="shared" si="52"/>
        <v>65</v>
      </c>
      <c r="P690" s="4" t="str">
        <f>LEFT(L690,1)</f>
        <v/>
      </c>
      <c r="Q690" t="s">
        <v>20</v>
      </c>
    </row>
    <row r="691" spans="1:17" hidden="1" x14ac:dyDescent="0.25">
      <c r="A691">
        <v>452</v>
      </c>
      <c r="B691">
        <v>0</v>
      </c>
      <c r="C691">
        <v>3</v>
      </c>
      <c r="D691" t="s">
        <v>830</v>
      </c>
      <c r="E691" s="4">
        <f>LEN(D691)</f>
        <v>31</v>
      </c>
      <c r="F691" t="s">
        <v>24</v>
      </c>
      <c r="H691">
        <v>1</v>
      </c>
      <c r="I691">
        <v>0</v>
      </c>
      <c r="J691">
        <v>65303</v>
      </c>
      <c r="K691">
        <v>19.966699999999999</v>
      </c>
      <c r="M691" s="6" t="str">
        <f t="shared" si="51"/>
        <v/>
      </c>
      <c r="N691" s="7" t="str">
        <f t="shared" si="53"/>
        <v/>
      </c>
      <c r="O691" t="str">
        <f t="shared" si="52"/>
        <v>65</v>
      </c>
      <c r="P691" s="4" t="str">
        <f>LEFT(L691,1)</f>
        <v/>
      </c>
      <c r="Q691" t="s">
        <v>20</v>
      </c>
    </row>
    <row r="692" spans="1:17" hidden="1" x14ac:dyDescent="0.25">
      <c r="A692">
        <v>534</v>
      </c>
      <c r="B692">
        <v>1</v>
      </c>
      <c r="C692">
        <v>3</v>
      </c>
      <c r="D692" t="s">
        <v>825</v>
      </c>
      <c r="E692" s="4">
        <f>LEN(D692)</f>
        <v>38</v>
      </c>
      <c r="F692" t="s">
        <v>14</v>
      </c>
      <c r="H692">
        <v>0</v>
      </c>
      <c r="I692">
        <v>2</v>
      </c>
      <c r="J692">
        <v>2668</v>
      </c>
      <c r="K692">
        <v>22.3583</v>
      </c>
      <c r="M692" s="6" t="str">
        <f t="shared" si="51"/>
        <v/>
      </c>
      <c r="N692" s="7" t="str">
        <f t="shared" si="53"/>
        <v/>
      </c>
      <c r="O692" t="str">
        <f t="shared" si="52"/>
        <v>26</v>
      </c>
      <c r="P692" s="4" t="str">
        <f>LEFT(L692,1)</f>
        <v/>
      </c>
      <c r="Q692" t="s">
        <v>17</v>
      </c>
    </row>
    <row r="693" spans="1:17" hidden="1" x14ac:dyDescent="0.25">
      <c r="A693">
        <v>625</v>
      </c>
      <c r="B693">
        <v>0</v>
      </c>
      <c r="C693">
        <v>3</v>
      </c>
      <c r="D693" t="s">
        <v>1066</v>
      </c>
      <c r="E693" s="4">
        <f>LEN(D693)</f>
        <v>27</v>
      </c>
      <c r="F693" t="s">
        <v>24</v>
      </c>
      <c r="G693">
        <v>21</v>
      </c>
      <c r="H693">
        <v>0</v>
      </c>
      <c r="I693">
        <v>0</v>
      </c>
      <c r="J693">
        <v>54636</v>
      </c>
      <c r="K693">
        <v>16.100000000000001</v>
      </c>
      <c r="M693" s="6" t="str">
        <f t="shared" si="51"/>
        <v/>
      </c>
      <c r="N693" s="7" t="str">
        <f t="shared" si="53"/>
        <v/>
      </c>
      <c r="O693" t="str">
        <f t="shared" si="52"/>
        <v>54</v>
      </c>
      <c r="P693" s="4" t="str">
        <f>LEFT(L693,1)</f>
        <v/>
      </c>
      <c r="Q693" t="s">
        <v>20</v>
      </c>
    </row>
    <row r="694" spans="1:17" hidden="1" x14ac:dyDescent="0.25">
      <c r="A694">
        <v>736</v>
      </c>
      <c r="B694">
        <v>0</v>
      </c>
      <c r="C694">
        <v>3</v>
      </c>
      <c r="D694" t="s">
        <v>1135</v>
      </c>
      <c r="E694" s="4">
        <f>LEN(D694)</f>
        <v>20</v>
      </c>
      <c r="F694" t="s">
        <v>24</v>
      </c>
      <c r="G694">
        <v>28.5</v>
      </c>
      <c r="H694">
        <v>0</v>
      </c>
      <c r="I694">
        <v>0</v>
      </c>
      <c r="J694">
        <v>54636</v>
      </c>
      <c r="K694">
        <v>16.100000000000001</v>
      </c>
      <c r="M694" s="6" t="str">
        <f t="shared" si="51"/>
        <v/>
      </c>
      <c r="N694" s="7" t="str">
        <f t="shared" si="53"/>
        <v/>
      </c>
      <c r="O694" t="str">
        <f t="shared" si="52"/>
        <v>54</v>
      </c>
      <c r="P694" s="4" t="str">
        <f>LEFT(L694,1)</f>
        <v/>
      </c>
      <c r="Q694" t="s">
        <v>20</v>
      </c>
    </row>
    <row r="695" spans="1:17" x14ac:dyDescent="0.25">
      <c r="A695">
        <v>63</v>
      </c>
      <c r="B695">
        <v>0</v>
      </c>
      <c r="C695">
        <v>1</v>
      </c>
      <c r="D695" t="s">
        <v>67</v>
      </c>
      <c r="E695" s="4">
        <f>LEN(D695)</f>
        <v>27</v>
      </c>
      <c r="F695" t="s">
        <v>24</v>
      </c>
      <c r="G695">
        <v>45</v>
      </c>
      <c r="H695">
        <v>1</v>
      </c>
      <c r="I695">
        <v>0</v>
      </c>
      <c r="J695">
        <v>36973</v>
      </c>
      <c r="K695">
        <v>83.474999999999994</v>
      </c>
      <c r="L695" t="s">
        <v>68</v>
      </c>
      <c r="M695" s="6" t="str">
        <f t="shared" si="51"/>
        <v>83</v>
      </c>
      <c r="N695" s="7">
        <f t="shared" si="53"/>
        <v>83</v>
      </c>
      <c r="O695" t="str">
        <f t="shared" si="52"/>
        <v>36</v>
      </c>
      <c r="P695" s="4" t="str">
        <f>LEFT(L695,1)</f>
        <v>C</v>
      </c>
      <c r="Q695" t="s">
        <v>20</v>
      </c>
    </row>
    <row r="696" spans="1:17" x14ac:dyDescent="0.25">
      <c r="A696">
        <v>231</v>
      </c>
      <c r="B696">
        <v>1</v>
      </c>
      <c r="C696">
        <v>1</v>
      </c>
      <c r="D696" t="s">
        <v>158</v>
      </c>
      <c r="E696" s="4">
        <f>LEN(D696)</f>
        <v>44</v>
      </c>
      <c r="F696" t="s">
        <v>14</v>
      </c>
      <c r="G696">
        <v>35</v>
      </c>
      <c r="H696">
        <v>1</v>
      </c>
      <c r="I696">
        <v>0</v>
      </c>
      <c r="J696">
        <v>36973</v>
      </c>
      <c r="K696">
        <v>83.474999999999994</v>
      </c>
      <c r="L696" t="s">
        <v>68</v>
      </c>
      <c r="M696" s="6" t="str">
        <f t="shared" si="51"/>
        <v>83</v>
      </c>
      <c r="N696" s="7">
        <f t="shared" si="53"/>
        <v>83</v>
      </c>
      <c r="O696" t="str">
        <f t="shared" si="52"/>
        <v>36</v>
      </c>
      <c r="P696" s="4" t="str">
        <f>LEFT(L696,1)</f>
        <v>C</v>
      </c>
      <c r="Q696" t="s">
        <v>20</v>
      </c>
    </row>
    <row r="697" spans="1:17" x14ac:dyDescent="0.25">
      <c r="A697">
        <v>516</v>
      </c>
      <c r="B697">
        <v>0</v>
      </c>
      <c r="C697">
        <v>1</v>
      </c>
      <c r="D697" t="s">
        <v>278</v>
      </c>
      <c r="E697" s="4">
        <f>LEN(D697)</f>
        <v>28</v>
      </c>
      <c r="F697" t="s">
        <v>24</v>
      </c>
      <c r="G697">
        <v>47</v>
      </c>
      <c r="H697">
        <v>0</v>
      </c>
      <c r="I697">
        <v>0</v>
      </c>
      <c r="J697">
        <v>36967</v>
      </c>
      <c r="K697">
        <v>34.020800000000001</v>
      </c>
      <c r="L697" t="s">
        <v>279</v>
      </c>
      <c r="M697" s="6" t="str">
        <f t="shared" si="51"/>
        <v>46</v>
      </c>
      <c r="N697" s="7">
        <f t="shared" si="53"/>
        <v>46</v>
      </c>
      <c r="O697" t="str">
        <f t="shared" si="52"/>
        <v>36</v>
      </c>
      <c r="P697" s="4" t="str">
        <f>LEFT(L697,1)</f>
        <v>D</v>
      </c>
      <c r="Q697" t="s">
        <v>20</v>
      </c>
    </row>
    <row r="698" spans="1:17" hidden="1" x14ac:dyDescent="0.25">
      <c r="A698">
        <v>29</v>
      </c>
      <c r="B698">
        <v>1</v>
      </c>
      <c r="C698">
        <v>3</v>
      </c>
      <c r="D698" t="s">
        <v>1014</v>
      </c>
      <c r="E698" s="4">
        <f>LEN(D698)</f>
        <v>29</v>
      </c>
      <c r="F698" t="s">
        <v>14</v>
      </c>
      <c r="H698">
        <v>0</v>
      </c>
      <c r="I698">
        <v>0</v>
      </c>
      <c r="J698">
        <v>330959</v>
      </c>
      <c r="K698">
        <v>7.8792</v>
      </c>
      <c r="M698" s="6" t="str">
        <f t="shared" si="51"/>
        <v/>
      </c>
      <c r="N698" s="7" t="str">
        <f t="shared" si="53"/>
        <v/>
      </c>
      <c r="O698" t="str">
        <f t="shared" si="52"/>
        <v>33</v>
      </c>
      <c r="P698" s="4" t="str">
        <f>LEFT(L698,1)</f>
        <v/>
      </c>
      <c r="Q698" t="s">
        <v>161</v>
      </c>
    </row>
    <row r="699" spans="1:17" x14ac:dyDescent="0.25">
      <c r="A699">
        <v>626</v>
      </c>
      <c r="B699">
        <v>0</v>
      </c>
      <c r="C699">
        <v>1</v>
      </c>
      <c r="D699" t="s">
        <v>322</v>
      </c>
      <c r="E699" s="4">
        <f>LEN(D699)</f>
        <v>21</v>
      </c>
      <c r="F699" t="s">
        <v>24</v>
      </c>
      <c r="G699">
        <v>61</v>
      </c>
      <c r="H699">
        <v>0</v>
      </c>
      <c r="I699">
        <v>0</v>
      </c>
      <c r="J699">
        <v>36963</v>
      </c>
      <c r="K699">
        <v>32.320799999999998</v>
      </c>
      <c r="L699" t="s">
        <v>323</v>
      </c>
      <c r="M699" s="6" t="str">
        <f t="shared" si="51"/>
        <v>50</v>
      </c>
      <c r="N699" s="7">
        <f t="shared" si="53"/>
        <v>50</v>
      </c>
      <c r="O699" t="str">
        <f t="shared" si="52"/>
        <v>36</v>
      </c>
      <c r="P699" s="4" t="str">
        <f>LEFT(L699,1)</f>
        <v>D</v>
      </c>
      <c r="Q699" t="s">
        <v>20</v>
      </c>
    </row>
    <row r="700" spans="1:17" hidden="1" x14ac:dyDescent="0.25">
      <c r="A700">
        <v>359</v>
      </c>
      <c r="B700">
        <v>1</v>
      </c>
      <c r="C700">
        <v>3</v>
      </c>
      <c r="D700" t="s">
        <v>1016</v>
      </c>
      <c r="E700" s="4">
        <f>LEN(D700)</f>
        <v>20</v>
      </c>
      <c r="F700" t="s">
        <v>14</v>
      </c>
      <c r="H700">
        <v>0</v>
      </c>
      <c r="I700">
        <v>0</v>
      </c>
      <c r="J700">
        <v>330931</v>
      </c>
      <c r="K700">
        <v>7.8792</v>
      </c>
      <c r="M700" s="6" t="str">
        <f t="shared" si="51"/>
        <v/>
      </c>
      <c r="N700" s="7" t="str">
        <f t="shared" si="53"/>
        <v/>
      </c>
      <c r="O700" t="str">
        <f t="shared" si="52"/>
        <v>33</v>
      </c>
      <c r="P700" s="4" t="str">
        <f>LEFT(L700,1)</f>
        <v/>
      </c>
      <c r="Q700" t="s">
        <v>161</v>
      </c>
    </row>
    <row r="701" spans="1:17" hidden="1" x14ac:dyDescent="0.25">
      <c r="A701">
        <v>876</v>
      </c>
      <c r="B701">
        <v>1</v>
      </c>
      <c r="C701">
        <v>3</v>
      </c>
      <c r="D701" t="s">
        <v>1227</v>
      </c>
      <c r="E701" s="4">
        <f>LEN(D701)</f>
        <v>32</v>
      </c>
      <c r="F701" t="s">
        <v>14</v>
      </c>
      <c r="G701">
        <v>15</v>
      </c>
      <c r="H701">
        <v>0</v>
      </c>
      <c r="I701">
        <v>0</v>
      </c>
      <c r="J701">
        <v>2667</v>
      </c>
      <c r="K701">
        <v>7.2249999999999996</v>
      </c>
      <c r="M701" s="6" t="str">
        <f t="shared" si="51"/>
        <v/>
      </c>
      <c r="N701" s="7" t="str">
        <f t="shared" si="53"/>
        <v/>
      </c>
      <c r="O701" t="str">
        <f t="shared" si="52"/>
        <v>26</v>
      </c>
      <c r="P701" s="4" t="str">
        <f>LEFT(L701,1)</f>
        <v/>
      </c>
      <c r="Q701" t="s">
        <v>17</v>
      </c>
    </row>
    <row r="702" spans="1:17" x14ac:dyDescent="0.25">
      <c r="A702">
        <v>319</v>
      </c>
      <c r="B702">
        <v>1</v>
      </c>
      <c r="C702">
        <v>1</v>
      </c>
      <c r="D702" t="s">
        <v>206</v>
      </c>
      <c r="E702" s="4">
        <f>LEN(D702)</f>
        <v>24</v>
      </c>
      <c r="F702" t="s">
        <v>14</v>
      </c>
      <c r="G702">
        <v>31</v>
      </c>
      <c r="H702">
        <v>0</v>
      </c>
      <c r="I702">
        <v>2</v>
      </c>
      <c r="J702">
        <v>36928</v>
      </c>
      <c r="K702">
        <v>164.86670000000001</v>
      </c>
      <c r="L702" t="s">
        <v>207</v>
      </c>
      <c r="M702" s="6" t="str">
        <f t="shared" si="51"/>
        <v>7</v>
      </c>
      <c r="N702" s="7" t="str">
        <f t="shared" si="53"/>
        <v/>
      </c>
      <c r="O702" t="str">
        <f t="shared" si="52"/>
        <v>36</v>
      </c>
      <c r="P702" s="4" t="str">
        <f>LEFT(L702,1)</f>
        <v>C</v>
      </c>
      <c r="Q702" t="s">
        <v>20</v>
      </c>
    </row>
    <row r="703" spans="1:17" hidden="1" x14ac:dyDescent="0.25">
      <c r="A703">
        <v>360</v>
      </c>
      <c r="B703">
        <v>1</v>
      </c>
      <c r="C703">
        <v>3</v>
      </c>
      <c r="D703" t="s">
        <v>1019</v>
      </c>
      <c r="E703" s="4">
        <f>LEN(D703)</f>
        <v>33</v>
      </c>
      <c r="F703" t="s">
        <v>14</v>
      </c>
      <c r="H703">
        <v>0</v>
      </c>
      <c r="I703">
        <v>0</v>
      </c>
      <c r="J703">
        <v>330980</v>
      </c>
      <c r="K703">
        <v>7.8792</v>
      </c>
      <c r="M703" s="6" t="str">
        <f t="shared" si="51"/>
        <v/>
      </c>
      <c r="N703" s="7" t="str">
        <f t="shared" si="53"/>
        <v/>
      </c>
      <c r="O703" t="str">
        <f t="shared" si="52"/>
        <v>33</v>
      </c>
      <c r="P703" s="4" t="str">
        <f>LEFT(L703,1)</f>
        <v/>
      </c>
      <c r="Q703" t="s">
        <v>161</v>
      </c>
    </row>
    <row r="704" spans="1:17" hidden="1" x14ac:dyDescent="0.25">
      <c r="A704">
        <v>857</v>
      </c>
      <c r="B704">
        <v>1</v>
      </c>
      <c r="C704">
        <v>1</v>
      </c>
      <c r="D704" t="s">
        <v>405</v>
      </c>
      <c r="E704" s="4">
        <f>LEN(D704)</f>
        <v>42</v>
      </c>
      <c r="F704" t="s">
        <v>14</v>
      </c>
      <c r="G704">
        <v>45</v>
      </c>
      <c r="H704">
        <v>1</v>
      </c>
      <c r="I704">
        <v>1</v>
      </c>
      <c r="J704">
        <v>36928</v>
      </c>
      <c r="K704">
        <v>164.86670000000001</v>
      </c>
      <c r="M704" s="6" t="str">
        <f t="shared" si="51"/>
        <v/>
      </c>
      <c r="N704" s="7" t="str">
        <f t="shared" si="53"/>
        <v/>
      </c>
      <c r="O704" t="str">
        <f t="shared" si="52"/>
        <v>36</v>
      </c>
      <c r="P704" s="4" t="str">
        <f>LEFT(L704,1)</f>
        <v/>
      </c>
      <c r="Q704" t="s">
        <v>20</v>
      </c>
    </row>
    <row r="705" spans="1:17" hidden="1" x14ac:dyDescent="0.25">
      <c r="A705">
        <v>553</v>
      </c>
      <c r="B705">
        <v>0</v>
      </c>
      <c r="C705">
        <v>3</v>
      </c>
      <c r="D705" t="s">
        <v>1021</v>
      </c>
      <c r="E705" s="4">
        <f>LEN(D705)</f>
        <v>20</v>
      </c>
      <c r="F705" t="s">
        <v>24</v>
      </c>
      <c r="H705">
        <v>0</v>
      </c>
      <c r="I705">
        <v>0</v>
      </c>
      <c r="J705">
        <v>330979</v>
      </c>
      <c r="K705">
        <v>7.8292000000000002</v>
      </c>
      <c r="M705" s="6" t="str">
        <f t="shared" si="51"/>
        <v/>
      </c>
      <c r="N705" s="7" t="str">
        <f t="shared" si="53"/>
        <v/>
      </c>
      <c r="O705" t="str">
        <f t="shared" si="52"/>
        <v>33</v>
      </c>
      <c r="P705" s="4" t="str">
        <f>LEFT(L705,1)</f>
        <v/>
      </c>
      <c r="Q705" t="s">
        <v>161</v>
      </c>
    </row>
    <row r="706" spans="1:17" x14ac:dyDescent="0.25">
      <c r="A706">
        <v>103</v>
      </c>
      <c r="B706">
        <v>0</v>
      </c>
      <c r="C706">
        <v>1</v>
      </c>
      <c r="D706" t="s">
        <v>91</v>
      </c>
      <c r="E706" s="4">
        <f>LEN(D706)</f>
        <v>25</v>
      </c>
      <c r="F706" t="s">
        <v>24</v>
      </c>
      <c r="G706">
        <v>21</v>
      </c>
      <c r="H706">
        <v>0</v>
      </c>
      <c r="I706">
        <v>1</v>
      </c>
      <c r="J706">
        <v>35281</v>
      </c>
      <c r="K706">
        <v>77.287499999999994</v>
      </c>
      <c r="L706" t="s">
        <v>92</v>
      </c>
      <c r="M706" s="6" t="str">
        <f t="shared" si="51"/>
        <v>26</v>
      </c>
      <c r="N706" s="7">
        <f t="shared" si="53"/>
        <v>26</v>
      </c>
      <c r="O706" t="str">
        <f t="shared" si="52"/>
        <v>35</v>
      </c>
      <c r="P706" s="4" t="str">
        <f>LEFT(L706,1)</f>
        <v>D</v>
      </c>
      <c r="Q706" t="s">
        <v>20</v>
      </c>
    </row>
    <row r="707" spans="1:17" hidden="1" x14ac:dyDescent="0.25">
      <c r="A707">
        <v>654</v>
      </c>
      <c r="B707">
        <v>1</v>
      </c>
      <c r="C707">
        <v>3</v>
      </c>
      <c r="D707" t="s">
        <v>1023</v>
      </c>
      <c r="E707" s="4">
        <f>LEN(D707)</f>
        <v>29</v>
      </c>
      <c r="F707" t="s">
        <v>14</v>
      </c>
      <c r="H707">
        <v>0</v>
      </c>
      <c r="I707">
        <v>0</v>
      </c>
      <c r="J707">
        <v>330919</v>
      </c>
      <c r="K707">
        <v>7.8292000000000002</v>
      </c>
      <c r="M707" s="6" t="str">
        <f t="shared" ref="M707:M770" si="54">IF(LEN(L707)&gt;3,RIGHT((LEFT(L707,4)),3),IF(LEN(L707)=3,RIGHT(L707,2),RIGHT(L707,1)))</f>
        <v/>
      </c>
      <c r="N707" s="7" t="str">
        <f t="shared" si="53"/>
        <v/>
      </c>
      <c r="O707" t="str">
        <f t="shared" ref="O707:O770" si="55">LEFT(J707,2)</f>
        <v>33</v>
      </c>
      <c r="P707" s="4" t="str">
        <f>LEFT(L707,1)</f>
        <v/>
      </c>
      <c r="Q707" t="s">
        <v>161</v>
      </c>
    </row>
    <row r="708" spans="1:17" hidden="1" x14ac:dyDescent="0.25">
      <c r="A708">
        <v>83</v>
      </c>
      <c r="B708">
        <v>1</v>
      </c>
      <c r="C708">
        <v>3</v>
      </c>
      <c r="D708" t="s">
        <v>1024</v>
      </c>
      <c r="E708" s="4">
        <f>LEN(D708)</f>
        <v>30</v>
      </c>
      <c r="F708" t="s">
        <v>14</v>
      </c>
      <c r="H708">
        <v>0</v>
      </c>
      <c r="I708">
        <v>0</v>
      </c>
      <c r="J708">
        <v>330932</v>
      </c>
      <c r="K708">
        <v>7.7874999999999996</v>
      </c>
      <c r="M708" s="6" t="str">
        <f t="shared" si="54"/>
        <v/>
      </c>
      <c r="N708" s="7" t="str">
        <f t="shared" ref="N708:N771" si="56">IF(LEN(M708)&gt;1, M708+0,"")</f>
        <v/>
      </c>
      <c r="O708" t="str">
        <f t="shared" si="55"/>
        <v>33</v>
      </c>
      <c r="P708" s="4" t="str">
        <f>LEFT(L708,1)</f>
        <v/>
      </c>
      <c r="Q708" t="s">
        <v>161</v>
      </c>
    </row>
    <row r="709" spans="1:17" x14ac:dyDescent="0.25">
      <c r="A709">
        <v>125</v>
      </c>
      <c r="B709">
        <v>0</v>
      </c>
      <c r="C709">
        <v>1</v>
      </c>
      <c r="D709" t="s">
        <v>103</v>
      </c>
      <c r="E709" s="4">
        <f>LEN(D709)</f>
        <v>27</v>
      </c>
      <c r="F709" t="s">
        <v>24</v>
      </c>
      <c r="G709">
        <v>54</v>
      </c>
      <c r="H709">
        <v>0</v>
      </c>
      <c r="I709">
        <v>1</v>
      </c>
      <c r="J709">
        <v>35281</v>
      </c>
      <c r="K709">
        <v>77.287499999999994</v>
      </c>
      <c r="L709" t="s">
        <v>92</v>
      </c>
      <c r="M709" s="6" t="str">
        <f t="shared" si="54"/>
        <v>26</v>
      </c>
      <c r="N709" s="7">
        <f t="shared" si="56"/>
        <v>26</v>
      </c>
      <c r="O709" t="str">
        <f t="shared" si="55"/>
        <v>35</v>
      </c>
      <c r="P709" s="4" t="str">
        <f>LEFT(L709,1)</f>
        <v>D</v>
      </c>
      <c r="Q709" t="s">
        <v>20</v>
      </c>
    </row>
    <row r="710" spans="1:17" x14ac:dyDescent="0.25">
      <c r="A710">
        <v>718</v>
      </c>
      <c r="B710">
        <v>1</v>
      </c>
      <c r="C710">
        <v>2</v>
      </c>
      <c r="D710" t="s">
        <v>608</v>
      </c>
      <c r="E710" s="4">
        <f>LEN(D710)</f>
        <v>35</v>
      </c>
      <c r="F710" t="s">
        <v>14</v>
      </c>
      <c r="G710">
        <v>27</v>
      </c>
      <c r="H710">
        <v>0</v>
      </c>
      <c r="I710">
        <v>0</v>
      </c>
      <c r="J710">
        <v>34218</v>
      </c>
      <c r="K710">
        <v>10.5</v>
      </c>
      <c r="L710" t="s">
        <v>454</v>
      </c>
      <c r="M710" s="6" t="str">
        <f t="shared" si="54"/>
        <v>101</v>
      </c>
      <c r="N710" s="7">
        <f t="shared" si="56"/>
        <v>101</v>
      </c>
      <c r="O710" t="str">
        <f t="shared" si="55"/>
        <v>34</v>
      </c>
      <c r="P710" s="4" t="str">
        <f>LEFT(L710,1)</f>
        <v>E</v>
      </c>
      <c r="Q710" t="s">
        <v>20</v>
      </c>
    </row>
    <row r="711" spans="1:17" x14ac:dyDescent="0.25">
      <c r="A711">
        <v>446</v>
      </c>
      <c r="B711">
        <v>1</v>
      </c>
      <c r="C711">
        <v>1</v>
      </c>
      <c r="D711" t="s">
        <v>244</v>
      </c>
      <c r="E711" s="4">
        <f>LEN(D711)</f>
        <v>25</v>
      </c>
      <c r="F711" t="s">
        <v>24</v>
      </c>
      <c r="G711">
        <v>4</v>
      </c>
      <c r="H711">
        <v>0</v>
      </c>
      <c r="I711">
        <v>2</v>
      </c>
      <c r="J711">
        <v>33638</v>
      </c>
      <c r="K711">
        <v>81.8583</v>
      </c>
      <c r="L711" t="s">
        <v>245</v>
      </c>
      <c r="M711" s="6" t="str">
        <f t="shared" si="54"/>
        <v>34</v>
      </c>
      <c r="N711" s="7">
        <f t="shared" si="56"/>
        <v>34</v>
      </c>
      <c r="O711" t="str">
        <f t="shared" si="55"/>
        <v>33</v>
      </c>
      <c r="P711" s="4" t="str">
        <f>LEFT(L711,1)</f>
        <v>A</v>
      </c>
      <c r="Q711" t="s">
        <v>20</v>
      </c>
    </row>
    <row r="712" spans="1:17" hidden="1" x14ac:dyDescent="0.25">
      <c r="A712">
        <v>347</v>
      </c>
      <c r="B712">
        <v>1</v>
      </c>
      <c r="C712">
        <v>2</v>
      </c>
      <c r="D712" t="s">
        <v>523</v>
      </c>
      <c r="E712" s="4">
        <f>LEN(D712)</f>
        <v>25</v>
      </c>
      <c r="F712" t="s">
        <v>14</v>
      </c>
      <c r="G712">
        <v>40</v>
      </c>
      <c r="H712">
        <v>0</v>
      </c>
      <c r="I712">
        <v>0</v>
      </c>
      <c r="J712">
        <v>31418</v>
      </c>
      <c r="K712">
        <v>13</v>
      </c>
      <c r="M712" s="6" t="str">
        <f t="shared" si="54"/>
        <v/>
      </c>
      <c r="N712" s="7" t="str">
        <f t="shared" si="56"/>
        <v/>
      </c>
      <c r="O712" t="str">
        <f t="shared" si="55"/>
        <v>31</v>
      </c>
      <c r="P712" s="4" t="str">
        <f>LEFT(L712,1)</f>
        <v/>
      </c>
      <c r="Q712" t="s">
        <v>20</v>
      </c>
    </row>
    <row r="713" spans="1:17" hidden="1" x14ac:dyDescent="0.25">
      <c r="A713">
        <v>620</v>
      </c>
      <c r="B713">
        <v>0</v>
      </c>
      <c r="C713">
        <v>2</v>
      </c>
      <c r="D713" t="s">
        <v>589</v>
      </c>
      <c r="E713" s="4">
        <f>LEN(D713)</f>
        <v>19</v>
      </c>
      <c r="F713" t="s">
        <v>24</v>
      </c>
      <c r="G713">
        <v>26</v>
      </c>
      <c r="H713">
        <v>0</v>
      </c>
      <c r="I713">
        <v>0</v>
      </c>
      <c r="J713">
        <v>31028</v>
      </c>
      <c r="K713">
        <v>10.5</v>
      </c>
      <c r="M713" s="6" t="str">
        <f t="shared" si="54"/>
        <v/>
      </c>
      <c r="N713" s="7" t="str">
        <f t="shared" si="56"/>
        <v/>
      </c>
      <c r="O713" t="str">
        <f t="shared" si="55"/>
        <v>31</v>
      </c>
      <c r="P713" s="4" t="str">
        <f>LEFT(L713,1)</f>
        <v/>
      </c>
      <c r="Q713" t="s">
        <v>20</v>
      </c>
    </row>
    <row r="714" spans="1:17" hidden="1" x14ac:dyDescent="0.25">
      <c r="A714">
        <v>477</v>
      </c>
      <c r="B714">
        <v>0</v>
      </c>
      <c r="C714">
        <v>2</v>
      </c>
      <c r="D714" t="s">
        <v>562</v>
      </c>
      <c r="E714" s="4">
        <f>LEN(D714)</f>
        <v>23</v>
      </c>
      <c r="F714" t="s">
        <v>24</v>
      </c>
      <c r="G714">
        <v>34</v>
      </c>
      <c r="H714">
        <v>1</v>
      </c>
      <c r="I714">
        <v>0</v>
      </c>
      <c r="J714">
        <v>31027</v>
      </c>
      <c r="K714">
        <v>21</v>
      </c>
      <c r="M714" s="6" t="str">
        <f t="shared" si="54"/>
        <v/>
      </c>
      <c r="N714" s="7" t="str">
        <f t="shared" si="56"/>
        <v/>
      </c>
      <c r="O714" t="str">
        <f t="shared" si="55"/>
        <v>31</v>
      </c>
      <c r="P714" s="4" t="str">
        <f>LEFT(L714,1)</f>
        <v/>
      </c>
      <c r="Q714" t="s">
        <v>20</v>
      </c>
    </row>
    <row r="715" spans="1:17" hidden="1" x14ac:dyDescent="0.25">
      <c r="A715">
        <v>727</v>
      </c>
      <c r="B715">
        <v>1</v>
      </c>
      <c r="C715">
        <v>2</v>
      </c>
      <c r="D715" t="s">
        <v>612</v>
      </c>
      <c r="E715" s="4">
        <f>LEN(D715)</f>
        <v>43</v>
      </c>
      <c r="F715" t="s">
        <v>14</v>
      </c>
      <c r="G715">
        <v>30</v>
      </c>
      <c r="H715">
        <v>3</v>
      </c>
      <c r="I715">
        <v>0</v>
      </c>
      <c r="J715">
        <v>31027</v>
      </c>
      <c r="K715">
        <v>21</v>
      </c>
      <c r="M715" s="6" t="str">
        <f t="shared" si="54"/>
        <v/>
      </c>
      <c r="N715" s="7" t="str">
        <f t="shared" si="56"/>
        <v/>
      </c>
      <c r="O715" t="str">
        <f t="shared" si="55"/>
        <v>31</v>
      </c>
      <c r="P715" s="4" t="str">
        <f>LEFT(L715,1)</f>
        <v/>
      </c>
      <c r="Q715" t="s">
        <v>20</v>
      </c>
    </row>
    <row r="716" spans="1:17" hidden="1" x14ac:dyDescent="0.25">
      <c r="A716">
        <v>659</v>
      </c>
      <c r="B716">
        <v>0</v>
      </c>
      <c r="C716">
        <v>2</v>
      </c>
      <c r="D716" t="s">
        <v>595</v>
      </c>
      <c r="E716" s="4">
        <f>LEN(D716)</f>
        <v>28</v>
      </c>
      <c r="F716" t="s">
        <v>24</v>
      </c>
      <c r="G716">
        <v>23</v>
      </c>
      <c r="H716">
        <v>0</v>
      </c>
      <c r="I716">
        <v>0</v>
      </c>
      <c r="J716">
        <v>29751</v>
      </c>
      <c r="K716">
        <v>13</v>
      </c>
      <c r="M716" s="6" t="str">
        <f t="shared" si="54"/>
        <v/>
      </c>
      <c r="N716" s="7" t="str">
        <f t="shared" si="56"/>
        <v/>
      </c>
      <c r="O716" t="str">
        <f t="shared" si="55"/>
        <v>29</v>
      </c>
      <c r="P716" s="4" t="str">
        <f>LEFT(L716,1)</f>
        <v/>
      </c>
      <c r="Q716" t="s">
        <v>20</v>
      </c>
    </row>
    <row r="717" spans="1:17" hidden="1" x14ac:dyDescent="0.25">
      <c r="A717">
        <v>215</v>
      </c>
      <c r="B717">
        <v>0</v>
      </c>
      <c r="C717">
        <v>3</v>
      </c>
      <c r="D717" t="s">
        <v>1035</v>
      </c>
      <c r="E717" s="4">
        <f>LEN(D717)</f>
        <v>19</v>
      </c>
      <c r="F717" t="s">
        <v>24</v>
      </c>
      <c r="H717">
        <v>1</v>
      </c>
      <c r="I717">
        <v>0</v>
      </c>
      <c r="J717">
        <v>367229</v>
      </c>
      <c r="K717">
        <v>7.75</v>
      </c>
      <c r="M717" s="6" t="str">
        <f t="shared" si="54"/>
        <v/>
      </c>
      <c r="N717" s="7" t="str">
        <f t="shared" si="56"/>
        <v/>
      </c>
      <c r="O717" t="str">
        <f t="shared" si="55"/>
        <v>36</v>
      </c>
      <c r="P717" s="4" t="str">
        <f>LEFT(L717,1)</f>
        <v/>
      </c>
      <c r="Q717" t="s">
        <v>161</v>
      </c>
    </row>
    <row r="718" spans="1:17" hidden="1" x14ac:dyDescent="0.25">
      <c r="A718">
        <v>671</v>
      </c>
      <c r="B718">
        <v>1</v>
      </c>
      <c r="C718">
        <v>2</v>
      </c>
      <c r="D718" t="s">
        <v>598</v>
      </c>
      <c r="E718" s="4">
        <f>LEN(D718)</f>
        <v>61</v>
      </c>
      <c r="F718" t="s">
        <v>14</v>
      </c>
      <c r="G718">
        <v>40</v>
      </c>
      <c r="H718">
        <v>1</v>
      </c>
      <c r="I718">
        <v>1</v>
      </c>
      <c r="J718">
        <v>29750</v>
      </c>
      <c r="K718">
        <v>39</v>
      </c>
      <c r="M718" s="6" t="str">
        <f t="shared" si="54"/>
        <v/>
      </c>
      <c r="N718" s="7" t="str">
        <f t="shared" si="56"/>
        <v/>
      </c>
      <c r="O718" t="str">
        <f t="shared" si="55"/>
        <v>29</v>
      </c>
      <c r="P718" s="4" t="str">
        <f>LEFT(L718,1)</f>
        <v/>
      </c>
      <c r="Q718" t="s">
        <v>20</v>
      </c>
    </row>
    <row r="719" spans="1:17" hidden="1" x14ac:dyDescent="0.25">
      <c r="A719">
        <v>127</v>
      </c>
      <c r="B719">
        <v>0</v>
      </c>
      <c r="C719">
        <v>3</v>
      </c>
      <c r="D719" t="s">
        <v>1038</v>
      </c>
      <c r="E719" s="4">
        <f>LEN(D719)</f>
        <v>19</v>
      </c>
      <c r="F719" t="s">
        <v>24</v>
      </c>
      <c r="H719">
        <v>0</v>
      </c>
      <c r="I719">
        <v>0</v>
      </c>
      <c r="J719">
        <v>370372</v>
      </c>
      <c r="K719">
        <v>7.75</v>
      </c>
      <c r="M719" s="6" t="str">
        <f t="shared" si="54"/>
        <v/>
      </c>
      <c r="N719" s="7" t="str">
        <f t="shared" si="56"/>
        <v/>
      </c>
      <c r="O719" t="str">
        <f t="shared" si="55"/>
        <v>37</v>
      </c>
      <c r="P719" s="4" t="str">
        <f>LEFT(L719,1)</f>
        <v/>
      </c>
      <c r="Q719" t="s">
        <v>161</v>
      </c>
    </row>
    <row r="720" spans="1:17" hidden="1" x14ac:dyDescent="0.25">
      <c r="A720">
        <v>685</v>
      </c>
      <c r="B720">
        <v>0</v>
      </c>
      <c r="C720">
        <v>2</v>
      </c>
      <c r="D720" t="s">
        <v>602</v>
      </c>
      <c r="E720" s="4">
        <f>LEN(D720)</f>
        <v>33</v>
      </c>
      <c r="F720" t="s">
        <v>24</v>
      </c>
      <c r="G720">
        <v>60</v>
      </c>
      <c r="H720">
        <v>1</v>
      </c>
      <c r="I720">
        <v>1</v>
      </c>
      <c r="J720">
        <v>29750</v>
      </c>
      <c r="K720">
        <v>39</v>
      </c>
      <c r="M720" s="6" t="str">
        <f t="shared" si="54"/>
        <v/>
      </c>
      <c r="N720" s="7" t="str">
        <f t="shared" si="56"/>
        <v/>
      </c>
      <c r="O720" t="str">
        <f t="shared" si="55"/>
        <v>29</v>
      </c>
      <c r="P720" s="4" t="str">
        <f>LEFT(L720,1)</f>
        <v/>
      </c>
      <c r="Q720" t="s">
        <v>20</v>
      </c>
    </row>
    <row r="721" spans="1:17" hidden="1" x14ac:dyDescent="0.25">
      <c r="A721">
        <v>197</v>
      </c>
      <c r="B721">
        <v>0</v>
      </c>
      <c r="C721">
        <v>3</v>
      </c>
      <c r="D721" t="s">
        <v>1040</v>
      </c>
      <c r="E721" s="4">
        <f>LEN(D721)</f>
        <v>19</v>
      </c>
      <c r="F721" t="s">
        <v>24</v>
      </c>
      <c r="H721">
        <v>0</v>
      </c>
      <c r="I721">
        <v>0</v>
      </c>
      <c r="J721">
        <v>368703</v>
      </c>
      <c r="K721">
        <v>7.75</v>
      </c>
      <c r="M721" s="6" t="str">
        <f t="shared" si="54"/>
        <v/>
      </c>
      <c r="N721" s="7" t="str">
        <f t="shared" si="56"/>
        <v/>
      </c>
      <c r="O721" t="str">
        <f t="shared" si="55"/>
        <v>36</v>
      </c>
      <c r="P721" s="4" t="str">
        <f>LEFT(L721,1)</f>
        <v/>
      </c>
      <c r="Q721" t="s">
        <v>161</v>
      </c>
    </row>
    <row r="722" spans="1:17" hidden="1" x14ac:dyDescent="0.25">
      <c r="A722">
        <v>758</v>
      </c>
      <c r="B722">
        <v>0</v>
      </c>
      <c r="C722">
        <v>2</v>
      </c>
      <c r="D722" t="s">
        <v>620</v>
      </c>
      <c r="E722" s="4">
        <f>LEN(D722)</f>
        <v>24</v>
      </c>
      <c r="F722" t="s">
        <v>24</v>
      </c>
      <c r="G722">
        <v>18</v>
      </c>
      <c r="H722">
        <v>0</v>
      </c>
      <c r="I722">
        <v>0</v>
      </c>
      <c r="J722">
        <v>29108</v>
      </c>
      <c r="K722">
        <v>11.5</v>
      </c>
      <c r="M722" s="6" t="str">
        <f t="shared" si="54"/>
        <v/>
      </c>
      <c r="N722" s="7" t="str">
        <f t="shared" si="56"/>
        <v/>
      </c>
      <c r="O722" t="str">
        <f t="shared" si="55"/>
        <v>29</v>
      </c>
      <c r="P722" s="4" t="str">
        <f>LEFT(L722,1)</f>
        <v/>
      </c>
      <c r="Q722" t="s">
        <v>20</v>
      </c>
    </row>
    <row r="723" spans="1:17" hidden="1" x14ac:dyDescent="0.25">
      <c r="A723">
        <v>408</v>
      </c>
      <c r="B723">
        <v>1</v>
      </c>
      <c r="C723">
        <v>2</v>
      </c>
      <c r="D723" t="s">
        <v>541</v>
      </c>
      <c r="E723" s="4">
        <f>LEN(D723)</f>
        <v>30</v>
      </c>
      <c r="F723" t="s">
        <v>24</v>
      </c>
      <c r="G723">
        <v>3</v>
      </c>
      <c r="H723">
        <v>1</v>
      </c>
      <c r="I723">
        <v>1</v>
      </c>
      <c r="J723">
        <v>29106</v>
      </c>
      <c r="K723">
        <v>18.75</v>
      </c>
      <c r="M723" s="6" t="str">
        <f t="shared" si="54"/>
        <v/>
      </c>
      <c r="N723" s="7" t="str">
        <f t="shared" si="56"/>
        <v/>
      </c>
      <c r="O723" t="str">
        <f t="shared" si="55"/>
        <v>29</v>
      </c>
      <c r="P723" s="4" t="str">
        <f>LEFT(L723,1)</f>
        <v/>
      </c>
      <c r="Q723" t="s">
        <v>20</v>
      </c>
    </row>
    <row r="724" spans="1:17" hidden="1" x14ac:dyDescent="0.25">
      <c r="A724">
        <v>261</v>
      </c>
      <c r="B724">
        <v>0</v>
      </c>
      <c r="C724">
        <v>3</v>
      </c>
      <c r="D724" t="s">
        <v>1045</v>
      </c>
      <c r="E724" s="4">
        <f>LEN(D724)</f>
        <v>17</v>
      </c>
      <c r="F724" t="s">
        <v>24</v>
      </c>
      <c r="H724">
        <v>0</v>
      </c>
      <c r="I724">
        <v>0</v>
      </c>
      <c r="J724">
        <v>384461</v>
      </c>
      <c r="K724">
        <v>7.75</v>
      </c>
      <c r="M724" s="6" t="str">
        <f t="shared" si="54"/>
        <v/>
      </c>
      <c r="N724" s="7" t="str">
        <f t="shared" si="56"/>
        <v/>
      </c>
      <c r="O724" t="str">
        <f t="shared" si="55"/>
        <v>38</v>
      </c>
      <c r="P724" s="4" t="str">
        <f>LEFT(L724,1)</f>
        <v/>
      </c>
      <c r="Q724" t="s">
        <v>161</v>
      </c>
    </row>
    <row r="725" spans="1:17" hidden="1" x14ac:dyDescent="0.25">
      <c r="A725">
        <v>438</v>
      </c>
      <c r="B725">
        <v>1</v>
      </c>
      <c r="C725">
        <v>2</v>
      </c>
      <c r="D725" t="s">
        <v>549</v>
      </c>
      <c r="E725" s="4">
        <f>LEN(D725)</f>
        <v>37</v>
      </c>
      <c r="F725" t="s">
        <v>14</v>
      </c>
      <c r="G725">
        <v>24</v>
      </c>
      <c r="H725">
        <v>2</v>
      </c>
      <c r="I725">
        <v>3</v>
      </c>
      <c r="J725">
        <v>29106</v>
      </c>
      <c r="K725">
        <v>18.75</v>
      </c>
      <c r="M725" s="6" t="str">
        <f t="shared" si="54"/>
        <v/>
      </c>
      <c r="N725" s="7" t="str">
        <f t="shared" si="56"/>
        <v/>
      </c>
      <c r="O725" t="str">
        <f t="shared" si="55"/>
        <v>29</v>
      </c>
      <c r="P725" s="4" t="str">
        <f>LEFT(L725,1)</f>
        <v/>
      </c>
      <c r="Q725" t="s">
        <v>20</v>
      </c>
    </row>
    <row r="726" spans="1:17" hidden="1" x14ac:dyDescent="0.25">
      <c r="A726">
        <v>265</v>
      </c>
      <c r="B726">
        <v>0</v>
      </c>
      <c r="C726">
        <v>3</v>
      </c>
      <c r="D726" t="s">
        <v>1047</v>
      </c>
      <c r="E726" s="4">
        <f>LEN(D726)</f>
        <v>18</v>
      </c>
      <c r="F726" t="s">
        <v>14</v>
      </c>
      <c r="H726">
        <v>0</v>
      </c>
      <c r="I726">
        <v>0</v>
      </c>
      <c r="J726">
        <v>382649</v>
      </c>
      <c r="K726">
        <v>7.75</v>
      </c>
      <c r="M726" s="6" t="str">
        <f t="shared" si="54"/>
        <v/>
      </c>
      <c r="N726" s="7" t="str">
        <f t="shared" si="56"/>
        <v/>
      </c>
      <c r="O726" t="str">
        <f t="shared" si="55"/>
        <v>38</v>
      </c>
      <c r="P726" s="4" t="str">
        <f>LEFT(L726,1)</f>
        <v/>
      </c>
      <c r="Q726" t="s">
        <v>161</v>
      </c>
    </row>
    <row r="727" spans="1:17" hidden="1" x14ac:dyDescent="0.25">
      <c r="A727">
        <v>832</v>
      </c>
      <c r="B727">
        <v>1</v>
      </c>
      <c r="C727">
        <v>2</v>
      </c>
      <c r="D727" t="s">
        <v>634</v>
      </c>
      <c r="E727" s="4">
        <f>LEN(D727)</f>
        <v>31</v>
      </c>
      <c r="F727" t="s">
        <v>24</v>
      </c>
      <c r="G727">
        <v>0.83</v>
      </c>
      <c r="H727">
        <v>1</v>
      </c>
      <c r="I727">
        <v>1</v>
      </c>
      <c r="J727">
        <v>29106</v>
      </c>
      <c r="K727">
        <v>18.75</v>
      </c>
      <c r="M727" s="6" t="str">
        <f t="shared" si="54"/>
        <v/>
      </c>
      <c r="N727" s="7" t="str">
        <f t="shared" si="56"/>
        <v/>
      </c>
      <c r="O727" t="str">
        <f t="shared" si="55"/>
        <v>29</v>
      </c>
      <c r="P727" s="4" t="str">
        <f>LEFT(L727,1)</f>
        <v/>
      </c>
      <c r="Q727" t="s">
        <v>20</v>
      </c>
    </row>
    <row r="728" spans="1:17" hidden="1" x14ac:dyDescent="0.25">
      <c r="A728">
        <v>429</v>
      </c>
      <c r="B728">
        <v>0</v>
      </c>
      <c r="C728">
        <v>3</v>
      </c>
      <c r="D728" t="s">
        <v>1049</v>
      </c>
      <c r="E728" s="4">
        <f>LEN(D728)</f>
        <v>16</v>
      </c>
      <c r="F728" t="s">
        <v>24</v>
      </c>
      <c r="H728">
        <v>0</v>
      </c>
      <c r="I728">
        <v>0</v>
      </c>
      <c r="J728">
        <v>364851</v>
      </c>
      <c r="K728">
        <v>7.75</v>
      </c>
      <c r="M728" s="6" t="str">
        <f t="shared" si="54"/>
        <v/>
      </c>
      <c r="N728" s="7" t="str">
        <f t="shared" si="56"/>
        <v/>
      </c>
      <c r="O728" t="str">
        <f t="shared" si="55"/>
        <v>36</v>
      </c>
      <c r="P728" s="4" t="str">
        <f>LEFT(L728,1)</f>
        <v/>
      </c>
      <c r="Q728" t="s">
        <v>161</v>
      </c>
    </row>
    <row r="729" spans="1:17" hidden="1" x14ac:dyDescent="0.25">
      <c r="A729">
        <v>460</v>
      </c>
      <c r="B729">
        <v>0</v>
      </c>
      <c r="C729">
        <v>3</v>
      </c>
      <c r="D729" t="s">
        <v>1050</v>
      </c>
      <c r="E729" s="4">
        <f>LEN(D729)</f>
        <v>21</v>
      </c>
      <c r="F729" t="s">
        <v>24</v>
      </c>
      <c r="H729">
        <v>0</v>
      </c>
      <c r="I729">
        <v>0</v>
      </c>
      <c r="J729">
        <v>371060</v>
      </c>
      <c r="K729">
        <v>7.75</v>
      </c>
      <c r="M729" s="6" t="str">
        <f t="shared" si="54"/>
        <v/>
      </c>
      <c r="N729" s="7" t="str">
        <f t="shared" si="56"/>
        <v/>
      </c>
      <c r="O729" t="str">
        <f t="shared" si="55"/>
        <v>37</v>
      </c>
      <c r="P729" s="4" t="str">
        <f>LEFT(L729,1)</f>
        <v/>
      </c>
      <c r="Q729" t="s">
        <v>161</v>
      </c>
    </row>
    <row r="730" spans="1:17" hidden="1" x14ac:dyDescent="0.25">
      <c r="A730">
        <v>561</v>
      </c>
      <c r="B730">
        <v>0</v>
      </c>
      <c r="C730">
        <v>3</v>
      </c>
      <c r="D730" t="s">
        <v>1051</v>
      </c>
      <c r="E730" s="4">
        <f>LEN(D730)</f>
        <v>24</v>
      </c>
      <c r="F730" t="s">
        <v>24</v>
      </c>
      <c r="H730">
        <v>0</v>
      </c>
      <c r="I730">
        <v>0</v>
      </c>
      <c r="J730">
        <v>372622</v>
      </c>
      <c r="K730">
        <v>7.75</v>
      </c>
      <c r="M730" s="6" t="str">
        <f t="shared" si="54"/>
        <v/>
      </c>
      <c r="N730" s="7" t="str">
        <f t="shared" si="56"/>
        <v/>
      </c>
      <c r="O730" t="str">
        <f t="shared" si="55"/>
        <v>37</v>
      </c>
      <c r="P730" s="4" t="str">
        <f>LEFT(L730,1)</f>
        <v/>
      </c>
      <c r="Q730" t="s">
        <v>161</v>
      </c>
    </row>
    <row r="731" spans="1:17" hidden="1" x14ac:dyDescent="0.25">
      <c r="A731">
        <v>775</v>
      </c>
      <c r="B731">
        <v>1</v>
      </c>
      <c r="C731">
        <v>2</v>
      </c>
      <c r="D731" t="s">
        <v>624</v>
      </c>
      <c r="E731" s="4">
        <f>LEN(D731)</f>
        <v>37</v>
      </c>
      <c r="F731" t="s">
        <v>14</v>
      </c>
      <c r="G731">
        <v>54</v>
      </c>
      <c r="H731">
        <v>1</v>
      </c>
      <c r="I731">
        <v>3</v>
      </c>
      <c r="J731">
        <v>29105</v>
      </c>
      <c r="K731">
        <v>23</v>
      </c>
      <c r="M731" s="6" t="str">
        <f t="shared" si="54"/>
        <v/>
      </c>
      <c r="N731" s="7" t="str">
        <f t="shared" si="56"/>
        <v/>
      </c>
      <c r="O731" t="str">
        <f t="shared" si="55"/>
        <v>29</v>
      </c>
      <c r="P731" s="4" t="str">
        <f>LEFT(L731,1)</f>
        <v/>
      </c>
      <c r="Q731" t="s">
        <v>20</v>
      </c>
    </row>
    <row r="732" spans="1:17" hidden="1" x14ac:dyDescent="0.25">
      <c r="A732">
        <v>530</v>
      </c>
      <c r="B732">
        <v>0</v>
      </c>
      <c r="C732">
        <v>2</v>
      </c>
      <c r="D732" t="s">
        <v>569</v>
      </c>
      <c r="E732" s="4">
        <f>LEN(D732)</f>
        <v>27</v>
      </c>
      <c r="F732" t="s">
        <v>24</v>
      </c>
      <c r="G732">
        <v>23</v>
      </c>
      <c r="H732">
        <v>2</v>
      </c>
      <c r="I732">
        <v>1</v>
      </c>
      <c r="J732">
        <v>29104</v>
      </c>
      <c r="K732">
        <v>11.5</v>
      </c>
      <c r="M732" s="6" t="str">
        <f t="shared" si="54"/>
        <v/>
      </c>
      <c r="N732" s="7" t="str">
        <f t="shared" si="56"/>
        <v/>
      </c>
      <c r="O732" t="str">
        <f t="shared" si="55"/>
        <v>29</v>
      </c>
      <c r="P732" s="4" t="str">
        <f>LEFT(L732,1)</f>
        <v/>
      </c>
      <c r="Q732" t="s">
        <v>20</v>
      </c>
    </row>
    <row r="733" spans="1:17" hidden="1" x14ac:dyDescent="0.25">
      <c r="A733">
        <v>751</v>
      </c>
      <c r="B733">
        <v>1</v>
      </c>
      <c r="C733">
        <v>2</v>
      </c>
      <c r="D733" t="s">
        <v>617</v>
      </c>
      <c r="E733" s="4">
        <f>LEN(D733)</f>
        <v>17</v>
      </c>
      <c r="F733" t="s">
        <v>14</v>
      </c>
      <c r="G733">
        <v>4</v>
      </c>
      <c r="H733">
        <v>1</v>
      </c>
      <c r="I733">
        <v>1</v>
      </c>
      <c r="J733">
        <v>29103</v>
      </c>
      <c r="K733">
        <v>23</v>
      </c>
      <c r="M733" s="6" t="str">
        <f t="shared" si="54"/>
        <v/>
      </c>
      <c r="N733" s="7" t="str">
        <f t="shared" si="56"/>
        <v/>
      </c>
      <c r="O733" t="str">
        <f t="shared" si="55"/>
        <v>29</v>
      </c>
      <c r="P733" s="4" t="str">
        <f>LEFT(L733,1)</f>
        <v/>
      </c>
      <c r="Q733" t="s">
        <v>20</v>
      </c>
    </row>
    <row r="734" spans="1:17" hidden="1" x14ac:dyDescent="0.25">
      <c r="A734">
        <v>318</v>
      </c>
      <c r="B734">
        <v>0</v>
      </c>
      <c r="C734">
        <v>2</v>
      </c>
      <c r="D734" t="s">
        <v>514</v>
      </c>
      <c r="E734" s="4">
        <f>LEN(D734)</f>
        <v>20</v>
      </c>
      <c r="F734" t="s">
        <v>24</v>
      </c>
      <c r="G734">
        <v>54</v>
      </c>
      <c r="H734">
        <v>0</v>
      </c>
      <c r="I734">
        <v>0</v>
      </c>
      <c r="J734">
        <v>29011</v>
      </c>
      <c r="K734">
        <v>14</v>
      </c>
      <c r="M734" s="6" t="str">
        <f t="shared" si="54"/>
        <v/>
      </c>
      <c r="N734" s="7" t="str">
        <f t="shared" si="56"/>
        <v/>
      </c>
      <c r="O734" t="str">
        <f t="shared" si="55"/>
        <v>29</v>
      </c>
      <c r="P734" s="4" t="str">
        <f>LEFT(L734,1)</f>
        <v/>
      </c>
      <c r="Q734" t="s">
        <v>20</v>
      </c>
    </row>
    <row r="735" spans="1:17" hidden="1" x14ac:dyDescent="0.25">
      <c r="A735">
        <v>594</v>
      </c>
      <c r="B735">
        <v>0</v>
      </c>
      <c r="C735">
        <v>3</v>
      </c>
      <c r="D735" t="s">
        <v>1056</v>
      </c>
      <c r="E735" s="4">
        <f>LEN(D735)</f>
        <v>18</v>
      </c>
      <c r="F735" t="s">
        <v>14</v>
      </c>
      <c r="H735">
        <v>0</v>
      </c>
      <c r="I735">
        <v>2</v>
      </c>
      <c r="J735">
        <v>364848</v>
      </c>
      <c r="K735">
        <v>7.75</v>
      </c>
      <c r="M735" s="6" t="str">
        <f t="shared" si="54"/>
        <v/>
      </c>
      <c r="N735" s="7" t="str">
        <f t="shared" si="56"/>
        <v/>
      </c>
      <c r="O735" t="str">
        <f t="shared" si="55"/>
        <v>36</v>
      </c>
      <c r="P735" s="4" t="str">
        <f>LEFT(L735,1)</f>
        <v/>
      </c>
      <c r="Q735" t="s">
        <v>161</v>
      </c>
    </row>
    <row r="736" spans="1:17" hidden="1" x14ac:dyDescent="0.25">
      <c r="A736">
        <v>614</v>
      </c>
      <c r="B736">
        <v>0</v>
      </c>
      <c r="C736">
        <v>3</v>
      </c>
      <c r="D736" t="s">
        <v>1057</v>
      </c>
      <c r="E736" s="4">
        <f>LEN(D736)</f>
        <v>16</v>
      </c>
      <c r="F736" t="s">
        <v>24</v>
      </c>
      <c r="H736">
        <v>0</v>
      </c>
      <c r="I736">
        <v>0</v>
      </c>
      <c r="J736">
        <v>370377</v>
      </c>
      <c r="K736">
        <v>7.75</v>
      </c>
      <c r="M736" s="6" t="str">
        <f t="shared" si="54"/>
        <v/>
      </c>
      <c r="N736" s="7" t="str">
        <f t="shared" si="56"/>
        <v/>
      </c>
      <c r="O736" t="str">
        <f t="shared" si="55"/>
        <v>37</v>
      </c>
      <c r="P736" s="4" t="str">
        <f>LEFT(L736,1)</f>
        <v/>
      </c>
      <c r="Q736" t="s">
        <v>161</v>
      </c>
    </row>
    <row r="737" spans="1:17" hidden="1" x14ac:dyDescent="0.25">
      <c r="A737">
        <v>239</v>
      </c>
      <c r="B737">
        <v>0</v>
      </c>
      <c r="C737">
        <v>2</v>
      </c>
      <c r="D737" t="s">
        <v>494</v>
      </c>
      <c r="E737" s="4">
        <f>LEN(D737)</f>
        <v>31</v>
      </c>
      <c r="F737" t="s">
        <v>24</v>
      </c>
      <c r="G737">
        <v>19</v>
      </c>
      <c r="H737">
        <v>0</v>
      </c>
      <c r="I737">
        <v>0</v>
      </c>
      <c r="J737">
        <v>28665</v>
      </c>
      <c r="K737">
        <v>10.5</v>
      </c>
      <c r="M737" s="6" t="str">
        <f t="shared" si="54"/>
        <v/>
      </c>
      <c r="N737" s="7" t="str">
        <f t="shared" si="56"/>
        <v/>
      </c>
      <c r="O737" t="str">
        <f t="shared" si="55"/>
        <v>28</v>
      </c>
      <c r="P737" s="4" t="str">
        <f>LEFT(L737,1)</f>
        <v/>
      </c>
      <c r="Q737" t="s">
        <v>20</v>
      </c>
    </row>
    <row r="738" spans="1:17" hidden="1" x14ac:dyDescent="0.25">
      <c r="A738">
        <v>406</v>
      </c>
      <c r="B738">
        <v>0</v>
      </c>
      <c r="C738">
        <v>2</v>
      </c>
      <c r="D738" t="s">
        <v>540</v>
      </c>
      <c r="E738" s="4">
        <f>LEN(D738)</f>
        <v>18</v>
      </c>
      <c r="F738" t="s">
        <v>24</v>
      </c>
      <c r="G738">
        <v>34</v>
      </c>
      <c r="H738">
        <v>1</v>
      </c>
      <c r="I738">
        <v>0</v>
      </c>
      <c r="J738">
        <v>28664</v>
      </c>
      <c r="K738">
        <v>21</v>
      </c>
      <c r="M738" s="6" t="str">
        <f t="shared" si="54"/>
        <v/>
      </c>
      <c r="N738" s="7" t="str">
        <f t="shared" si="56"/>
        <v/>
      </c>
      <c r="O738" t="str">
        <f t="shared" si="55"/>
        <v>28</v>
      </c>
      <c r="P738" s="4" t="str">
        <f>LEFT(L738,1)</f>
        <v/>
      </c>
      <c r="Q738" t="s">
        <v>20</v>
      </c>
    </row>
    <row r="739" spans="1:17" x14ac:dyDescent="0.25">
      <c r="A739">
        <v>328</v>
      </c>
      <c r="B739">
        <v>1</v>
      </c>
      <c r="C739">
        <v>2</v>
      </c>
      <c r="D739" t="s">
        <v>517</v>
      </c>
      <c r="E739" s="4">
        <f>LEN(D739)</f>
        <v>23</v>
      </c>
      <c r="F739" t="s">
        <v>14</v>
      </c>
      <c r="G739">
        <v>36</v>
      </c>
      <c r="H739">
        <v>0</v>
      </c>
      <c r="I739">
        <v>0</v>
      </c>
      <c r="J739">
        <v>28551</v>
      </c>
      <c r="K739">
        <v>13</v>
      </c>
      <c r="L739" t="s">
        <v>62</v>
      </c>
      <c r="M739" s="6" t="str">
        <f t="shared" si="54"/>
        <v>D</v>
      </c>
      <c r="N739" s="7" t="str">
        <f t="shared" si="56"/>
        <v/>
      </c>
      <c r="O739" t="str">
        <f t="shared" si="55"/>
        <v>28</v>
      </c>
      <c r="P739" s="4" t="str">
        <f>LEFT(L739,1)</f>
        <v>D</v>
      </c>
      <c r="Q739" t="s">
        <v>20</v>
      </c>
    </row>
    <row r="740" spans="1:17" hidden="1" x14ac:dyDescent="0.25">
      <c r="A740">
        <v>449</v>
      </c>
      <c r="B740">
        <v>1</v>
      </c>
      <c r="C740">
        <v>3</v>
      </c>
      <c r="D740" t="s">
        <v>944</v>
      </c>
      <c r="E740" s="4">
        <f>LEN(D740)</f>
        <v>30</v>
      </c>
      <c r="F740" t="s">
        <v>14</v>
      </c>
      <c r="G740">
        <v>5</v>
      </c>
      <c r="H740">
        <v>2</v>
      </c>
      <c r="I740">
        <v>1</v>
      </c>
      <c r="J740">
        <v>2666</v>
      </c>
      <c r="K740">
        <v>19.258299999999998</v>
      </c>
      <c r="M740" s="6" t="str">
        <f t="shared" si="54"/>
        <v/>
      </c>
      <c r="N740" s="7" t="str">
        <f t="shared" si="56"/>
        <v/>
      </c>
      <c r="O740" t="str">
        <f t="shared" si="55"/>
        <v>26</v>
      </c>
      <c r="P740" s="4" t="str">
        <f>LEFT(L740,1)</f>
        <v/>
      </c>
      <c r="Q740" t="s">
        <v>17</v>
      </c>
    </row>
    <row r="741" spans="1:17" hidden="1" x14ac:dyDescent="0.25">
      <c r="A741">
        <v>470</v>
      </c>
      <c r="B741">
        <v>1</v>
      </c>
      <c r="C741">
        <v>3</v>
      </c>
      <c r="D741" t="s">
        <v>962</v>
      </c>
      <c r="E741" s="4">
        <f>LEN(D741)</f>
        <v>29</v>
      </c>
      <c r="F741" t="s">
        <v>14</v>
      </c>
      <c r="G741">
        <v>0.75</v>
      </c>
      <c r="H741">
        <v>2</v>
      </c>
      <c r="I741">
        <v>1</v>
      </c>
      <c r="J741">
        <v>2666</v>
      </c>
      <c r="K741">
        <v>19.258299999999998</v>
      </c>
      <c r="M741" s="6" t="str">
        <f t="shared" si="54"/>
        <v/>
      </c>
      <c r="N741" s="7" t="str">
        <f t="shared" si="56"/>
        <v/>
      </c>
      <c r="O741" t="str">
        <f t="shared" si="55"/>
        <v>26</v>
      </c>
      <c r="P741" s="4" t="str">
        <f>LEFT(L741,1)</f>
        <v/>
      </c>
      <c r="Q741" t="s">
        <v>17</v>
      </c>
    </row>
    <row r="742" spans="1:17" hidden="1" x14ac:dyDescent="0.25">
      <c r="A742">
        <v>734</v>
      </c>
      <c r="B742">
        <v>0</v>
      </c>
      <c r="C742">
        <v>2</v>
      </c>
      <c r="D742" t="s">
        <v>614</v>
      </c>
      <c r="E742" s="4">
        <f>LEN(D742)</f>
        <v>26</v>
      </c>
      <c r="F742" t="s">
        <v>24</v>
      </c>
      <c r="G742">
        <v>23</v>
      </c>
      <c r="H742">
        <v>0</v>
      </c>
      <c r="I742">
        <v>0</v>
      </c>
      <c r="J742">
        <v>28425</v>
      </c>
      <c r="K742">
        <v>13</v>
      </c>
      <c r="M742" s="6" t="str">
        <f t="shared" si="54"/>
        <v/>
      </c>
      <c r="N742" s="7" t="str">
        <f t="shared" si="56"/>
        <v/>
      </c>
      <c r="O742" t="str">
        <f t="shared" si="55"/>
        <v>28</v>
      </c>
      <c r="P742" s="4" t="str">
        <f>LEFT(L742,1)</f>
        <v/>
      </c>
      <c r="Q742" t="s">
        <v>20</v>
      </c>
    </row>
    <row r="743" spans="1:17" hidden="1" x14ac:dyDescent="0.25">
      <c r="A743">
        <v>192</v>
      </c>
      <c r="B743">
        <v>0</v>
      </c>
      <c r="C743">
        <v>2</v>
      </c>
      <c r="D743" t="s">
        <v>475</v>
      </c>
      <c r="E743" s="4">
        <f>LEN(D743)</f>
        <v>21</v>
      </c>
      <c r="F743" t="s">
        <v>24</v>
      </c>
      <c r="G743">
        <v>19</v>
      </c>
      <c r="H743">
        <v>0</v>
      </c>
      <c r="I743">
        <v>0</v>
      </c>
      <c r="J743">
        <v>28424</v>
      </c>
      <c r="K743">
        <v>13</v>
      </c>
      <c r="M743" s="6" t="str">
        <f t="shared" si="54"/>
        <v/>
      </c>
      <c r="N743" s="7" t="str">
        <f t="shared" si="56"/>
        <v/>
      </c>
      <c r="O743" t="str">
        <f t="shared" si="55"/>
        <v>28</v>
      </c>
      <c r="P743" s="4" t="str">
        <f>LEFT(L743,1)</f>
        <v/>
      </c>
      <c r="Q743" t="s">
        <v>20</v>
      </c>
    </row>
    <row r="744" spans="1:17" hidden="1" x14ac:dyDescent="0.25">
      <c r="A744">
        <v>398</v>
      </c>
      <c r="B744">
        <v>0</v>
      </c>
      <c r="C744">
        <v>2</v>
      </c>
      <c r="D744" t="s">
        <v>537</v>
      </c>
      <c r="E744" s="4">
        <f>LEN(D744)</f>
        <v>23</v>
      </c>
      <c r="F744" t="s">
        <v>24</v>
      </c>
      <c r="G744">
        <v>46</v>
      </c>
      <c r="H744">
        <v>0</v>
      </c>
      <c r="I744">
        <v>0</v>
      </c>
      <c r="J744">
        <v>28403</v>
      </c>
      <c r="K744">
        <v>26</v>
      </c>
      <c r="M744" s="6" t="str">
        <f t="shared" si="54"/>
        <v/>
      </c>
      <c r="N744" s="7" t="str">
        <f t="shared" si="56"/>
        <v/>
      </c>
      <c r="O744" t="str">
        <f t="shared" si="55"/>
        <v>28</v>
      </c>
      <c r="P744" s="4" t="str">
        <f>LEFT(L744,1)</f>
        <v/>
      </c>
      <c r="Q744" t="s">
        <v>20</v>
      </c>
    </row>
    <row r="745" spans="1:17" hidden="1" x14ac:dyDescent="0.25">
      <c r="A745">
        <v>791</v>
      </c>
      <c r="B745">
        <v>0</v>
      </c>
      <c r="C745">
        <v>3</v>
      </c>
      <c r="D745" t="s">
        <v>1068</v>
      </c>
      <c r="E745" s="4">
        <f>LEN(D745)</f>
        <v>24</v>
      </c>
      <c r="F745" t="s">
        <v>24</v>
      </c>
      <c r="H745">
        <v>0</v>
      </c>
      <c r="I745">
        <v>0</v>
      </c>
      <c r="J745">
        <v>12460</v>
      </c>
      <c r="K745">
        <v>7.75</v>
      </c>
      <c r="M745" s="6" t="str">
        <f t="shared" si="54"/>
        <v/>
      </c>
      <c r="N745" s="7" t="str">
        <f t="shared" si="56"/>
        <v/>
      </c>
      <c r="O745" t="str">
        <f t="shared" si="55"/>
        <v>12</v>
      </c>
      <c r="P745" s="4" t="str">
        <f>LEFT(L745,1)</f>
        <v/>
      </c>
      <c r="Q745" t="s">
        <v>161</v>
      </c>
    </row>
    <row r="746" spans="1:17" hidden="1" x14ac:dyDescent="0.25">
      <c r="A746">
        <v>583</v>
      </c>
      <c r="B746">
        <v>0</v>
      </c>
      <c r="C746">
        <v>2</v>
      </c>
      <c r="D746" t="s">
        <v>581</v>
      </c>
      <c r="E746" s="4">
        <f>LEN(D746)</f>
        <v>26</v>
      </c>
      <c r="F746" t="s">
        <v>24</v>
      </c>
      <c r="G746">
        <v>54</v>
      </c>
      <c r="H746">
        <v>0</v>
      </c>
      <c r="I746">
        <v>0</v>
      </c>
      <c r="J746">
        <v>28403</v>
      </c>
      <c r="K746">
        <v>26</v>
      </c>
      <c r="M746" s="6" t="str">
        <f t="shared" si="54"/>
        <v/>
      </c>
      <c r="N746" s="7" t="str">
        <f t="shared" si="56"/>
        <v/>
      </c>
      <c r="O746" t="str">
        <f t="shared" si="55"/>
        <v>28</v>
      </c>
      <c r="P746" s="4" t="str">
        <f>LEFT(L746,1)</f>
        <v/>
      </c>
      <c r="Q746" t="s">
        <v>20</v>
      </c>
    </row>
    <row r="747" spans="1:17" hidden="1" x14ac:dyDescent="0.25">
      <c r="A747">
        <v>33</v>
      </c>
      <c r="B747">
        <v>1</v>
      </c>
      <c r="C747">
        <v>3</v>
      </c>
      <c r="D747" t="s">
        <v>1070</v>
      </c>
      <c r="E747" s="4">
        <f>LEN(D747)</f>
        <v>24</v>
      </c>
      <c r="F747" t="s">
        <v>14</v>
      </c>
      <c r="H747">
        <v>0</v>
      </c>
      <c r="I747">
        <v>0</v>
      </c>
      <c r="J747">
        <v>335677</v>
      </c>
      <c r="K747">
        <v>7.75</v>
      </c>
      <c r="M747" s="6" t="str">
        <f t="shared" si="54"/>
        <v/>
      </c>
      <c r="N747" s="7" t="str">
        <f t="shared" si="56"/>
        <v/>
      </c>
      <c r="O747" t="str">
        <f t="shared" si="55"/>
        <v>33</v>
      </c>
      <c r="P747" s="4" t="str">
        <f>LEFT(L747,1)</f>
        <v/>
      </c>
      <c r="Q747" t="s">
        <v>161</v>
      </c>
    </row>
    <row r="748" spans="1:17" hidden="1" x14ac:dyDescent="0.25">
      <c r="A748">
        <v>419</v>
      </c>
      <c r="B748">
        <v>0</v>
      </c>
      <c r="C748">
        <v>2</v>
      </c>
      <c r="D748" t="s">
        <v>544</v>
      </c>
      <c r="E748" s="4">
        <f>LEN(D748)</f>
        <v>26</v>
      </c>
      <c r="F748" t="s">
        <v>24</v>
      </c>
      <c r="G748">
        <v>30</v>
      </c>
      <c r="H748">
        <v>0</v>
      </c>
      <c r="I748">
        <v>0</v>
      </c>
      <c r="J748">
        <v>28228</v>
      </c>
      <c r="K748">
        <v>13</v>
      </c>
      <c r="M748" s="6" t="str">
        <f t="shared" si="54"/>
        <v/>
      </c>
      <c r="N748" s="7" t="str">
        <f t="shared" si="56"/>
        <v/>
      </c>
      <c r="O748" t="str">
        <f t="shared" si="55"/>
        <v>28</v>
      </c>
      <c r="P748" s="4" t="str">
        <f>LEFT(L748,1)</f>
        <v/>
      </c>
      <c r="Q748" t="s">
        <v>20</v>
      </c>
    </row>
    <row r="749" spans="1:17" hidden="1" x14ac:dyDescent="0.25">
      <c r="A749">
        <v>417</v>
      </c>
      <c r="B749">
        <v>1</v>
      </c>
      <c r="C749">
        <v>2</v>
      </c>
      <c r="D749" t="s">
        <v>542</v>
      </c>
      <c r="E749" s="4">
        <f>LEN(D749)</f>
        <v>47</v>
      </c>
      <c r="F749" t="s">
        <v>14</v>
      </c>
      <c r="G749">
        <v>34</v>
      </c>
      <c r="H749">
        <v>1</v>
      </c>
      <c r="I749">
        <v>1</v>
      </c>
      <c r="J749">
        <v>28220</v>
      </c>
      <c r="K749">
        <v>32.5</v>
      </c>
      <c r="M749" s="6" t="str">
        <f t="shared" si="54"/>
        <v/>
      </c>
      <c r="N749" s="7" t="str">
        <f t="shared" si="56"/>
        <v/>
      </c>
      <c r="O749" t="str">
        <f t="shared" si="55"/>
        <v>28</v>
      </c>
      <c r="P749" s="4" t="str">
        <f>LEFT(L749,1)</f>
        <v/>
      </c>
      <c r="Q749" t="s">
        <v>20</v>
      </c>
    </row>
    <row r="750" spans="1:17" hidden="1" x14ac:dyDescent="0.25">
      <c r="A750">
        <v>796</v>
      </c>
      <c r="B750">
        <v>0</v>
      </c>
      <c r="C750">
        <v>2</v>
      </c>
      <c r="D750" t="s">
        <v>626</v>
      </c>
      <c r="E750" s="4">
        <f>LEN(D750)</f>
        <v>18</v>
      </c>
      <c r="F750" t="s">
        <v>24</v>
      </c>
      <c r="G750">
        <v>39</v>
      </c>
      <c r="H750">
        <v>0</v>
      </c>
      <c r="I750">
        <v>0</v>
      </c>
      <c r="J750">
        <v>28213</v>
      </c>
      <c r="K750">
        <v>13</v>
      </c>
      <c r="M750" s="6" t="str">
        <f t="shared" si="54"/>
        <v/>
      </c>
      <c r="N750" s="7" t="str">
        <f t="shared" si="56"/>
        <v/>
      </c>
      <c r="O750" t="str">
        <f t="shared" si="55"/>
        <v>28</v>
      </c>
      <c r="P750" s="4" t="str">
        <f>LEFT(L750,1)</f>
        <v/>
      </c>
      <c r="Q750" t="s">
        <v>20</v>
      </c>
    </row>
    <row r="751" spans="1:17" hidden="1" x14ac:dyDescent="0.25">
      <c r="A751">
        <v>48</v>
      </c>
      <c r="B751">
        <v>1</v>
      </c>
      <c r="C751">
        <v>3</v>
      </c>
      <c r="D751" t="s">
        <v>1075</v>
      </c>
      <c r="E751" s="4">
        <f>LEN(D751)</f>
        <v>25</v>
      </c>
      <c r="F751" t="s">
        <v>14</v>
      </c>
      <c r="H751">
        <v>0</v>
      </c>
      <c r="I751">
        <v>0</v>
      </c>
      <c r="J751">
        <v>14311</v>
      </c>
      <c r="K751">
        <v>7.75</v>
      </c>
      <c r="M751" s="6" t="str">
        <f t="shared" si="54"/>
        <v/>
      </c>
      <c r="N751" s="7" t="str">
        <f t="shared" si="56"/>
        <v/>
      </c>
      <c r="O751" t="str">
        <f t="shared" si="55"/>
        <v>14</v>
      </c>
      <c r="P751" s="4" t="str">
        <f>LEFT(L751,1)</f>
        <v/>
      </c>
      <c r="Q751" t="s">
        <v>161</v>
      </c>
    </row>
    <row r="752" spans="1:17" hidden="1" x14ac:dyDescent="0.25">
      <c r="A752">
        <v>813</v>
      </c>
      <c r="B752">
        <v>0</v>
      </c>
      <c r="C752">
        <v>2</v>
      </c>
      <c r="D752" t="s">
        <v>630</v>
      </c>
      <c r="E752" s="4">
        <f>LEN(D752)</f>
        <v>25</v>
      </c>
      <c r="F752" t="s">
        <v>24</v>
      </c>
      <c r="G752">
        <v>35</v>
      </c>
      <c r="H752">
        <v>0</v>
      </c>
      <c r="I752">
        <v>0</v>
      </c>
      <c r="J752">
        <v>28206</v>
      </c>
      <c r="K752">
        <v>10.5</v>
      </c>
      <c r="M752" s="6" t="str">
        <f t="shared" si="54"/>
        <v/>
      </c>
      <c r="N752" s="7" t="str">
        <f t="shared" si="56"/>
        <v/>
      </c>
      <c r="O752" t="str">
        <f t="shared" si="55"/>
        <v>28</v>
      </c>
      <c r="P752" s="4" t="str">
        <f>LEFT(L752,1)</f>
        <v/>
      </c>
      <c r="Q752" t="s">
        <v>20</v>
      </c>
    </row>
    <row r="753" spans="1:17" hidden="1" x14ac:dyDescent="0.25">
      <c r="A753">
        <v>862</v>
      </c>
      <c r="B753">
        <v>0</v>
      </c>
      <c r="C753">
        <v>2</v>
      </c>
      <c r="D753" t="s">
        <v>642</v>
      </c>
      <c r="E753" s="4">
        <f>LEN(D753)</f>
        <v>27</v>
      </c>
      <c r="F753" t="s">
        <v>24</v>
      </c>
      <c r="G753">
        <v>21</v>
      </c>
      <c r="H753">
        <v>1</v>
      </c>
      <c r="I753">
        <v>0</v>
      </c>
      <c r="J753">
        <v>28134</v>
      </c>
      <c r="K753">
        <v>11.5</v>
      </c>
      <c r="M753" s="6" t="str">
        <f t="shared" si="54"/>
        <v/>
      </c>
      <c r="N753" s="7" t="str">
        <f t="shared" si="56"/>
        <v/>
      </c>
      <c r="O753" t="str">
        <f t="shared" si="55"/>
        <v>28</v>
      </c>
      <c r="P753" s="4" t="str">
        <f>LEFT(L753,1)</f>
        <v/>
      </c>
      <c r="Q753" t="s">
        <v>20</v>
      </c>
    </row>
    <row r="754" spans="1:17" hidden="1" x14ac:dyDescent="0.25">
      <c r="A754">
        <v>199</v>
      </c>
      <c r="B754">
        <v>1</v>
      </c>
      <c r="C754">
        <v>3</v>
      </c>
      <c r="D754" t="s">
        <v>1078</v>
      </c>
      <c r="E754" s="4">
        <f>LEN(D754)</f>
        <v>32</v>
      </c>
      <c r="F754" t="s">
        <v>14</v>
      </c>
      <c r="H754">
        <v>0</v>
      </c>
      <c r="I754">
        <v>0</v>
      </c>
      <c r="J754">
        <v>370370</v>
      </c>
      <c r="K754">
        <v>7.75</v>
      </c>
      <c r="M754" s="6" t="str">
        <f t="shared" si="54"/>
        <v/>
      </c>
      <c r="N754" s="7" t="str">
        <f t="shared" si="56"/>
        <v/>
      </c>
      <c r="O754" t="str">
        <f t="shared" si="55"/>
        <v>37</v>
      </c>
      <c r="P754" s="4" t="str">
        <f>LEFT(L754,1)</f>
        <v/>
      </c>
      <c r="Q754" t="s">
        <v>161</v>
      </c>
    </row>
    <row r="755" spans="1:17" hidden="1" x14ac:dyDescent="0.25">
      <c r="A755">
        <v>388</v>
      </c>
      <c r="B755">
        <v>1</v>
      </c>
      <c r="C755">
        <v>2</v>
      </c>
      <c r="D755" t="s">
        <v>534</v>
      </c>
      <c r="E755" s="4">
        <f>LEN(D755)</f>
        <v>16</v>
      </c>
      <c r="F755" t="s">
        <v>14</v>
      </c>
      <c r="G755">
        <v>36</v>
      </c>
      <c r="H755">
        <v>0</v>
      </c>
      <c r="I755">
        <v>0</v>
      </c>
      <c r="J755">
        <v>27849</v>
      </c>
      <c r="K755">
        <v>13</v>
      </c>
      <c r="M755" s="6" t="str">
        <f t="shared" si="54"/>
        <v/>
      </c>
      <c r="N755" s="7" t="str">
        <f t="shared" si="56"/>
        <v/>
      </c>
      <c r="O755" t="str">
        <f t="shared" si="55"/>
        <v>27</v>
      </c>
      <c r="P755" s="4" t="str">
        <f>LEFT(L755,1)</f>
        <v/>
      </c>
      <c r="Q755" t="s">
        <v>20</v>
      </c>
    </row>
    <row r="756" spans="1:17" x14ac:dyDescent="0.25">
      <c r="A756">
        <v>124</v>
      </c>
      <c r="B756">
        <v>1</v>
      </c>
      <c r="C756">
        <v>2</v>
      </c>
      <c r="D756" t="s">
        <v>453</v>
      </c>
      <c r="E756" s="4">
        <f>LEN(D756)</f>
        <v>19</v>
      </c>
      <c r="F756" t="s">
        <v>14</v>
      </c>
      <c r="G756">
        <v>32.5</v>
      </c>
      <c r="H756">
        <v>0</v>
      </c>
      <c r="I756">
        <v>0</v>
      </c>
      <c r="J756">
        <v>27267</v>
      </c>
      <c r="K756">
        <v>13</v>
      </c>
      <c r="L756" t="s">
        <v>454</v>
      </c>
      <c r="M756" s="6" t="str">
        <f t="shared" si="54"/>
        <v>101</v>
      </c>
      <c r="N756" s="7">
        <f t="shared" si="56"/>
        <v>101</v>
      </c>
      <c r="O756" t="str">
        <f t="shared" si="55"/>
        <v>27</v>
      </c>
      <c r="P756" s="4" t="str">
        <f>LEFT(L756,1)</f>
        <v>E</v>
      </c>
      <c r="Q756" t="s">
        <v>20</v>
      </c>
    </row>
    <row r="757" spans="1:17" hidden="1" x14ac:dyDescent="0.25">
      <c r="A757">
        <v>275</v>
      </c>
      <c r="B757">
        <v>1</v>
      </c>
      <c r="C757">
        <v>3</v>
      </c>
      <c r="D757" t="s">
        <v>1081</v>
      </c>
      <c r="E757" s="4">
        <f>LEN(D757)</f>
        <v>26</v>
      </c>
      <c r="F757" t="s">
        <v>14</v>
      </c>
      <c r="H757">
        <v>0</v>
      </c>
      <c r="I757">
        <v>0</v>
      </c>
      <c r="J757">
        <v>370375</v>
      </c>
      <c r="K757">
        <v>7.75</v>
      </c>
      <c r="M757" s="6" t="str">
        <f t="shared" si="54"/>
        <v/>
      </c>
      <c r="N757" s="7" t="str">
        <f t="shared" si="56"/>
        <v/>
      </c>
      <c r="O757" t="str">
        <f t="shared" si="55"/>
        <v>37</v>
      </c>
      <c r="P757" s="4" t="str">
        <f>LEFT(L757,1)</f>
        <v/>
      </c>
      <c r="Q757" t="s">
        <v>161</v>
      </c>
    </row>
    <row r="758" spans="1:17" x14ac:dyDescent="0.25">
      <c r="A758">
        <v>631</v>
      </c>
      <c r="B758">
        <v>1</v>
      </c>
      <c r="C758">
        <v>1</v>
      </c>
      <c r="D758" t="s">
        <v>326</v>
      </c>
      <c r="E758" s="4">
        <f>LEN(D758)</f>
        <v>36</v>
      </c>
      <c r="F758" t="s">
        <v>24</v>
      </c>
      <c r="G758">
        <v>80</v>
      </c>
      <c r="H758">
        <v>0</v>
      </c>
      <c r="I758">
        <v>0</v>
      </c>
      <c r="J758">
        <v>27042</v>
      </c>
      <c r="K758">
        <v>30</v>
      </c>
      <c r="L758" t="s">
        <v>327</v>
      </c>
      <c r="M758" s="6" t="str">
        <f t="shared" si="54"/>
        <v>23</v>
      </c>
      <c r="N758" s="7">
        <f t="shared" si="56"/>
        <v>23</v>
      </c>
      <c r="O758" t="str">
        <f t="shared" si="55"/>
        <v>27</v>
      </c>
      <c r="P758" s="4" t="str">
        <f>LEFT(L758,1)</f>
        <v>A</v>
      </c>
      <c r="Q758" t="s">
        <v>20</v>
      </c>
    </row>
    <row r="759" spans="1:17" hidden="1" x14ac:dyDescent="0.25">
      <c r="A759">
        <v>301</v>
      </c>
      <c r="B759">
        <v>1</v>
      </c>
      <c r="C759">
        <v>3</v>
      </c>
      <c r="D759" t="s">
        <v>1084</v>
      </c>
      <c r="E759" s="4">
        <f>LEN(D759)</f>
        <v>40</v>
      </c>
      <c r="F759" t="s">
        <v>14</v>
      </c>
      <c r="H759">
        <v>0</v>
      </c>
      <c r="I759">
        <v>0</v>
      </c>
      <c r="J759">
        <v>9234</v>
      </c>
      <c r="K759">
        <v>7.75</v>
      </c>
      <c r="M759" s="6" t="str">
        <f t="shared" si="54"/>
        <v/>
      </c>
      <c r="N759" s="7" t="str">
        <f t="shared" si="56"/>
        <v/>
      </c>
      <c r="O759" t="str">
        <f t="shared" si="55"/>
        <v>92</v>
      </c>
      <c r="P759" s="4" t="str">
        <f>LEFT(L759,1)</f>
        <v/>
      </c>
      <c r="Q759" t="s">
        <v>161</v>
      </c>
    </row>
    <row r="760" spans="1:17" hidden="1" x14ac:dyDescent="0.25">
      <c r="A760">
        <v>237</v>
      </c>
      <c r="B760">
        <v>0</v>
      </c>
      <c r="C760">
        <v>2</v>
      </c>
      <c r="D760" t="s">
        <v>491</v>
      </c>
      <c r="E760" s="4">
        <f>LEN(D760)</f>
        <v>17</v>
      </c>
      <c r="F760" t="s">
        <v>24</v>
      </c>
      <c r="G760">
        <v>44</v>
      </c>
      <c r="H760">
        <v>1</v>
      </c>
      <c r="I760">
        <v>0</v>
      </c>
      <c r="J760">
        <v>26707</v>
      </c>
      <c r="K760">
        <v>26</v>
      </c>
      <c r="M760" s="6" t="str">
        <f t="shared" si="54"/>
        <v/>
      </c>
      <c r="N760" s="7" t="str">
        <f t="shared" si="56"/>
        <v/>
      </c>
      <c r="O760" t="str">
        <f t="shared" si="55"/>
        <v>26</v>
      </c>
      <c r="P760" s="4" t="str">
        <f>LEFT(L760,1)</f>
        <v/>
      </c>
      <c r="Q760" t="s">
        <v>20</v>
      </c>
    </row>
    <row r="761" spans="1:17" hidden="1" x14ac:dyDescent="0.25">
      <c r="A761">
        <v>369</v>
      </c>
      <c r="B761">
        <v>1</v>
      </c>
      <c r="C761">
        <v>3</v>
      </c>
      <c r="D761" t="s">
        <v>1086</v>
      </c>
      <c r="E761" s="4">
        <f>LEN(D761)</f>
        <v>19</v>
      </c>
      <c r="F761" t="s">
        <v>14</v>
      </c>
      <c r="H761">
        <v>0</v>
      </c>
      <c r="I761">
        <v>0</v>
      </c>
      <c r="J761">
        <v>14313</v>
      </c>
      <c r="K761">
        <v>7.75</v>
      </c>
      <c r="M761" s="6" t="str">
        <f t="shared" si="54"/>
        <v/>
      </c>
      <c r="N761" s="7" t="str">
        <f t="shared" si="56"/>
        <v/>
      </c>
      <c r="O761" t="str">
        <f t="shared" si="55"/>
        <v>14</v>
      </c>
      <c r="P761" s="4" t="str">
        <f>LEFT(L761,1)</f>
        <v/>
      </c>
      <c r="Q761" t="s">
        <v>161</v>
      </c>
    </row>
    <row r="762" spans="1:17" hidden="1" x14ac:dyDescent="0.25">
      <c r="A762">
        <v>655</v>
      </c>
      <c r="B762">
        <v>0</v>
      </c>
      <c r="C762">
        <v>3</v>
      </c>
      <c r="D762" t="s">
        <v>1087</v>
      </c>
      <c r="E762" s="4">
        <f>LEN(D762)</f>
        <v>28</v>
      </c>
      <c r="F762" t="s">
        <v>14</v>
      </c>
      <c r="G762">
        <v>18</v>
      </c>
      <c r="H762">
        <v>0</v>
      </c>
      <c r="I762">
        <v>0</v>
      </c>
      <c r="J762">
        <v>365226</v>
      </c>
      <c r="K762">
        <v>6.75</v>
      </c>
      <c r="M762" s="6" t="str">
        <f t="shared" si="54"/>
        <v/>
      </c>
      <c r="N762" s="7" t="str">
        <f t="shared" si="56"/>
        <v/>
      </c>
      <c r="O762" t="str">
        <f t="shared" si="55"/>
        <v>36</v>
      </c>
      <c r="P762" s="4" t="str">
        <f>LEFT(L762,1)</f>
        <v/>
      </c>
      <c r="Q762" t="s">
        <v>161</v>
      </c>
    </row>
    <row r="763" spans="1:17" hidden="1" x14ac:dyDescent="0.25">
      <c r="A763">
        <v>574</v>
      </c>
      <c r="B763">
        <v>1</v>
      </c>
      <c r="C763">
        <v>3</v>
      </c>
      <c r="D763" t="s">
        <v>1088</v>
      </c>
      <c r="E763" s="4">
        <f>LEN(D763)</f>
        <v>17</v>
      </c>
      <c r="F763" t="s">
        <v>14</v>
      </c>
      <c r="H763">
        <v>0</v>
      </c>
      <c r="I763">
        <v>0</v>
      </c>
      <c r="J763">
        <v>14312</v>
      </c>
      <c r="K763">
        <v>7.75</v>
      </c>
      <c r="M763" s="6" t="str">
        <f t="shared" si="54"/>
        <v/>
      </c>
      <c r="N763" s="7" t="str">
        <f t="shared" si="56"/>
        <v/>
      </c>
      <c r="O763" t="str">
        <f t="shared" si="55"/>
        <v>14</v>
      </c>
      <c r="P763" s="4" t="str">
        <f>LEFT(L763,1)</f>
        <v/>
      </c>
      <c r="Q763" t="s">
        <v>161</v>
      </c>
    </row>
    <row r="764" spans="1:17" hidden="1" x14ac:dyDescent="0.25">
      <c r="A764">
        <v>658</v>
      </c>
      <c r="B764">
        <v>0</v>
      </c>
      <c r="C764">
        <v>3</v>
      </c>
      <c r="D764" t="s">
        <v>1089</v>
      </c>
      <c r="E764" s="4">
        <f>LEN(D764)</f>
        <v>29</v>
      </c>
      <c r="F764" t="s">
        <v>14</v>
      </c>
      <c r="G764">
        <v>32</v>
      </c>
      <c r="H764">
        <v>1</v>
      </c>
      <c r="I764">
        <v>1</v>
      </c>
      <c r="J764">
        <v>364849</v>
      </c>
      <c r="K764">
        <v>15.5</v>
      </c>
      <c r="M764" s="6" t="str">
        <f t="shared" si="54"/>
        <v/>
      </c>
      <c r="N764" s="7" t="str">
        <f t="shared" si="56"/>
        <v/>
      </c>
      <c r="O764" t="str">
        <f t="shared" si="55"/>
        <v>36</v>
      </c>
      <c r="P764" s="4" t="str">
        <f>LEFT(L764,1)</f>
        <v/>
      </c>
      <c r="Q764" t="s">
        <v>161</v>
      </c>
    </row>
    <row r="765" spans="1:17" hidden="1" x14ac:dyDescent="0.25">
      <c r="A765">
        <v>645</v>
      </c>
      <c r="B765">
        <v>1</v>
      </c>
      <c r="C765">
        <v>3</v>
      </c>
      <c r="D765" t="s">
        <v>1079</v>
      </c>
      <c r="E765" s="4">
        <f>LEN(D765)</f>
        <v>22</v>
      </c>
      <c r="F765" t="s">
        <v>14</v>
      </c>
      <c r="G765">
        <v>0.75</v>
      </c>
      <c r="H765">
        <v>2</v>
      </c>
      <c r="I765">
        <v>1</v>
      </c>
      <c r="J765">
        <v>2666</v>
      </c>
      <c r="K765">
        <v>19.258299999999998</v>
      </c>
      <c r="M765" s="6" t="str">
        <f t="shared" si="54"/>
        <v/>
      </c>
      <c r="N765" s="7" t="str">
        <f t="shared" si="56"/>
        <v/>
      </c>
      <c r="O765" t="str">
        <f t="shared" si="55"/>
        <v>26</v>
      </c>
      <c r="P765" s="4" t="str">
        <f>LEFT(L765,1)</f>
        <v/>
      </c>
      <c r="Q765" t="s">
        <v>17</v>
      </c>
    </row>
    <row r="766" spans="1:17" hidden="1" x14ac:dyDescent="0.25">
      <c r="A766">
        <v>507</v>
      </c>
      <c r="B766">
        <v>1</v>
      </c>
      <c r="C766">
        <v>2</v>
      </c>
      <c r="D766" t="s">
        <v>563</v>
      </c>
      <c r="E766" s="4">
        <f>LEN(D766)</f>
        <v>45</v>
      </c>
      <c r="F766" t="s">
        <v>14</v>
      </c>
      <c r="G766">
        <v>33</v>
      </c>
      <c r="H766">
        <v>0</v>
      </c>
      <c r="I766">
        <v>2</v>
      </c>
      <c r="J766">
        <v>26360</v>
      </c>
      <c r="K766">
        <v>26</v>
      </c>
      <c r="M766" s="6" t="str">
        <f t="shared" si="54"/>
        <v/>
      </c>
      <c r="N766" s="7" t="str">
        <f t="shared" si="56"/>
        <v/>
      </c>
      <c r="O766" t="str">
        <f t="shared" si="55"/>
        <v>26</v>
      </c>
      <c r="P766" s="4" t="str">
        <f>LEFT(L766,1)</f>
        <v/>
      </c>
      <c r="Q766" t="s">
        <v>20</v>
      </c>
    </row>
    <row r="767" spans="1:17" hidden="1" x14ac:dyDescent="0.25">
      <c r="A767">
        <v>531</v>
      </c>
      <c r="B767">
        <v>1</v>
      </c>
      <c r="C767">
        <v>2</v>
      </c>
      <c r="D767" t="s">
        <v>570</v>
      </c>
      <c r="E767" s="4">
        <f>LEN(D767)</f>
        <v>24</v>
      </c>
      <c r="F767" t="s">
        <v>14</v>
      </c>
      <c r="G767">
        <v>2</v>
      </c>
      <c r="H767">
        <v>1</v>
      </c>
      <c r="I767">
        <v>1</v>
      </c>
      <c r="J767">
        <v>26360</v>
      </c>
      <c r="K767">
        <v>26</v>
      </c>
      <c r="M767" s="6" t="str">
        <f t="shared" si="54"/>
        <v/>
      </c>
      <c r="N767" s="7" t="str">
        <f t="shared" si="56"/>
        <v/>
      </c>
      <c r="O767" t="str">
        <f t="shared" si="55"/>
        <v>26</v>
      </c>
      <c r="P767" s="4" t="str">
        <f>LEFT(L767,1)</f>
        <v/>
      </c>
      <c r="Q767" t="s">
        <v>20</v>
      </c>
    </row>
    <row r="768" spans="1:17" hidden="1" x14ac:dyDescent="0.25">
      <c r="A768">
        <v>829</v>
      </c>
      <c r="B768">
        <v>1</v>
      </c>
      <c r="C768">
        <v>3</v>
      </c>
      <c r="D768" t="s">
        <v>1094</v>
      </c>
      <c r="E768" s="4">
        <f>LEN(D768)</f>
        <v>28</v>
      </c>
      <c r="F768" t="s">
        <v>24</v>
      </c>
      <c r="H768">
        <v>0</v>
      </c>
      <c r="I768">
        <v>0</v>
      </c>
      <c r="J768">
        <v>367228</v>
      </c>
      <c r="K768">
        <v>7.75</v>
      </c>
      <c r="M768" s="6" t="str">
        <f t="shared" si="54"/>
        <v/>
      </c>
      <c r="N768" s="7" t="str">
        <f t="shared" si="56"/>
        <v/>
      </c>
      <c r="O768" t="str">
        <f t="shared" si="55"/>
        <v>36</v>
      </c>
      <c r="P768" s="4" t="str">
        <f>LEFT(L768,1)</f>
        <v/>
      </c>
      <c r="Q768" t="s">
        <v>161</v>
      </c>
    </row>
    <row r="769" spans="1:17" x14ac:dyDescent="0.25">
      <c r="A769">
        <v>690</v>
      </c>
      <c r="B769">
        <v>1</v>
      </c>
      <c r="C769">
        <v>1</v>
      </c>
      <c r="D769" t="s">
        <v>346</v>
      </c>
      <c r="E769" s="4">
        <f>LEN(D769)</f>
        <v>33</v>
      </c>
      <c r="F769" t="s">
        <v>14</v>
      </c>
      <c r="G769">
        <v>15</v>
      </c>
      <c r="H769">
        <v>0</v>
      </c>
      <c r="I769">
        <v>1</v>
      </c>
      <c r="J769">
        <v>24160</v>
      </c>
      <c r="K769">
        <v>211.33750000000001</v>
      </c>
      <c r="L769" t="s">
        <v>347</v>
      </c>
      <c r="M769" s="6" t="str">
        <f t="shared" si="54"/>
        <v>5</v>
      </c>
      <c r="N769" s="7" t="str">
        <f t="shared" si="56"/>
        <v/>
      </c>
      <c r="O769" t="str">
        <f t="shared" si="55"/>
        <v>24</v>
      </c>
      <c r="P769" s="4" t="str">
        <f>LEFT(L769,1)</f>
        <v>B</v>
      </c>
      <c r="Q769" t="s">
        <v>20</v>
      </c>
    </row>
    <row r="770" spans="1:17" hidden="1" x14ac:dyDescent="0.25">
      <c r="A770">
        <v>779</v>
      </c>
      <c r="B770">
        <v>0</v>
      </c>
      <c r="C770">
        <v>3</v>
      </c>
      <c r="D770" t="s">
        <v>1097</v>
      </c>
      <c r="E770" s="4">
        <f>LEN(D770)</f>
        <v>23</v>
      </c>
      <c r="F770" t="s">
        <v>24</v>
      </c>
      <c r="H770">
        <v>0</v>
      </c>
      <c r="I770">
        <v>0</v>
      </c>
      <c r="J770">
        <v>36865</v>
      </c>
      <c r="K770">
        <v>7.7374999999999998</v>
      </c>
      <c r="M770" s="6" t="str">
        <f t="shared" si="54"/>
        <v/>
      </c>
      <c r="N770" s="7" t="str">
        <f t="shared" si="56"/>
        <v/>
      </c>
      <c r="O770" t="str">
        <f t="shared" si="55"/>
        <v>36</v>
      </c>
      <c r="P770" s="4" t="str">
        <f>LEFT(L770,1)</f>
        <v/>
      </c>
      <c r="Q770" t="s">
        <v>161</v>
      </c>
    </row>
    <row r="771" spans="1:17" hidden="1" x14ac:dyDescent="0.25">
      <c r="A771">
        <v>728</v>
      </c>
      <c r="B771">
        <v>1</v>
      </c>
      <c r="C771">
        <v>3</v>
      </c>
      <c r="D771" t="s">
        <v>1098</v>
      </c>
      <c r="E771" s="4">
        <f>LEN(D771)</f>
        <v>24</v>
      </c>
      <c r="F771" t="s">
        <v>14</v>
      </c>
      <c r="H771">
        <v>0</v>
      </c>
      <c r="I771">
        <v>0</v>
      </c>
      <c r="J771">
        <v>36866</v>
      </c>
      <c r="K771">
        <v>7.7374999999999998</v>
      </c>
      <c r="M771" s="6" t="str">
        <f t="shared" ref="M771:M834" si="57">IF(LEN(L771)&gt;3,RIGHT((LEFT(L771,4)),3),IF(LEN(L771)=3,RIGHT(L771,2),RIGHT(L771,1)))</f>
        <v/>
      </c>
      <c r="N771" s="7" t="str">
        <f t="shared" si="56"/>
        <v/>
      </c>
      <c r="O771" t="str">
        <f t="shared" ref="O771:O834" si="58">LEFT(J771,2)</f>
        <v>36</v>
      </c>
      <c r="P771" s="4" t="str">
        <f>LEFT(L771,1)</f>
        <v/>
      </c>
      <c r="Q771" t="s">
        <v>161</v>
      </c>
    </row>
    <row r="772" spans="1:17" x14ac:dyDescent="0.25">
      <c r="A772">
        <v>731</v>
      </c>
      <c r="B772">
        <v>1</v>
      </c>
      <c r="C772">
        <v>1</v>
      </c>
      <c r="D772" t="s">
        <v>368</v>
      </c>
      <c r="E772" s="4">
        <f>LEN(D772)</f>
        <v>29</v>
      </c>
      <c r="F772" t="s">
        <v>14</v>
      </c>
      <c r="G772">
        <v>29</v>
      </c>
      <c r="H772">
        <v>0</v>
      </c>
      <c r="I772">
        <v>0</v>
      </c>
      <c r="J772">
        <v>24160</v>
      </c>
      <c r="K772">
        <v>211.33750000000001</v>
      </c>
      <c r="L772" t="s">
        <v>347</v>
      </c>
      <c r="M772" s="6" t="str">
        <f t="shared" si="57"/>
        <v>5</v>
      </c>
      <c r="N772" s="7" t="str">
        <f t="shared" ref="N772:N835" si="59">IF(LEN(M772)&gt;1, M772+0,"")</f>
        <v/>
      </c>
      <c r="O772" t="str">
        <f t="shared" si="58"/>
        <v>24</v>
      </c>
      <c r="P772" s="4" t="str">
        <f>LEFT(L772,1)</f>
        <v>B</v>
      </c>
      <c r="Q772" t="s">
        <v>20</v>
      </c>
    </row>
    <row r="773" spans="1:17" x14ac:dyDescent="0.25">
      <c r="A773">
        <v>780</v>
      </c>
      <c r="B773">
        <v>1</v>
      </c>
      <c r="C773">
        <v>1</v>
      </c>
      <c r="D773" t="s">
        <v>381</v>
      </c>
      <c r="E773" s="4">
        <f>LEN(D773)</f>
        <v>53</v>
      </c>
      <c r="F773" t="s">
        <v>14</v>
      </c>
      <c r="G773">
        <v>43</v>
      </c>
      <c r="H773">
        <v>0</v>
      </c>
      <c r="I773">
        <v>1</v>
      </c>
      <c r="J773">
        <v>24160</v>
      </c>
      <c r="K773">
        <v>211.33750000000001</v>
      </c>
      <c r="L773" t="s">
        <v>382</v>
      </c>
      <c r="M773" s="6" t="str">
        <f t="shared" si="57"/>
        <v>3</v>
      </c>
      <c r="N773" s="7" t="str">
        <f t="shared" si="59"/>
        <v/>
      </c>
      <c r="O773" t="str">
        <f t="shared" si="58"/>
        <v>24</v>
      </c>
      <c r="P773" s="4" t="str">
        <f>LEFT(L773,1)</f>
        <v>B</v>
      </c>
      <c r="Q773" t="s">
        <v>20</v>
      </c>
    </row>
    <row r="774" spans="1:17" hidden="1" x14ac:dyDescent="0.25">
      <c r="A774">
        <v>223</v>
      </c>
      <c r="B774">
        <v>0</v>
      </c>
      <c r="C774">
        <v>3</v>
      </c>
      <c r="D774" t="s">
        <v>798</v>
      </c>
      <c r="E774" s="4">
        <f>LEN(D774)</f>
        <v>23</v>
      </c>
      <c r="F774" t="s">
        <v>24</v>
      </c>
      <c r="G774">
        <v>51</v>
      </c>
      <c r="H774">
        <v>0</v>
      </c>
      <c r="I774">
        <v>0</v>
      </c>
      <c r="J774">
        <v>21440</v>
      </c>
      <c r="K774">
        <v>8.0500000000000007</v>
      </c>
      <c r="M774" s="6" t="str">
        <f t="shared" si="57"/>
        <v/>
      </c>
      <c r="N774" s="7" t="str">
        <f t="shared" si="59"/>
        <v/>
      </c>
      <c r="O774" t="str">
        <f t="shared" si="58"/>
        <v>21</v>
      </c>
      <c r="P774" s="4" t="str">
        <f>LEFT(L774,1)</f>
        <v/>
      </c>
      <c r="Q774" t="s">
        <v>20</v>
      </c>
    </row>
    <row r="775" spans="1:17" x14ac:dyDescent="0.25">
      <c r="A775">
        <v>670</v>
      </c>
      <c r="B775">
        <v>1</v>
      </c>
      <c r="C775">
        <v>1</v>
      </c>
      <c r="D775" t="s">
        <v>71</v>
      </c>
      <c r="E775" s="4">
        <f>LEN(D775)</f>
        <v>49</v>
      </c>
      <c r="F775" t="s">
        <v>14</v>
      </c>
      <c r="H775">
        <v>1</v>
      </c>
      <c r="I775">
        <v>0</v>
      </c>
      <c r="J775">
        <v>19996</v>
      </c>
      <c r="K775">
        <v>52</v>
      </c>
      <c r="L775" t="s">
        <v>72</v>
      </c>
      <c r="M775" s="6" t="str">
        <f t="shared" si="57"/>
        <v>126</v>
      </c>
      <c r="N775" s="7">
        <f t="shared" si="59"/>
        <v>126</v>
      </c>
      <c r="O775" t="str">
        <f t="shared" si="58"/>
        <v>19</v>
      </c>
      <c r="P775" s="4" t="str">
        <f>LEFT(L775,1)</f>
        <v>C</v>
      </c>
      <c r="Q775" t="s">
        <v>20</v>
      </c>
    </row>
    <row r="776" spans="1:17" hidden="1" x14ac:dyDescent="0.25">
      <c r="A776">
        <v>630</v>
      </c>
      <c r="B776">
        <v>0</v>
      </c>
      <c r="C776">
        <v>3</v>
      </c>
      <c r="D776" t="s">
        <v>1103</v>
      </c>
      <c r="E776" s="4">
        <f>LEN(D776)</f>
        <v>24</v>
      </c>
      <c r="F776" t="s">
        <v>24</v>
      </c>
      <c r="H776">
        <v>0</v>
      </c>
      <c r="I776">
        <v>0</v>
      </c>
      <c r="J776">
        <v>334912</v>
      </c>
      <c r="K776">
        <v>7.7332999999999998</v>
      </c>
      <c r="M776" s="6" t="str">
        <f t="shared" si="57"/>
        <v/>
      </c>
      <c r="N776" s="7" t="str">
        <f t="shared" si="59"/>
        <v/>
      </c>
      <c r="O776" t="str">
        <f t="shared" si="58"/>
        <v>33</v>
      </c>
      <c r="P776" s="4" t="str">
        <f>LEFT(L776,1)</f>
        <v/>
      </c>
      <c r="Q776" t="s">
        <v>161</v>
      </c>
    </row>
    <row r="777" spans="1:17" x14ac:dyDescent="0.25">
      <c r="A777">
        <v>713</v>
      </c>
      <c r="B777">
        <v>1</v>
      </c>
      <c r="C777">
        <v>1</v>
      </c>
      <c r="D777" t="s">
        <v>363</v>
      </c>
      <c r="E777" s="4">
        <f>LEN(D777)</f>
        <v>24</v>
      </c>
      <c r="F777" t="s">
        <v>24</v>
      </c>
      <c r="G777">
        <v>48</v>
      </c>
      <c r="H777">
        <v>1</v>
      </c>
      <c r="I777">
        <v>0</v>
      </c>
      <c r="J777">
        <v>19996</v>
      </c>
      <c r="K777">
        <v>52</v>
      </c>
      <c r="L777" t="s">
        <v>72</v>
      </c>
      <c r="M777" s="6" t="str">
        <f t="shared" si="57"/>
        <v>126</v>
      </c>
      <c r="N777" s="7">
        <f t="shared" si="59"/>
        <v>126</v>
      </c>
      <c r="O777" t="str">
        <f t="shared" si="58"/>
        <v>19</v>
      </c>
      <c r="P777" s="4" t="str">
        <f>LEFT(L777,1)</f>
        <v>C</v>
      </c>
      <c r="Q777" t="s">
        <v>20</v>
      </c>
    </row>
    <row r="778" spans="1:17" hidden="1" x14ac:dyDescent="0.25">
      <c r="A778">
        <v>859</v>
      </c>
      <c r="B778">
        <v>1</v>
      </c>
      <c r="C778">
        <v>3</v>
      </c>
      <c r="D778" t="s">
        <v>1222</v>
      </c>
      <c r="E778" s="4">
        <f>LEN(D778)</f>
        <v>37</v>
      </c>
      <c r="F778" t="s">
        <v>14</v>
      </c>
      <c r="G778">
        <v>24</v>
      </c>
      <c r="H778">
        <v>0</v>
      </c>
      <c r="I778">
        <v>3</v>
      </c>
      <c r="J778">
        <v>2666</v>
      </c>
      <c r="K778">
        <v>19.258299999999998</v>
      </c>
      <c r="M778" s="6" t="str">
        <f t="shared" si="57"/>
        <v/>
      </c>
      <c r="N778" s="7" t="str">
        <f t="shared" si="59"/>
        <v/>
      </c>
      <c r="O778" t="str">
        <f t="shared" si="58"/>
        <v>26</v>
      </c>
      <c r="P778" s="4" t="str">
        <f>LEFT(L778,1)</f>
        <v/>
      </c>
      <c r="Q778" t="s">
        <v>17</v>
      </c>
    </row>
    <row r="779" spans="1:17" hidden="1" x14ac:dyDescent="0.25">
      <c r="A779">
        <v>112</v>
      </c>
      <c r="B779">
        <v>0</v>
      </c>
      <c r="C779">
        <v>3</v>
      </c>
      <c r="D779" t="s">
        <v>726</v>
      </c>
      <c r="E779" s="4">
        <f>LEN(D779)</f>
        <v>20</v>
      </c>
      <c r="F779" t="s">
        <v>14</v>
      </c>
      <c r="G779">
        <v>14.5</v>
      </c>
      <c r="H779">
        <v>1</v>
      </c>
      <c r="I779">
        <v>0</v>
      </c>
      <c r="J779">
        <v>2665</v>
      </c>
      <c r="K779">
        <v>14.4542</v>
      </c>
      <c r="M779" s="6" t="str">
        <f t="shared" si="57"/>
        <v/>
      </c>
      <c r="N779" s="7" t="str">
        <f t="shared" si="59"/>
        <v/>
      </c>
      <c r="O779" t="str">
        <f t="shared" si="58"/>
        <v>26</v>
      </c>
      <c r="P779" s="4" t="str">
        <f>LEFT(L779,1)</f>
        <v/>
      </c>
      <c r="Q779" t="s">
        <v>17</v>
      </c>
    </row>
    <row r="780" spans="1:17" x14ac:dyDescent="0.25">
      <c r="A780">
        <v>299</v>
      </c>
      <c r="B780">
        <v>1</v>
      </c>
      <c r="C780">
        <v>1</v>
      </c>
      <c r="D780" t="s">
        <v>119</v>
      </c>
      <c r="E780" s="4">
        <f>LEN(D780)</f>
        <v>21</v>
      </c>
      <c r="F780" t="s">
        <v>24</v>
      </c>
      <c r="H780">
        <v>0</v>
      </c>
      <c r="I780">
        <v>0</v>
      </c>
      <c r="J780">
        <v>19988</v>
      </c>
      <c r="K780">
        <v>30.5</v>
      </c>
      <c r="L780" t="s">
        <v>120</v>
      </c>
      <c r="M780" s="6" t="str">
        <f t="shared" si="57"/>
        <v>106</v>
      </c>
      <c r="N780" s="7">
        <f t="shared" si="59"/>
        <v>106</v>
      </c>
      <c r="O780" t="str">
        <f t="shared" si="58"/>
        <v>19</v>
      </c>
      <c r="P780" s="4" t="str">
        <f>LEFT(L780,1)</f>
        <v>C</v>
      </c>
      <c r="Q780" t="s">
        <v>20</v>
      </c>
    </row>
    <row r="781" spans="1:17" hidden="1" x14ac:dyDescent="0.25">
      <c r="A781">
        <v>823</v>
      </c>
      <c r="B781">
        <v>0</v>
      </c>
      <c r="C781">
        <v>1</v>
      </c>
      <c r="D781" t="s">
        <v>396</v>
      </c>
      <c r="E781" s="4">
        <f>LEN(D781)</f>
        <v>31</v>
      </c>
      <c r="F781" t="s">
        <v>24</v>
      </c>
      <c r="G781">
        <v>38</v>
      </c>
      <c r="H781">
        <v>0</v>
      </c>
      <c r="I781">
        <v>0</v>
      </c>
      <c r="J781">
        <v>19972</v>
      </c>
      <c r="K781">
        <v>0</v>
      </c>
      <c r="M781" s="6" t="str">
        <f t="shared" si="57"/>
        <v/>
      </c>
      <c r="N781" s="7" t="str">
        <f t="shared" si="59"/>
        <v/>
      </c>
      <c r="O781" t="str">
        <f t="shared" si="58"/>
        <v>19</v>
      </c>
      <c r="P781" s="4" t="str">
        <f>LEFT(L781,1)</f>
        <v/>
      </c>
      <c r="Q781" t="s">
        <v>20</v>
      </c>
    </row>
    <row r="782" spans="1:17" hidden="1" x14ac:dyDescent="0.25">
      <c r="A782">
        <v>241</v>
      </c>
      <c r="B782">
        <v>0</v>
      </c>
      <c r="C782">
        <v>3</v>
      </c>
      <c r="D782" t="s">
        <v>889</v>
      </c>
      <c r="E782" s="4">
        <f>LEN(D782)</f>
        <v>21</v>
      </c>
      <c r="F782" t="s">
        <v>14</v>
      </c>
      <c r="H782">
        <v>1</v>
      </c>
      <c r="I782">
        <v>0</v>
      </c>
      <c r="J782">
        <v>2665</v>
      </c>
      <c r="K782">
        <v>14.4542</v>
      </c>
      <c r="M782" s="6" t="str">
        <f t="shared" si="57"/>
        <v/>
      </c>
      <c r="N782" s="7" t="str">
        <f t="shared" si="59"/>
        <v/>
      </c>
      <c r="O782" t="str">
        <f t="shared" si="58"/>
        <v>26</v>
      </c>
      <c r="P782" s="4" t="str">
        <f>LEFT(L782,1)</f>
        <v/>
      </c>
      <c r="Q782" t="s">
        <v>17</v>
      </c>
    </row>
    <row r="783" spans="1:17" hidden="1" x14ac:dyDescent="0.25">
      <c r="A783">
        <v>698</v>
      </c>
      <c r="B783">
        <v>1</v>
      </c>
      <c r="C783">
        <v>3</v>
      </c>
      <c r="D783" t="s">
        <v>1110</v>
      </c>
      <c r="E783" s="4">
        <f>LEN(D783)</f>
        <v>32</v>
      </c>
      <c r="F783" t="s">
        <v>14</v>
      </c>
      <c r="H783">
        <v>0</v>
      </c>
      <c r="I783">
        <v>0</v>
      </c>
      <c r="J783">
        <v>35852</v>
      </c>
      <c r="K783">
        <v>7.7332999999999998</v>
      </c>
      <c r="M783" s="6" t="str">
        <f t="shared" si="57"/>
        <v/>
      </c>
      <c r="N783" s="7" t="str">
        <f t="shared" si="59"/>
        <v/>
      </c>
      <c r="O783" t="str">
        <f t="shared" si="58"/>
        <v>35</v>
      </c>
      <c r="P783" s="4" t="str">
        <f>LEFT(L783,1)</f>
        <v/>
      </c>
      <c r="Q783" t="s">
        <v>161</v>
      </c>
    </row>
    <row r="784" spans="1:17" hidden="1" x14ac:dyDescent="0.25">
      <c r="A784">
        <v>599</v>
      </c>
      <c r="B784">
        <v>0</v>
      </c>
      <c r="C784">
        <v>3</v>
      </c>
      <c r="D784" t="s">
        <v>1191</v>
      </c>
      <c r="E784" s="4">
        <f>LEN(D784)</f>
        <v>17</v>
      </c>
      <c r="F784" t="s">
        <v>24</v>
      </c>
      <c r="H784">
        <v>0</v>
      </c>
      <c r="I784">
        <v>0</v>
      </c>
      <c r="J784">
        <v>2664</v>
      </c>
      <c r="K784">
        <v>7.2249999999999996</v>
      </c>
      <c r="M784" s="6" t="str">
        <f t="shared" si="57"/>
        <v/>
      </c>
      <c r="N784" s="7" t="str">
        <f t="shared" si="59"/>
        <v/>
      </c>
      <c r="O784" t="str">
        <f t="shared" si="58"/>
        <v>26</v>
      </c>
      <c r="P784" s="4" t="str">
        <f>LEFT(L784,1)</f>
        <v/>
      </c>
      <c r="Q784" t="s">
        <v>17</v>
      </c>
    </row>
    <row r="785" spans="1:17" x14ac:dyDescent="0.25">
      <c r="A785">
        <v>461</v>
      </c>
      <c r="B785">
        <v>1</v>
      </c>
      <c r="C785">
        <v>1</v>
      </c>
      <c r="D785" t="s">
        <v>254</v>
      </c>
      <c r="E785" s="4">
        <f>LEN(D785)</f>
        <v>19</v>
      </c>
      <c r="F785" t="s">
        <v>24</v>
      </c>
      <c r="G785">
        <v>48</v>
      </c>
      <c r="H785">
        <v>0</v>
      </c>
      <c r="I785">
        <v>0</v>
      </c>
      <c r="J785">
        <v>19952</v>
      </c>
      <c r="K785">
        <v>26.55</v>
      </c>
      <c r="L785" t="s">
        <v>255</v>
      </c>
      <c r="M785" s="6" t="str">
        <f t="shared" si="57"/>
        <v>12</v>
      </c>
      <c r="N785" s="7">
        <f t="shared" si="59"/>
        <v>12</v>
      </c>
      <c r="O785" t="str">
        <f t="shared" si="58"/>
        <v>19</v>
      </c>
      <c r="P785" s="4" t="str">
        <f>LEFT(L785,1)</f>
        <v>E</v>
      </c>
      <c r="Q785" t="s">
        <v>20</v>
      </c>
    </row>
    <row r="786" spans="1:17" hidden="1" x14ac:dyDescent="0.25">
      <c r="A786">
        <v>389</v>
      </c>
      <c r="B786">
        <v>0</v>
      </c>
      <c r="C786">
        <v>3</v>
      </c>
      <c r="D786" t="s">
        <v>1113</v>
      </c>
      <c r="E786" s="4">
        <f>LEN(D786)</f>
        <v>20</v>
      </c>
      <c r="F786" t="s">
        <v>24</v>
      </c>
      <c r="H786">
        <v>0</v>
      </c>
      <c r="I786">
        <v>0</v>
      </c>
      <c r="J786">
        <v>367655</v>
      </c>
      <c r="K786">
        <v>7.7291999999999996</v>
      </c>
      <c r="M786" s="6" t="str">
        <f t="shared" si="57"/>
        <v/>
      </c>
      <c r="N786" s="7" t="str">
        <f t="shared" si="59"/>
        <v/>
      </c>
      <c r="O786" t="str">
        <f t="shared" si="58"/>
        <v>36</v>
      </c>
      <c r="P786" s="4" t="str">
        <f>LEFT(L786,1)</f>
        <v/>
      </c>
      <c r="Q786" t="s">
        <v>161</v>
      </c>
    </row>
    <row r="787" spans="1:17" x14ac:dyDescent="0.25">
      <c r="A787">
        <v>439</v>
      </c>
      <c r="B787">
        <v>0</v>
      </c>
      <c r="C787">
        <v>1</v>
      </c>
      <c r="D787" t="s">
        <v>243</v>
      </c>
      <c r="E787" s="4">
        <f>LEN(D787)</f>
        <v>17</v>
      </c>
      <c r="F787" t="s">
        <v>24</v>
      </c>
      <c r="G787">
        <v>64</v>
      </c>
      <c r="H787">
        <v>1</v>
      </c>
      <c r="I787">
        <v>4</v>
      </c>
      <c r="J787">
        <v>19950</v>
      </c>
      <c r="K787">
        <v>263</v>
      </c>
      <c r="L787" t="s">
        <v>47</v>
      </c>
      <c r="M787" s="6" t="str">
        <f t="shared" si="57"/>
        <v xml:space="preserve">23 </v>
      </c>
      <c r="N787" s="7">
        <f t="shared" si="59"/>
        <v>23</v>
      </c>
      <c r="O787" t="str">
        <f t="shared" si="58"/>
        <v>19</v>
      </c>
      <c r="P787" s="4" t="str">
        <f>LEFT(L787,1)</f>
        <v>C</v>
      </c>
      <c r="Q787" t="s">
        <v>20</v>
      </c>
    </row>
    <row r="788" spans="1:17" hidden="1" x14ac:dyDescent="0.25">
      <c r="A788">
        <v>763</v>
      </c>
      <c r="B788">
        <v>1</v>
      </c>
      <c r="C788">
        <v>3</v>
      </c>
      <c r="D788" t="s">
        <v>1155</v>
      </c>
      <c r="E788" s="4">
        <f>LEN(D788)</f>
        <v>21</v>
      </c>
      <c r="F788" t="s">
        <v>24</v>
      </c>
      <c r="G788">
        <v>20</v>
      </c>
      <c r="H788">
        <v>0</v>
      </c>
      <c r="I788">
        <v>0</v>
      </c>
      <c r="J788">
        <v>2663</v>
      </c>
      <c r="K788">
        <v>7.2291999999999996</v>
      </c>
      <c r="M788" s="6" t="str">
        <f t="shared" si="57"/>
        <v/>
      </c>
      <c r="N788" s="7" t="str">
        <f t="shared" si="59"/>
        <v/>
      </c>
      <c r="O788" t="str">
        <f t="shared" si="58"/>
        <v>26</v>
      </c>
      <c r="P788" s="4" t="str">
        <f>LEFT(L788,1)</f>
        <v/>
      </c>
      <c r="Q788" t="s">
        <v>17</v>
      </c>
    </row>
    <row r="789" spans="1:17" hidden="1" x14ac:dyDescent="0.25">
      <c r="A789">
        <v>704</v>
      </c>
      <c r="B789">
        <v>0</v>
      </c>
      <c r="C789">
        <v>3</v>
      </c>
      <c r="D789" t="s">
        <v>1117</v>
      </c>
      <c r="E789" s="4">
        <f>LEN(D789)</f>
        <v>21</v>
      </c>
      <c r="F789" t="s">
        <v>24</v>
      </c>
      <c r="G789">
        <v>25</v>
      </c>
      <c r="H789">
        <v>0</v>
      </c>
      <c r="I789">
        <v>0</v>
      </c>
      <c r="J789">
        <v>36864</v>
      </c>
      <c r="K789">
        <v>7.7416999999999998</v>
      </c>
      <c r="M789" s="6" t="str">
        <f t="shared" si="57"/>
        <v/>
      </c>
      <c r="N789" s="7" t="str">
        <f t="shared" si="59"/>
        <v/>
      </c>
      <c r="O789" t="str">
        <f t="shared" si="58"/>
        <v>36</v>
      </c>
      <c r="P789" s="4" t="str">
        <f>LEFT(L789,1)</f>
        <v/>
      </c>
      <c r="Q789" t="s">
        <v>161</v>
      </c>
    </row>
    <row r="790" spans="1:17" x14ac:dyDescent="0.25">
      <c r="A790">
        <v>28</v>
      </c>
      <c r="B790">
        <v>0</v>
      </c>
      <c r="C790">
        <v>1</v>
      </c>
      <c r="D790" t="s">
        <v>46</v>
      </c>
      <c r="E790" s="4">
        <f>LEN(D790)</f>
        <v>30</v>
      </c>
      <c r="F790" t="s">
        <v>24</v>
      </c>
      <c r="G790">
        <v>19</v>
      </c>
      <c r="H790">
        <v>3</v>
      </c>
      <c r="I790">
        <v>2</v>
      </c>
      <c r="J790">
        <v>19950</v>
      </c>
      <c r="K790">
        <v>263</v>
      </c>
      <c r="L790" t="s">
        <v>47</v>
      </c>
      <c r="M790" s="6" t="str">
        <f t="shared" si="57"/>
        <v xml:space="preserve">23 </v>
      </c>
      <c r="N790" s="7">
        <f t="shared" si="59"/>
        <v>23</v>
      </c>
      <c r="O790" t="str">
        <f t="shared" si="58"/>
        <v>19</v>
      </c>
      <c r="P790" s="4" t="str">
        <f>LEFT(L790,1)</f>
        <v>C</v>
      </c>
      <c r="Q790" t="s">
        <v>20</v>
      </c>
    </row>
    <row r="791" spans="1:17" hidden="1" x14ac:dyDescent="0.25">
      <c r="A791">
        <v>469</v>
      </c>
      <c r="B791">
        <v>0</v>
      </c>
      <c r="C791">
        <v>3</v>
      </c>
      <c r="D791" t="s">
        <v>1119</v>
      </c>
      <c r="E791" s="4">
        <f>LEN(D791)</f>
        <v>18</v>
      </c>
      <c r="F791" t="s">
        <v>24</v>
      </c>
      <c r="H791">
        <v>0</v>
      </c>
      <c r="I791">
        <v>0</v>
      </c>
      <c r="J791">
        <v>36209</v>
      </c>
      <c r="K791">
        <v>7.7249999999999996</v>
      </c>
      <c r="M791" s="6" t="str">
        <f t="shared" si="57"/>
        <v/>
      </c>
      <c r="N791" s="7" t="str">
        <f t="shared" si="59"/>
        <v/>
      </c>
      <c r="O791" t="str">
        <f t="shared" si="58"/>
        <v>36</v>
      </c>
      <c r="P791" s="4" t="str">
        <f>LEFT(L791,1)</f>
        <v/>
      </c>
      <c r="Q791" t="s">
        <v>161</v>
      </c>
    </row>
    <row r="792" spans="1:17" hidden="1" x14ac:dyDescent="0.25">
      <c r="A792">
        <v>503</v>
      </c>
      <c r="B792">
        <v>0</v>
      </c>
      <c r="C792">
        <v>3</v>
      </c>
      <c r="D792" t="s">
        <v>1120</v>
      </c>
      <c r="E792" s="4">
        <f>LEN(D792)</f>
        <v>30</v>
      </c>
      <c r="F792" t="s">
        <v>14</v>
      </c>
      <c r="H792">
        <v>0</v>
      </c>
      <c r="I792">
        <v>0</v>
      </c>
      <c r="J792">
        <v>330909</v>
      </c>
      <c r="K792">
        <v>7.6292</v>
      </c>
      <c r="M792" s="6" t="str">
        <f t="shared" si="57"/>
        <v/>
      </c>
      <c r="N792" s="7" t="str">
        <f t="shared" si="59"/>
        <v/>
      </c>
      <c r="O792" t="str">
        <f t="shared" si="58"/>
        <v>33</v>
      </c>
      <c r="P792" s="4" t="str">
        <f>LEFT(L792,1)</f>
        <v/>
      </c>
      <c r="Q792" t="s">
        <v>161</v>
      </c>
    </row>
    <row r="793" spans="1:17" x14ac:dyDescent="0.25">
      <c r="A793">
        <v>89</v>
      </c>
      <c r="B793">
        <v>1</v>
      </c>
      <c r="C793">
        <v>1</v>
      </c>
      <c r="D793" t="s">
        <v>76</v>
      </c>
      <c r="E793" s="4">
        <f>LEN(D793)</f>
        <v>26</v>
      </c>
      <c r="F793" t="s">
        <v>14</v>
      </c>
      <c r="G793">
        <v>23</v>
      </c>
      <c r="H793">
        <v>3</v>
      </c>
      <c r="I793">
        <v>2</v>
      </c>
      <c r="J793">
        <v>19950</v>
      </c>
      <c r="K793">
        <v>263</v>
      </c>
      <c r="L793" t="s">
        <v>47</v>
      </c>
      <c r="M793" s="6" t="str">
        <f t="shared" si="57"/>
        <v xml:space="preserve">23 </v>
      </c>
      <c r="N793" s="7">
        <f t="shared" si="59"/>
        <v>23</v>
      </c>
      <c r="O793" t="str">
        <f t="shared" si="58"/>
        <v>19</v>
      </c>
      <c r="P793" s="4" t="str">
        <f>LEFT(L793,1)</f>
        <v>C</v>
      </c>
      <c r="Q793" t="s">
        <v>20</v>
      </c>
    </row>
    <row r="794" spans="1:17" x14ac:dyDescent="0.25">
      <c r="A794">
        <v>342</v>
      </c>
      <c r="B794">
        <v>1</v>
      </c>
      <c r="C794">
        <v>1</v>
      </c>
      <c r="D794" t="s">
        <v>221</v>
      </c>
      <c r="E794" s="4">
        <f>LEN(D794)</f>
        <v>30</v>
      </c>
      <c r="F794" t="s">
        <v>14</v>
      </c>
      <c r="G794">
        <v>24</v>
      </c>
      <c r="H794">
        <v>3</v>
      </c>
      <c r="I794">
        <v>2</v>
      </c>
      <c r="J794">
        <v>19950</v>
      </c>
      <c r="K794">
        <v>263</v>
      </c>
      <c r="L794" t="s">
        <v>47</v>
      </c>
      <c r="M794" s="6" t="str">
        <f t="shared" si="57"/>
        <v xml:space="preserve">23 </v>
      </c>
      <c r="N794" s="7">
        <f t="shared" si="59"/>
        <v>23</v>
      </c>
      <c r="O794" t="str">
        <f t="shared" si="58"/>
        <v>19</v>
      </c>
      <c r="P794" s="4" t="str">
        <f>LEFT(L794,1)</f>
        <v>C</v>
      </c>
      <c r="Q794" t="s">
        <v>20</v>
      </c>
    </row>
    <row r="795" spans="1:17" x14ac:dyDescent="0.25">
      <c r="A795">
        <v>56</v>
      </c>
      <c r="B795">
        <v>1</v>
      </c>
      <c r="C795">
        <v>1</v>
      </c>
      <c r="D795" t="s">
        <v>101</v>
      </c>
      <c r="E795" s="4">
        <f>LEN(D795)</f>
        <v>17</v>
      </c>
      <c r="F795" t="s">
        <v>24</v>
      </c>
      <c r="H795">
        <v>0</v>
      </c>
      <c r="I795">
        <v>0</v>
      </c>
      <c r="J795">
        <v>19947</v>
      </c>
      <c r="K795">
        <v>35.5</v>
      </c>
      <c r="L795" t="s">
        <v>102</v>
      </c>
      <c r="M795" s="6" t="str">
        <f t="shared" si="57"/>
        <v>52</v>
      </c>
      <c r="N795" s="7">
        <f t="shared" si="59"/>
        <v>52</v>
      </c>
      <c r="O795" t="str">
        <f t="shared" si="58"/>
        <v>19</v>
      </c>
      <c r="P795" s="4" t="str">
        <f>LEFT(L795,1)</f>
        <v>C</v>
      </c>
      <c r="Q795" t="s">
        <v>20</v>
      </c>
    </row>
    <row r="796" spans="1:17" x14ac:dyDescent="0.25">
      <c r="A796">
        <v>225</v>
      </c>
      <c r="B796">
        <v>1</v>
      </c>
      <c r="C796">
        <v>1</v>
      </c>
      <c r="D796" t="s">
        <v>156</v>
      </c>
      <c r="E796" s="4">
        <f>LEN(D796)</f>
        <v>28</v>
      </c>
      <c r="F796" t="s">
        <v>24</v>
      </c>
      <c r="G796">
        <v>38</v>
      </c>
      <c r="H796">
        <v>1</v>
      </c>
      <c r="I796">
        <v>0</v>
      </c>
      <c r="J796">
        <v>19943</v>
      </c>
      <c r="K796">
        <v>90</v>
      </c>
      <c r="L796" t="s">
        <v>157</v>
      </c>
      <c r="M796" s="6" t="str">
        <f t="shared" si="57"/>
        <v>93</v>
      </c>
      <c r="N796" s="7">
        <f t="shared" si="59"/>
        <v>93</v>
      </c>
      <c r="O796" t="str">
        <f t="shared" si="58"/>
        <v>19</v>
      </c>
      <c r="P796" s="4" t="str">
        <f>LEFT(L796,1)</f>
        <v>C</v>
      </c>
      <c r="Q796" t="s">
        <v>20</v>
      </c>
    </row>
    <row r="797" spans="1:17" x14ac:dyDescent="0.25">
      <c r="A797">
        <v>487</v>
      </c>
      <c r="B797">
        <v>1</v>
      </c>
      <c r="C797">
        <v>1</v>
      </c>
      <c r="D797" t="s">
        <v>260</v>
      </c>
      <c r="E797" s="4">
        <f>LEN(D797)</f>
        <v>47</v>
      </c>
      <c r="F797" t="s">
        <v>14</v>
      </c>
      <c r="G797">
        <v>35</v>
      </c>
      <c r="H797">
        <v>1</v>
      </c>
      <c r="I797">
        <v>0</v>
      </c>
      <c r="J797">
        <v>19943</v>
      </c>
      <c r="K797">
        <v>90</v>
      </c>
      <c r="L797" t="s">
        <v>157</v>
      </c>
      <c r="M797" s="6" t="str">
        <f t="shared" si="57"/>
        <v>93</v>
      </c>
      <c r="N797" s="7">
        <f t="shared" si="59"/>
        <v>93</v>
      </c>
      <c r="O797" t="str">
        <f t="shared" si="58"/>
        <v>19</v>
      </c>
      <c r="P797" s="4" t="str">
        <f>LEFT(L797,1)</f>
        <v>C</v>
      </c>
      <c r="Q797" t="s">
        <v>20</v>
      </c>
    </row>
    <row r="798" spans="1:17" hidden="1" x14ac:dyDescent="0.25">
      <c r="A798">
        <v>291</v>
      </c>
      <c r="B798">
        <v>1</v>
      </c>
      <c r="C798">
        <v>1</v>
      </c>
      <c r="D798" t="s">
        <v>186</v>
      </c>
      <c r="E798" s="4">
        <f>LEN(D798)</f>
        <v>28</v>
      </c>
      <c r="F798" t="s">
        <v>14</v>
      </c>
      <c r="G798">
        <v>26</v>
      </c>
      <c r="H798">
        <v>0</v>
      </c>
      <c r="I798">
        <v>0</v>
      </c>
      <c r="J798">
        <v>19877</v>
      </c>
      <c r="K798">
        <v>78.849999999999994</v>
      </c>
      <c r="M798" s="6" t="str">
        <f t="shared" si="57"/>
        <v/>
      </c>
      <c r="N798" s="7" t="str">
        <f t="shared" si="59"/>
        <v/>
      </c>
      <c r="O798" t="str">
        <f t="shared" si="58"/>
        <v>19</v>
      </c>
      <c r="P798" s="4" t="str">
        <f>LEFT(L798,1)</f>
        <v/>
      </c>
      <c r="Q798" t="s">
        <v>20</v>
      </c>
    </row>
    <row r="799" spans="1:17" x14ac:dyDescent="0.25">
      <c r="A799">
        <v>742</v>
      </c>
      <c r="B799">
        <v>0</v>
      </c>
      <c r="C799">
        <v>1</v>
      </c>
      <c r="D799" t="s">
        <v>371</v>
      </c>
      <c r="E799" s="4">
        <f>LEN(D799)</f>
        <v>29</v>
      </c>
      <c r="F799" t="s">
        <v>24</v>
      </c>
      <c r="G799">
        <v>36</v>
      </c>
      <c r="H799">
        <v>1</v>
      </c>
      <c r="I799">
        <v>0</v>
      </c>
      <c r="J799">
        <v>19877</v>
      </c>
      <c r="K799">
        <v>78.849999999999994</v>
      </c>
      <c r="L799" t="s">
        <v>372</v>
      </c>
      <c r="M799" s="6" t="str">
        <f t="shared" si="57"/>
        <v>46</v>
      </c>
      <c r="N799" s="7">
        <f t="shared" si="59"/>
        <v>46</v>
      </c>
      <c r="O799" t="str">
        <f t="shared" si="58"/>
        <v>19</v>
      </c>
      <c r="P799" s="4" t="str">
        <f>LEFT(L799,1)</f>
        <v>C</v>
      </c>
      <c r="Q799" t="s">
        <v>20</v>
      </c>
    </row>
    <row r="800" spans="1:17" x14ac:dyDescent="0.25">
      <c r="A800">
        <v>691</v>
      </c>
      <c r="B800">
        <v>1</v>
      </c>
      <c r="C800">
        <v>1</v>
      </c>
      <c r="D800" t="s">
        <v>348</v>
      </c>
      <c r="E800" s="4">
        <f>LEN(D800)</f>
        <v>23</v>
      </c>
      <c r="F800" t="s">
        <v>24</v>
      </c>
      <c r="G800">
        <v>31</v>
      </c>
      <c r="H800">
        <v>1</v>
      </c>
      <c r="I800">
        <v>0</v>
      </c>
      <c r="J800">
        <v>17474</v>
      </c>
      <c r="K800">
        <v>57</v>
      </c>
      <c r="L800" t="s">
        <v>349</v>
      </c>
      <c r="M800" s="6" t="str">
        <f t="shared" si="57"/>
        <v>20</v>
      </c>
      <c r="N800" s="7">
        <f t="shared" si="59"/>
        <v>20</v>
      </c>
      <c r="O800" t="str">
        <f t="shared" si="58"/>
        <v>17</v>
      </c>
      <c r="P800" s="4" t="str">
        <f>LEFT(L800,1)</f>
        <v>B</v>
      </c>
      <c r="Q800" t="s">
        <v>20</v>
      </c>
    </row>
    <row r="801" spans="1:17" hidden="1" x14ac:dyDescent="0.25">
      <c r="A801">
        <v>49</v>
      </c>
      <c r="B801">
        <v>0</v>
      </c>
      <c r="C801">
        <v>3</v>
      </c>
      <c r="D801" t="s">
        <v>828</v>
      </c>
      <c r="E801" s="4">
        <f>LEN(D801)</f>
        <v>19</v>
      </c>
      <c r="F801" t="s">
        <v>24</v>
      </c>
      <c r="H801">
        <v>2</v>
      </c>
      <c r="I801">
        <v>0</v>
      </c>
      <c r="J801">
        <v>2662</v>
      </c>
      <c r="K801">
        <v>21.679200000000002</v>
      </c>
      <c r="M801" s="6" t="str">
        <f t="shared" si="57"/>
        <v/>
      </c>
      <c r="N801" s="7" t="str">
        <f t="shared" si="59"/>
        <v/>
      </c>
      <c r="O801" t="str">
        <f t="shared" si="58"/>
        <v>26</v>
      </c>
      <c r="P801" s="4" t="str">
        <f>LEFT(L801,1)</f>
        <v/>
      </c>
      <c r="Q801" t="s">
        <v>17</v>
      </c>
    </row>
    <row r="802" spans="1:17" x14ac:dyDescent="0.25">
      <c r="A802">
        <v>782</v>
      </c>
      <c r="B802">
        <v>1</v>
      </c>
      <c r="C802">
        <v>1</v>
      </c>
      <c r="D802" t="s">
        <v>383</v>
      </c>
      <c r="E802" s="4">
        <f>LEN(D802)</f>
        <v>41</v>
      </c>
      <c r="F802" t="s">
        <v>14</v>
      </c>
      <c r="G802">
        <v>17</v>
      </c>
      <c r="H802">
        <v>1</v>
      </c>
      <c r="I802">
        <v>0</v>
      </c>
      <c r="J802">
        <v>17474</v>
      </c>
      <c r="K802">
        <v>57</v>
      </c>
      <c r="L802" t="s">
        <v>349</v>
      </c>
      <c r="M802" s="6" t="str">
        <f t="shared" si="57"/>
        <v>20</v>
      </c>
      <c r="N802" s="7">
        <f t="shared" si="59"/>
        <v>20</v>
      </c>
      <c r="O802" t="str">
        <f t="shared" si="58"/>
        <v>17</v>
      </c>
      <c r="P802" s="4" t="str">
        <f>LEFT(L802,1)</f>
        <v>B</v>
      </c>
      <c r="Q802" t="s">
        <v>20</v>
      </c>
    </row>
    <row r="803" spans="1:17" x14ac:dyDescent="0.25">
      <c r="A803">
        <v>863</v>
      </c>
      <c r="B803">
        <v>1</v>
      </c>
      <c r="C803">
        <v>1</v>
      </c>
      <c r="D803" t="s">
        <v>408</v>
      </c>
      <c r="E803" s="4">
        <f>LEN(D803)</f>
        <v>51</v>
      </c>
      <c r="F803" t="s">
        <v>14</v>
      </c>
      <c r="G803">
        <v>48</v>
      </c>
      <c r="H803">
        <v>0</v>
      </c>
      <c r="I803">
        <v>0</v>
      </c>
      <c r="J803">
        <v>17466</v>
      </c>
      <c r="K803">
        <v>25.929200000000002</v>
      </c>
      <c r="L803" t="s">
        <v>389</v>
      </c>
      <c r="M803" s="6" t="str">
        <f t="shared" si="57"/>
        <v>17</v>
      </c>
      <c r="N803" s="7">
        <f t="shared" si="59"/>
        <v>17</v>
      </c>
      <c r="O803" t="str">
        <f t="shared" si="58"/>
        <v>17</v>
      </c>
      <c r="P803" s="4" t="str">
        <f>LEFT(L803,1)</f>
        <v>D</v>
      </c>
      <c r="Q803" t="s">
        <v>20</v>
      </c>
    </row>
    <row r="804" spans="1:17" x14ac:dyDescent="0.25">
      <c r="A804">
        <v>797</v>
      </c>
      <c r="B804">
        <v>1</v>
      </c>
      <c r="C804">
        <v>1</v>
      </c>
      <c r="D804" t="s">
        <v>388</v>
      </c>
      <c r="E804" s="4">
        <f>LEN(D804)</f>
        <v>27</v>
      </c>
      <c r="F804" t="s">
        <v>14</v>
      </c>
      <c r="G804">
        <v>49</v>
      </c>
      <c r="H804">
        <v>0</v>
      </c>
      <c r="I804">
        <v>0</v>
      </c>
      <c r="J804">
        <v>17465</v>
      </c>
      <c r="K804">
        <v>25.929200000000002</v>
      </c>
      <c r="L804" t="s">
        <v>389</v>
      </c>
      <c r="M804" s="6" t="str">
        <f t="shared" si="57"/>
        <v>17</v>
      </c>
      <c r="N804" s="7">
        <f t="shared" si="59"/>
        <v>17</v>
      </c>
      <c r="O804" t="str">
        <f t="shared" si="58"/>
        <v>17</v>
      </c>
      <c r="P804" s="4" t="str">
        <f>LEFT(L804,1)</f>
        <v>D</v>
      </c>
      <c r="Q804" t="s">
        <v>20</v>
      </c>
    </row>
    <row r="805" spans="1:17" x14ac:dyDescent="0.25">
      <c r="A805">
        <v>458</v>
      </c>
      <c r="B805">
        <v>1</v>
      </c>
      <c r="C805">
        <v>1</v>
      </c>
      <c r="D805" t="s">
        <v>81</v>
      </c>
      <c r="E805" s="4">
        <f>LEN(D805)</f>
        <v>33</v>
      </c>
      <c r="F805" t="s">
        <v>14</v>
      </c>
      <c r="H805">
        <v>1</v>
      </c>
      <c r="I805">
        <v>0</v>
      </c>
      <c r="J805">
        <v>17464</v>
      </c>
      <c r="K805">
        <v>51.862499999999997</v>
      </c>
      <c r="L805" t="s">
        <v>82</v>
      </c>
      <c r="M805" s="6" t="str">
        <f t="shared" si="57"/>
        <v>21</v>
      </c>
      <c r="N805" s="7">
        <f t="shared" si="59"/>
        <v>21</v>
      </c>
      <c r="O805" t="str">
        <f t="shared" si="58"/>
        <v>17</v>
      </c>
      <c r="P805" s="4" t="str">
        <f>LEFT(L805,1)</f>
        <v>D</v>
      </c>
      <c r="Q805" t="s">
        <v>20</v>
      </c>
    </row>
    <row r="806" spans="1:17" x14ac:dyDescent="0.25">
      <c r="A806">
        <v>7</v>
      </c>
      <c r="B806">
        <v>0</v>
      </c>
      <c r="C806">
        <v>1</v>
      </c>
      <c r="D806" t="s">
        <v>29</v>
      </c>
      <c r="E806" s="4">
        <f>LEN(D806)</f>
        <v>23</v>
      </c>
      <c r="F806" t="s">
        <v>24</v>
      </c>
      <c r="G806">
        <v>54</v>
      </c>
      <c r="H806">
        <v>0</v>
      </c>
      <c r="I806">
        <v>0</v>
      </c>
      <c r="J806">
        <v>17463</v>
      </c>
      <c r="K806">
        <v>51.862499999999997</v>
      </c>
      <c r="L806" t="s">
        <v>30</v>
      </c>
      <c r="M806" s="6" t="str">
        <f t="shared" si="57"/>
        <v>46</v>
      </c>
      <c r="N806" s="7">
        <f t="shared" si="59"/>
        <v>46</v>
      </c>
      <c r="O806" t="str">
        <f t="shared" si="58"/>
        <v>17</v>
      </c>
      <c r="P806" s="4" t="str">
        <f>LEFT(L806,1)</f>
        <v>E</v>
      </c>
      <c r="Q806" t="s">
        <v>20</v>
      </c>
    </row>
    <row r="807" spans="1:17" x14ac:dyDescent="0.25">
      <c r="A807">
        <v>741</v>
      </c>
      <c r="B807">
        <v>1</v>
      </c>
      <c r="C807">
        <v>1</v>
      </c>
      <c r="D807" t="s">
        <v>122</v>
      </c>
      <c r="E807" s="4">
        <f>LEN(D807)</f>
        <v>27</v>
      </c>
      <c r="F807" t="s">
        <v>24</v>
      </c>
      <c r="H807">
        <v>0</v>
      </c>
      <c r="I807">
        <v>0</v>
      </c>
      <c r="J807">
        <v>16988</v>
      </c>
      <c r="K807">
        <v>30</v>
      </c>
      <c r="L807" t="s">
        <v>123</v>
      </c>
      <c r="M807" s="6" t="str">
        <f t="shared" si="57"/>
        <v>45</v>
      </c>
      <c r="N807" s="7">
        <f t="shared" si="59"/>
        <v>45</v>
      </c>
      <c r="O807" t="str">
        <f t="shared" si="58"/>
        <v>16</v>
      </c>
      <c r="P807" s="4" t="str">
        <f>LEFT(L807,1)</f>
        <v>D</v>
      </c>
      <c r="Q807" t="s">
        <v>20</v>
      </c>
    </row>
    <row r="808" spans="1:17" hidden="1" x14ac:dyDescent="0.25">
      <c r="A808">
        <v>589</v>
      </c>
      <c r="B808">
        <v>0</v>
      </c>
      <c r="C808">
        <v>3</v>
      </c>
      <c r="D808" t="s">
        <v>1039</v>
      </c>
      <c r="E808" s="4">
        <f>LEN(D808)</f>
        <v>21</v>
      </c>
      <c r="F808" t="s">
        <v>24</v>
      </c>
      <c r="G808">
        <v>22</v>
      </c>
      <c r="H808">
        <v>0</v>
      </c>
      <c r="I808">
        <v>0</v>
      </c>
      <c r="J808">
        <v>14973</v>
      </c>
      <c r="K808">
        <v>8.0500000000000007</v>
      </c>
      <c r="M808" s="6" t="str">
        <f t="shared" si="57"/>
        <v/>
      </c>
      <c r="N808" s="7" t="str">
        <f t="shared" si="59"/>
        <v/>
      </c>
      <c r="O808" t="str">
        <f t="shared" si="58"/>
        <v>14</v>
      </c>
      <c r="P808" s="4" t="str">
        <f>LEFT(L808,1)</f>
        <v/>
      </c>
      <c r="Q808" t="s">
        <v>20</v>
      </c>
    </row>
    <row r="809" spans="1:17" x14ac:dyDescent="0.25">
      <c r="A809">
        <v>457</v>
      </c>
      <c r="B809">
        <v>0</v>
      </c>
      <c r="C809">
        <v>1</v>
      </c>
      <c r="D809" t="s">
        <v>252</v>
      </c>
      <c r="E809" s="4">
        <f>LEN(D809)</f>
        <v>25</v>
      </c>
      <c r="F809" t="s">
        <v>24</v>
      </c>
      <c r="G809">
        <v>65</v>
      </c>
      <c r="H809">
        <v>0</v>
      </c>
      <c r="I809">
        <v>0</v>
      </c>
      <c r="J809">
        <v>13509</v>
      </c>
      <c r="K809">
        <v>26.55</v>
      </c>
      <c r="L809" t="s">
        <v>253</v>
      </c>
      <c r="M809" s="6" t="str">
        <f t="shared" si="57"/>
        <v>38</v>
      </c>
      <c r="N809" s="7">
        <f t="shared" si="59"/>
        <v>38</v>
      </c>
      <c r="O809" t="str">
        <f t="shared" si="58"/>
        <v>13</v>
      </c>
      <c r="P809" s="4" t="str">
        <f>LEFT(L809,1)</f>
        <v>E</v>
      </c>
      <c r="Q809" t="s">
        <v>20</v>
      </c>
    </row>
    <row r="810" spans="1:17" x14ac:dyDescent="0.25">
      <c r="A810">
        <v>435</v>
      </c>
      <c r="B810">
        <v>0</v>
      </c>
      <c r="C810">
        <v>1</v>
      </c>
      <c r="D810" t="s">
        <v>240</v>
      </c>
      <c r="E810" s="4">
        <f>LEN(D810)</f>
        <v>25</v>
      </c>
      <c r="F810" t="s">
        <v>24</v>
      </c>
      <c r="G810">
        <v>50</v>
      </c>
      <c r="H810">
        <v>1</v>
      </c>
      <c r="I810">
        <v>0</v>
      </c>
      <c r="J810">
        <v>13507</v>
      </c>
      <c r="K810">
        <v>55.9</v>
      </c>
      <c r="L810" t="s">
        <v>241</v>
      </c>
      <c r="M810" s="6" t="str">
        <f t="shared" si="57"/>
        <v>44</v>
      </c>
      <c r="N810" s="7">
        <f t="shared" si="59"/>
        <v>44</v>
      </c>
      <c r="O810" t="str">
        <f t="shared" si="58"/>
        <v>13</v>
      </c>
      <c r="P810" s="4" t="str">
        <f>LEFT(L810,1)</f>
        <v>E</v>
      </c>
      <c r="Q810" t="s">
        <v>20</v>
      </c>
    </row>
    <row r="811" spans="1:17" hidden="1" x14ac:dyDescent="0.25">
      <c r="A811">
        <v>750</v>
      </c>
      <c r="B811">
        <v>0</v>
      </c>
      <c r="C811">
        <v>3</v>
      </c>
      <c r="D811" t="s">
        <v>1145</v>
      </c>
      <c r="E811" s="4">
        <f>LEN(D811)</f>
        <v>23</v>
      </c>
      <c r="F811" t="s">
        <v>24</v>
      </c>
      <c r="G811">
        <v>31</v>
      </c>
      <c r="H811">
        <v>0</v>
      </c>
      <c r="I811">
        <v>0</v>
      </c>
      <c r="J811">
        <v>335097</v>
      </c>
      <c r="K811">
        <v>7.75</v>
      </c>
      <c r="M811" s="6" t="str">
        <f t="shared" si="57"/>
        <v/>
      </c>
      <c r="N811" s="7" t="str">
        <f t="shared" si="59"/>
        <v/>
      </c>
      <c r="O811" t="str">
        <f t="shared" si="58"/>
        <v>33</v>
      </c>
      <c r="P811" s="4" t="str">
        <f>LEFT(L811,1)</f>
        <v/>
      </c>
      <c r="Q811" t="s">
        <v>161</v>
      </c>
    </row>
    <row r="812" spans="1:17" x14ac:dyDescent="0.25">
      <c r="A812">
        <v>578</v>
      </c>
      <c r="B812">
        <v>1</v>
      </c>
      <c r="C812">
        <v>1</v>
      </c>
      <c r="D812" t="s">
        <v>305</v>
      </c>
      <c r="E812" s="4">
        <f>LEN(D812)</f>
        <v>41</v>
      </c>
      <c r="F812" t="s">
        <v>14</v>
      </c>
      <c r="G812">
        <v>39</v>
      </c>
      <c r="H812">
        <v>1</v>
      </c>
      <c r="I812">
        <v>0</v>
      </c>
      <c r="J812">
        <v>13507</v>
      </c>
      <c r="K812">
        <v>55.9</v>
      </c>
      <c r="L812" t="s">
        <v>241</v>
      </c>
      <c r="M812" s="6" t="str">
        <f t="shared" si="57"/>
        <v>44</v>
      </c>
      <c r="N812" s="7">
        <f t="shared" si="59"/>
        <v>44</v>
      </c>
      <c r="O812" t="str">
        <f t="shared" si="58"/>
        <v>13</v>
      </c>
      <c r="P812" s="4" t="str">
        <f>LEFT(L812,1)</f>
        <v>E</v>
      </c>
      <c r="Q812" t="s">
        <v>20</v>
      </c>
    </row>
    <row r="813" spans="1:17" x14ac:dyDescent="0.25">
      <c r="A813">
        <v>276</v>
      </c>
      <c r="B813">
        <v>1</v>
      </c>
      <c r="C813">
        <v>1</v>
      </c>
      <c r="D813" t="s">
        <v>183</v>
      </c>
      <c r="E813" s="4">
        <f>LEN(D813)</f>
        <v>33</v>
      </c>
      <c r="F813" t="s">
        <v>14</v>
      </c>
      <c r="G813">
        <v>63</v>
      </c>
      <c r="H813">
        <v>1</v>
      </c>
      <c r="I813">
        <v>0</v>
      </c>
      <c r="J813">
        <v>13502</v>
      </c>
      <c r="K813">
        <v>77.958299999999994</v>
      </c>
      <c r="L813" t="s">
        <v>184</v>
      </c>
      <c r="M813" s="6" t="str">
        <f t="shared" si="57"/>
        <v>7</v>
      </c>
      <c r="N813" s="7" t="str">
        <f t="shared" si="59"/>
        <v/>
      </c>
      <c r="O813" t="str">
        <f t="shared" si="58"/>
        <v>13</v>
      </c>
      <c r="P813" s="4" t="str">
        <f>LEFT(L813,1)</f>
        <v>D</v>
      </c>
      <c r="Q813" t="s">
        <v>20</v>
      </c>
    </row>
    <row r="814" spans="1:17" x14ac:dyDescent="0.25">
      <c r="A814">
        <v>628</v>
      </c>
      <c r="B814">
        <v>1</v>
      </c>
      <c r="C814">
        <v>1</v>
      </c>
      <c r="D814" t="s">
        <v>324</v>
      </c>
      <c r="E814" s="4">
        <f>LEN(D814)</f>
        <v>29</v>
      </c>
      <c r="F814" t="s">
        <v>14</v>
      </c>
      <c r="G814">
        <v>21</v>
      </c>
      <c r="H814">
        <v>0</v>
      </c>
      <c r="I814">
        <v>0</v>
      </c>
      <c r="J814">
        <v>13502</v>
      </c>
      <c r="K814">
        <v>77.958299999999994</v>
      </c>
      <c r="L814" t="s">
        <v>325</v>
      </c>
      <c r="M814" s="6" t="str">
        <f t="shared" si="57"/>
        <v>9</v>
      </c>
      <c r="N814" s="7" t="str">
        <f t="shared" si="59"/>
        <v/>
      </c>
      <c r="O814" t="str">
        <f t="shared" si="58"/>
        <v>13</v>
      </c>
      <c r="P814" s="4" t="str">
        <f>LEFT(L814,1)</f>
        <v>D</v>
      </c>
      <c r="Q814" t="s">
        <v>20</v>
      </c>
    </row>
    <row r="815" spans="1:17" x14ac:dyDescent="0.25">
      <c r="A815">
        <v>766</v>
      </c>
      <c r="B815">
        <v>1</v>
      </c>
      <c r="C815">
        <v>1</v>
      </c>
      <c r="D815" t="s">
        <v>379</v>
      </c>
      <c r="E815" s="4">
        <f>LEN(D815)</f>
        <v>36</v>
      </c>
      <c r="F815" t="s">
        <v>14</v>
      </c>
      <c r="G815">
        <v>51</v>
      </c>
      <c r="H815">
        <v>1</v>
      </c>
      <c r="I815">
        <v>0</v>
      </c>
      <c r="J815">
        <v>13502</v>
      </c>
      <c r="K815">
        <v>77.958299999999994</v>
      </c>
      <c r="L815" t="s">
        <v>380</v>
      </c>
      <c r="M815" s="6" t="str">
        <f t="shared" si="57"/>
        <v>11</v>
      </c>
      <c r="N815" s="7">
        <f t="shared" si="59"/>
        <v>11</v>
      </c>
      <c r="O815" t="str">
        <f t="shared" si="58"/>
        <v>13</v>
      </c>
      <c r="P815" s="4" t="str">
        <f>LEFT(L815,1)</f>
        <v>D</v>
      </c>
      <c r="Q815" t="s">
        <v>20</v>
      </c>
    </row>
    <row r="816" spans="1:17" x14ac:dyDescent="0.25">
      <c r="A816">
        <v>521</v>
      </c>
      <c r="B816">
        <v>1</v>
      </c>
      <c r="C816">
        <v>1</v>
      </c>
      <c r="D816" t="s">
        <v>280</v>
      </c>
      <c r="E816" s="4">
        <f>LEN(D816)</f>
        <v>21</v>
      </c>
      <c r="F816" t="s">
        <v>14</v>
      </c>
      <c r="G816">
        <v>30</v>
      </c>
      <c r="H816">
        <v>0</v>
      </c>
      <c r="I816">
        <v>0</v>
      </c>
      <c r="J816">
        <v>12749</v>
      </c>
      <c r="K816">
        <v>93.5</v>
      </c>
      <c r="L816" t="s">
        <v>281</v>
      </c>
      <c r="M816" s="6" t="str">
        <f t="shared" si="57"/>
        <v>73</v>
      </c>
      <c r="N816" s="7">
        <f t="shared" si="59"/>
        <v>73</v>
      </c>
      <c r="O816" t="str">
        <f t="shared" si="58"/>
        <v>12</v>
      </c>
      <c r="P816" s="4" t="str">
        <f>LEFT(L816,1)</f>
        <v>B</v>
      </c>
      <c r="Q816" t="s">
        <v>20</v>
      </c>
    </row>
    <row r="817" spans="1:17" hidden="1" x14ac:dyDescent="0.25">
      <c r="A817">
        <v>66</v>
      </c>
      <c r="B817">
        <v>1</v>
      </c>
      <c r="C817">
        <v>3</v>
      </c>
      <c r="D817" t="s">
        <v>865</v>
      </c>
      <c r="E817" s="4">
        <f>LEN(D817)</f>
        <v>24</v>
      </c>
      <c r="F817" t="s">
        <v>24</v>
      </c>
      <c r="H817">
        <v>1</v>
      </c>
      <c r="I817">
        <v>1</v>
      </c>
      <c r="J817">
        <v>2661</v>
      </c>
      <c r="K817">
        <v>15.245799999999999</v>
      </c>
      <c r="M817" s="6" t="str">
        <f t="shared" si="57"/>
        <v/>
      </c>
      <c r="N817" s="7" t="str">
        <f t="shared" si="59"/>
        <v/>
      </c>
      <c r="O817" t="str">
        <f t="shared" si="58"/>
        <v>26</v>
      </c>
      <c r="P817" s="4" t="str">
        <f>LEFT(L817,1)</f>
        <v/>
      </c>
      <c r="Q817" t="s">
        <v>17</v>
      </c>
    </row>
    <row r="818" spans="1:17" x14ac:dyDescent="0.25">
      <c r="A818">
        <v>821</v>
      </c>
      <c r="B818">
        <v>1</v>
      </c>
      <c r="C818">
        <v>1</v>
      </c>
      <c r="D818" t="s">
        <v>394</v>
      </c>
      <c r="E818" s="4">
        <f>LEN(D818)</f>
        <v>50</v>
      </c>
      <c r="F818" t="s">
        <v>14</v>
      </c>
      <c r="G818">
        <v>52</v>
      </c>
      <c r="H818">
        <v>1</v>
      </c>
      <c r="I818">
        <v>1</v>
      </c>
      <c r="J818">
        <v>12749</v>
      </c>
      <c r="K818">
        <v>93.5</v>
      </c>
      <c r="L818" t="s">
        <v>395</v>
      </c>
      <c r="M818" s="6" t="str">
        <f t="shared" si="57"/>
        <v>69</v>
      </c>
      <c r="N818" s="7">
        <f t="shared" si="59"/>
        <v>69</v>
      </c>
      <c r="O818" t="str">
        <f t="shared" si="58"/>
        <v>12</v>
      </c>
      <c r="P818" s="4" t="str">
        <f>LEFT(L818,1)</f>
        <v>B</v>
      </c>
      <c r="Q818" t="s">
        <v>20</v>
      </c>
    </row>
    <row r="819" spans="1:17" hidden="1" x14ac:dyDescent="0.25">
      <c r="A819">
        <v>710</v>
      </c>
      <c r="B819">
        <v>1</v>
      </c>
      <c r="C819">
        <v>3</v>
      </c>
      <c r="D819" t="s">
        <v>867</v>
      </c>
      <c r="E819" s="4">
        <f>LEN(D819)</f>
        <v>49</v>
      </c>
      <c r="F819" t="s">
        <v>24</v>
      </c>
      <c r="H819">
        <v>1</v>
      </c>
      <c r="I819">
        <v>1</v>
      </c>
      <c r="J819">
        <v>2661</v>
      </c>
      <c r="K819">
        <v>15.245799999999999</v>
      </c>
      <c r="M819" s="6" t="str">
        <f t="shared" si="57"/>
        <v/>
      </c>
      <c r="N819" s="7" t="str">
        <f t="shared" si="59"/>
        <v/>
      </c>
      <c r="O819" t="str">
        <f t="shared" si="58"/>
        <v>26</v>
      </c>
      <c r="P819" s="4" t="str">
        <f>LEFT(L819,1)</f>
        <v/>
      </c>
      <c r="Q819" t="s">
        <v>17</v>
      </c>
    </row>
    <row r="820" spans="1:17" hidden="1" x14ac:dyDescent="0.25">
      <c r="A820">
        <v>723</v>
      </c>
      <c r="B820">
        <v>0</v>
      </c>
      <c r="C820">
        <v>2</v>
      </c>
      <c r="D820" t="s">
        <v>610</v>
      </c>
      <c r="E820" s="4">
        <f>LEN(D820)</f>
        <v>28</v>
      </c>
      <c r="F820" t="s">
        <v>24</v>
      </c>
      <c r="G820">
        <v>34</v>
      </c>
      <c r="H820">
        <v>0</v>
      </c>
      <c r="I820">
        <v>0</v>
      </c>
      <c r="J820">
        <v>12233</v>
      </c>
      <c r="K820">
        <v>13</v>
      </c>
      <c r="M820" s="6" t="str">
        <f t="shared" si="57"/>
        <v/>
      </c>
      <c r="N820" s="7" t="str">
        <f t="shared" si="59"/>
        <v/>
      </c>
      <c r="O820" t="str">
        <f t="shared" si="58"/>
        <v>12</v>
      </c>
      <c r="P820" s="4" t="str">
        <f>LEFT(L820,1)</f>
        <v/>
      </c>
      <c r="Q820" t="s">
        <v>20</v>
      </c>
    </row>
    <row r="821" spans="1:17" hidden="1" x14ac:dyDescent="0.25">
      <c r="A821">
        <v>621</v>
      </c>
      <c r="B821">
        <v>0</v>
      </c>
      <c r="C821">
        <v>3</v>
      </c>
      <c r="D821" t="s">
        <v>1063</v>
      </c>
      <c r="E821" s="4">
        <f>LEN(D821)</f>
        <v>19</v>
      </c>
      <c r="F821" t="s">
        <v>24</v>
      </c>
      <c r="G821">
        <v>27</v>
      </c>
      <c r="H821">
        <v>1</v>
      </c>
      <c r="I821">
        <v>0</v>
      </c>
      <c r="J821">
        <v>2659</v>
      </c>
      <c r="K821">
        <v>14.4542</v>
      </c>
      <c r="M821" s="6" t="str">
        <f t="shared" si="57"/>
        <v/>
      </c>
      <c r="N821" s="7" t="str">
        <f t="shared" si="59"/>
        <v/>
      </c>
      <c r="O821" t="str">
        <f t="shared" si="58"/>
        <v>26</v>
      </c>
      <c r="P821" s="4" t="str">
        <f>LEFT(L821,1)</f>
        <v/>
      </c>
      <c r="Q821" t="s">
        <v>17</v>
      </c>
    </row>
    <row r="822" spans="1:17" hidden="1" x14ac:dyDescent="0.25">
      <c r="A822">
        <v>768</v>
      </c>
      <c r="B822">
        <v>0</v>
      </c>
      <c r="C822">
        <v>3</v>
      </c>
      <c r="D822" t="s">
        <v>1158</v>
      </c>
      <c r="E822" s="4">
        <f>LEN(D822)</f>
        <v>18</v>
      </c>
      <c r="F822" t="s">
        <v>14</v>
      </c>
      <c r="G822">
        <v>30.5</v>
      </c>
      <c r="H822">
        <v>0</v>
      </c>
      <c r="I822">
        <v>0</v>
      </c>
      <c r="J822">
        <v>364850</v>
      </c>
      <c r="K822">
        <v>7.75</v>
      </c>
      <c r="M822" s="6" t="str">
        <f t="shared" si="57"/>
        <v/>
      </c>
      <c r="N822" s="7" t="str">
        <f t="shared" si="59"/>
        <v/>
      </c>
      <c r="O822" t="str">
        <f t="shared" si="58"/>
        <v>36</v>
      </c>
      <c r="P822" s="4" t="str">
        <f>LEFT(L822,1)</f>
        <v/>
      </c>
      <c r="Q822" t="s">
        <v>161</v>
      </c>
    </row>
    <row r="823" spans="1:17" hidden="1" x14ac:dyDescent="0.25">
      <c r="A823">
        <v>831</v>
      </c>
      <c r="B823">
        <v>1</v>
      </c>
      <c r="C823">
        <v>3</v>
      </c>
      <c r="D823" t="s">
        <v>1204</v>
      </c>
      <c r="E823" s="4">
        <f>LEN(D823)</f>
        <v>39</v>
      </c>
      <c r="F823" t="s">
        <v>14</v>
      </c>
      <c r="G823">
        <v>15</v>
      </c>
      <c r="H823">
        <v>1</v>
      </c>
      <c r="I823">
        <v>0</v>
      </c>
      <c r="J823">
        <v>2659</v>
      </c>
      <c r="K823">
        <v>14.4542</v>
      </c>
      <c r="M823" s="6" t="str">
        <f t="shared" si="57"/>
        <v/>
      </c>
      <c r="N823" s="7" t="str">
        <f t="shared" si="59"/>
        <v/>
      </c>
      <c r="O823" t="str">
        <f t="shared" si="58"/>
        <v>26</v>
      </c>
      <c r="P823" s="4" t="str">
        <f>LEFT(L823,1)</f>
        <v/>
      </c>
      <c r="Q823" t="s">
        <v>17</v>
      </c>
    </row>
    <row r="824" spans="1:17" x14ac:dyDescent="0.25">
      <c r="A824">
        <v>572</v>
      </c>
      <c r="B824">
        <v>1</v>
      </c>
      <c r="C824">
        <v>1</v>
      </c>
      <c r="D824" t="s">
        <v>301</v>
      </c>
      <c r="E824" s="4">
        <f>LEN(D824)</f>
        <v>45</v>
      </c>
      <c r="F824" t="s">
        <v>14</v>
      </c>
      <c r="G824">
        <v>53</v>
      </c>
      <c r="H824">
        <v>2</v>
      </c>
      <c r="I824">
        <v>0</v>
      </c>
      <c r="J824">
        <v>11769</v>
      </c>
      <c r="K824">
        <v>51.479199999999999</v>
      </c>
      <c r="L824" t="s">
        <v>302</v>
      </c>
      <c r="M824" s="6" t="str">
        <f t="shared" si="57"/>
        <v>101</v>
      </c>
      <c r="N824" s="7">
        <f t="shared" si="59"/>
        <v>101</v>
      </c>
      <c r="O824" t="str">
        <f t="shared" si="58"/>
        <v>11</v>
      </c>
      <c r="P824" s="4" t="str">
        <f>LEFT(L824,1)</f>
        <v>C</v>
      </c>
      <c r="Q824" t="s">
        <v>20</v>
      </c>
    </row>
    <row r="825" spans="1:17" x14ac:dyDescent="0.25">
      <c r="A825">
        <v>622</v>
      </c>
      <c r="B825">
        <v>1</v>
      </c>
      <c r="C825">
        <v>1</v>
      </c>
      <c r="D825" t="s">
        <v>320</v>
      </c>
      <c r="E825" s="4">
        <f>LEN(D825)</f>
        <v>28</v>
      </c>
      <c r="F825" t="s">
        <v>24</v>
      </c>
      <c r="G825">
        <v>42</v>
      </c>
      <c r="H825">
        <v>1</v>
      </c>
      <c r="I825">
        <v>0</v>
      </c>
      <c r="J825">
        <v>11753</v>
      </c>
      <c r="K825">
        <v>52.554200000000002</v>
      </c>
      <c r="L825" t="s">
        <v>321</v>
      </c>
      <c r="M825" s="6" t="str">
        <f t="shared" si="57"/>
        <v>19</v>
      </c>
      <c r="N825" s="7">
        <f t="shared" si="59"/>
        <v>19</v>
      </c>
      <c r="O825" t="str">
        <f t="shared" si="58"/>
        <v>11</v>
      </c>
      <c r="P825" s="4" t="str">
        <f>LEFT(L825,1)</f>
        <v>D</v>
      </c>
      <c r="Q825" t="s">
        <v>20</v>
      </c>
    </row>
    <row r="826" spans="1:17" x14ac:dyDescent="0.25">
      <c r="A826">
        <v>137</v>
      </c>
      <c r="B826">
        <v>1</v>
      </c>
      <c r="C826">
        <v>1</v>
      </c>
      <c r="D826" t="s">
        <v>106</v>
      </c>
      <c r="E826" s="4">
        <f>LEN(D826)</f>
        <v>28</v>
      </c>
      <c r="F826" t="s">
        <v>14</v>
      </c>
      <c r="G826">
        <v>19</v>
      </c>
      <c r="H826">
        <v>0</v>
      </c>
      <c r="I826">
        <v>2</v>
      </c>
      <c r="J826">
        <v>11752</v>
      </c>
      <c r="K826">
        <v>26.283300000000001</v>
      </c>
      <c r="L826" t="s">
        <v>107</v>
      </c>
      <c r="M826" s="6" t="str">
        <f t="shared" si="57"/>
        <v>47</v>
      </c>
      <c r="N826" s="7">
        <f t="shared" si="59"/>
        <v>47</v>
      </c>
      <c r="O826" t="str">
        <f t="shared" si="58"/>
        <v>11</v>
      </c>
      <c r="P826" s="4" t="str">
        <f>LEFT(L826,1)</f>
        <v>D</v>
      </c>
      <c r="Q826" t="s">
        <v>20</v>
      </c>
    </row>
    <row r="827" spans="1:17" hidden="1" x14ac:dyDescent="0.25">
      <c r="A827">
        <v>382</v>
      </c>
      <c r="B827">
        <v>1</v>
      </c>
      <c r="C827">
        <v>3</v>
      </c>
      <c r="D827" t="s">
        <v>897</v>
      </c>
      <c r="E827" s="4">
        <f>LEN(D827)</f>
        <v>27</v>
      </c>
      <c r="F827" t="s">
        <v>14</v>
      </c>
      <c r="G827">
        <v>1</v>
      </c>
      <c r="H827">
        <v>0</v>
      </c>
      <c r="I827">
        <v>2</v>
      </c>
      <c r="J827">
        <v>2653</v>
      </c>
      <c r="K827">
        <v>15.7417</v>
      </c>
      <c r="M827" s="6" t="str">
        <f t="shared" si="57"/>
        <v/>
      </c>
      <c r="N827" s="7" t="str">
        <f t="shared" si="59"/>
        <v/>
      </c>
      <c r="O827" t="str">
        <f t="shared" si="58"/>
        <v>26</v>
      </c>
      <c r="P827" s="4" t="str">
        <f>LEFT(L827,1)</f>
        <v/>
      </c>
      <c r="Q827" t="s">
        <v>17</v>
      </c>
    </row>
    <row r="828" spans="1:17" x14ac:dyDescent="0.25">
      <c r="A828">
        <v>249</v>
      </c>
      <c r="B828">
        <v>1</v>
      </c>
      <c r="C828">
        <v>1</v>
      </c>
      <c r="D828" t="s">
        <v>162</v>
      </c>
      <c r="E828" s="4">
        <f>LEN(D828)</f>
        <v>29</v>
      </c>
      <c r="F828" t="s">
        <v>24</v>
      </c>
      <c r="G828">
        <v>37</v>
      </c>
      <c r="H828">
        <v>1</v>
      </c>
      <c r="I828">
        <v>1</v>
      </c>
      <c r="J828">
        <v>11751</v>
      </c>
      <c r="K828">
        <v>52.554200000000002</v>
      </c>
      <c r="L828" t="s">
        <v>163</v>
      </c>
      <c r="M828" s="6" t="str">
        <f t="shared" si="57"/>
        <v>35</v>
      </c>
      <c r="N828" s="7">
        <f t="shared" si="59"/>
        <v>35</v>
      </c>
      <c r="O828" t="str">
        <f t="shared" si="58"/>
        <v>11</v>
      </c>
      <c r="P828" s="4" t="str">
        <f>LEFT(L828,1)</f>
        <v>D</v>
      </c>
      <c r="Q828" t="s">
        <v>20</v>
      </c>
    </row>
    <row r="829" spans="1:17" hidden="1" x14ac:dyDescent="0.25">
      <c r="A829">
        <v>623</v>
      </c>
      <c r="B829">
        <v>1</v>
      </c>
      <c r="C829">
        <v>3</v>
      </c>
      <c r="D829" t="s">
        <v>1064</v>
      </c>
      <c r="E829" s="4">
        <f>LEN(D829)</f>
        <v>16</v>
      </c>
      <c r="F829" t="s">
        <v>24</v>
      </c>
      <c r="G829">
        <v>20</v>
      </c>
      <c r="H829">
        <v>1</v>
      </c>
      <c r="I829">
        <v>1</v>
      </c>
      <c r="J829">
        <v>2653</v>
      </c>
      <c r="K829">
        <v>15.7417</v>
      </c>
      <c r="M829" s="6" t="str">
        <f t="shared" si="57"/>
        <v/>
      </c>
      <c r="N829" s="7" t="str">
        <f t="shared" si="59"/>
        <v/>
      </c>
      <c r="O829" t="str">
        <f t="shared" si="58"/>
        <v>26</v>
      </c>
      <c r="P829" s="4" t="str">
        <f>LEFT(L829,1)</f>
        <v/>
      </c>
      <c r="Q829" t="s">
        <v>17</v>
      </c>
    </row>
    <row r="830" spans="1:17" x14ac:dyDescent="0.25">
      <c r="A830">
        <v>872</v>
      </c>
      <c r="B830">
        <v>1</v>
      </c>
      <c r="C830">
        <v>1</v>
      </c>
      <c r="D830" t="s">
        <v>413</v>
      </c>
      <c r="E830" s="4">
        <f>LEN(D830)</f>
        <v>48</v>
      </c>
      <c r="F830" t="s">
        <v>14</v>
      </c>
      <c r="G830">
        <v>47</v>
      </c>
      <c r="H830">
        <v>1</v>
      </c>
      <c r="I830">
        <v>1</v>
      </c>
      <c r="J830">
        <v>11751</v>
      </c>
      <c r="K830">
        <v>52.554200000000002</v>
      </c>
      <c r="L830" t="s">
        <v>163</v>
      </c>
      <c r="M830" s="6" t="str">
        <f t="shared" si="57"/>
        <v>35</v>
      </c>
      <c r="N830" s="7">
        <f t="shared" si="59"/>
        <v>35</v>
      </c>
      <c r="O830" t="str">
        <f t="shared" si="58"/>
        <v>11</v>
      </c>
      <c r="P830" s="4" t="str">
        <f>LEFT(L830,1)</f>
        <v>D</v>
      </c>
      <c r="Q830" t="s">
        <v>20</v>
      </c>
    </row>
    <row r="831" spans="1:17" hidden="1" x14ac:dyDescent="0.25">
      <c r="A831">
        <v>40</v>
      </c>
      <c r="B831">
        <v>1</v>
      </c>
      <c r="C831">
        <v>3</v>
      </c>
      <c r="D831" t="s">
        <v>678</v>
      </c>
      <c r="E831" s="4">
        <f>LEN(D831)</f>
        <v>27</v>
      </c>
      <c r="F831" t="s">
        <v>14</v>
      </c>
      <c r="G831">
        <v>14</v>
      </c>
      <c r="H831">
        <v>1</v>
      </c>
      <c r="I831">
        <v>0</v>
      </c>
      <c r="J831">
        <v>2651</v>
      </c>
      <c r="K831">
        <v>11.2417</v>
      </c>
      <c r="M831" s="6" t="str">
        <f t="shared" si="57"/>
        <v/>
      </c>
      <c r="N831" s="7" t="str">
        <f t="shared" si="59"/>
        <v/>
      </c>
      <c r="O831" t="str">
        <f t="shared" si="58"/>
        <v>26</v>
      </c>
      <c r="P831" s="4" t="str">
        <f>LEFT(L831,1)</f>
        <v/>
      </c>
      <c r="Q831" t="s">
        <v>17</v>
      </c>
    </row>
    <row r="832" spans="1:17" hidden="1" x14ac:dyDescent="0.25">
      <c r="A832">
        <v>126</v>
      </c>
      <c r="B832">
        <v>1</v>
      </c>
      <c r="C832">
        <v>3</v>
      </c>
      <c r="D832" t="s">
        <v>734</v>
      </c>
      <c r="E832" s="4">
        <f>LEN(D832)</f>
        <v>28</v>
      </c>
      <c r="F832" t="s">
        <v>24</v>
      </c>
      <c r="G832">
        <v>12</v>
      </c>
      <c r="H832">
        <v>1</v>
      </c>
      <c r="I832">
        <v>0</v>
      </c>
      <c r="J832">
        <v>2651</v>
      </c>
      <c r="K832">
        <v>11.2417</v>
      </c>
      <c r="M832" s="6" t="str">
        <f t="shared" si="57"/>
        <v/>
      </c>
      <c r="N832" s="7" t="str">
        <f t="shared" si="59"/>
        <v/>
      </c>
      <c r="O832" t="str">
        <f t="shared" si="58"/>
        <v>26</v>
      </c>
      <c r="P832" s="4" t="str">
        <f>LEFT(L832,1)</f>
        <v/>
      </c>
      <c r="Q832" t="s">
        <v>17</v>
      </c>
    </row>
    <row r="833" spans="1:17" hidden="1" x14ac:dyDescent="0.25">
      <c r="A833">
        <v>256</v>
      </c>
      <c r="B833">
        <v>1</v>
      </c>
      <c r="C833">
        <v>3</v>
      </c>
      <c r="D833" t="s">
        <v>820</v>
      </c>
      <c r="E833" s="4">
        <f>LEN(D833)</f>
        <v>39</v>
      </c>
      <c r="F833" t="s">
        <v>14</v>
      </c>
      <c r="G833">
        <v>29</v>
      </c>
      <c r="H833">
        <v>0</v>
      </c>
      <c r="I833">
        <v>2</v>
      </c>
      <c r="J833">
        <v>2650</v>
      </c>
      <c r="K833">
        <v>15.245799999999999</v>
      </c>
      <c r="M833" s="6" t="str">
        <f t="shared" si="57"/>
        <v/>
      </c>
      <c r="N833" s="7" t="str">
        <f t="shared" si="59"/>
        <v/>
      </c>
      <c r="O833" t="str">
        <f t="shared" si="58"/>
        <v>26</v>
      </c>
      <c r="P833" s="4" t="str">
        <f>LEFT(L833,1)</f>
        <v/>
      </c>
      <c r="Q833" t="s">
        <v>17</v>
      </c>
    </row>
    <row r="834" spans="1:17" hidden="1" x14ac:dyDescent="0.25">
      <c r="A834">
        <v>42</v>
      </c>
      <c r="B834">
        <v>0</v>
      </c>
      <c r="C834">
        <v>2</v>
      </c>
      <c r="D834" t="s">
        <v>430</v>
      </c>
      <c r="E834" s="4">
        <f>LEN(D834)</f>
        <v>56</v>
      </c>
      <c r="F834" t="s">
        <v>14</v>
      </c>
      <c r="G834">
        <v>27</v>
      </c>
      <c r="H834">
        <v>1</v>
      </c>
      <c r="I834">
        <v>0</v>
      </c>
      <c r="J834">
        <v>11668</v>
      </c>
      <c r="K834">
        <v>21</v>
      </c>
      <c r="M834" s="6" t="str">
        <f t="shared" si="57"/>
        <v/>
      </c>
      <c r="N834" s="7" t="str">
        <f t="shared" si="59"/>
        <v/>
      </c>
      <c r="O834" t="str">
        <f t="shared" si="58"/>
        <v>11</v>
      </c>
      <c r="P834" s="4" t="str">
        <f>LEFT(L834,1)</f>
        <v/>
      </c>
      <c r="Q834" t="s">
        <v>20</v>
      </c>
    </row>
    <row r="835" spans="1:17" hidden="1" x14ac:dyDescent="0.25">
      <c r="A835">
        <v>118</v>
      </c>
      <c r="B835">
        <v>0</v>
      </c>
      <c r="C835">
        <v>2</v>
      </c>
      <c r="D835" t="s">
        <v>450</v>
      </c>
      <c r="E835" s="4">
        <f>LEN(D835)</f>
        <v>31</v>
      </c>
      <c r="F835" t="s">
        <v>24</v>
      </c>
      <c r="G835">
        <v>29</v>
      </c>
      <c r="H835">
        <v>1</v>
      </c>
      <c r="I835">
        <v>0</v>
      </c>
      <c r="J835">
        <v>11668</v>
      </c>
      <c r="K835">
        <v>21</v>
      </c>
      <c r="M835" s="6" t="str">
        <f t="shared" ref="M835:M892" si="60">IF(LEN(L835)&gt;3,RIGHT((LEFT(L835,4)),3),IF(LEN(L835)=3,RIGHT(L835,2),RIGHT(L835,1)))</f>
        <v/>
      </c>
      <c r="N835" s="7" t="str">
        <f t="shared" si="59"/>
        <v/>
      </c>
      <c r="O835" t="str">
        <f t="shared" ref="O835:O892" si="61">LEFT(J835,2)</f>
        <v>11</v>
      </c>
      <c r="P835" s="4" t="str">
        <f>LEFT(L835,1)</f>
        <v/>
      </c>
      <c r="Q835" t="s">
        <v>20</v>
      </c>
    </row>
    <row r="836" spans="1:17" hidden="1" x14ac:dyDescent="0.25">
      <c r="A836">
        <v>653</v>
      </c>
      <c r="B836">
        <v>0</v>
      </c>
      <c r="C836">
        <v>3</v>
      </c>
      <c r="D836" t="s">
        <v>1085</v>
      </c>
      <c r="E836" s="4">
        <f>LEN(D836)</f>
        <v>30</v>
      </c>
      <c r="F836" t="s">
        <v>24</v>
      </c>
      <c r="G836">
        <v>21</v>
      </c>
      <c r="H836">
        <v>0</v>
      </c>
      <c r="I836">
        <v>0</v>
      </c>
      <c r="J836">
        <v>8475</v>
      </c>
      <c r="K836">
        <v>8.4332999999999991</v>
      </c>
      <c r="M836" s="6" t="str">
        <f t="shared" si="60"/>
        <v/>
      </c>
      <c r="N836" s="7" t="str">
        <f t="shared" ref="N836:N892" si="62">IF(LEN(M836)&gt;1, M836+0,"")</f>
        <v/>
      </c>
      <c r="O836" t="str">
        <f t="shared" si="61"/>
        <v>84</v>
      </c>
      <c r="P836" s="4" t="str">
        <f>LEFT(L836,1)</f>
        <v/>
      </c>
      <c r="Q836" t="s">
        <v>20</v>
      </c>
    </row>
    <row r="837" spans="1:17" hidden="1" x14ac:dyDescent="0.25">
      <c r="A837">
        <v>770</v>
      </c>
      <c r="B837">
        <v>0</v>
      </c>
      <c r="C837">
        <v>3</v>
      </c>
      <c r="D837" t="s">
        <v>1160</v>
      </c>
      <c r="E837" s="4">
        <f>LEN(D837)</f>
        <v>32</v>
      </c>
      <c r="F837" t="s">
        <v>24</v>
      </c>
      <c r="G837">
        <v>32</v>
      </c>
      <c r="H837">
        <v>0</v>
      </c>
      <c r="I837">
        <v>0</v>
      </c>
      <c r="J837">
        <v>8471</v>
      </c>
      <c r="K837">
        <v>8.3625000000000007</v>
      </c>
      <c r="M837" s="6" t="str">
        <f t="shared" si="60"/>
        <v/>
      </c>
      <c r="N837" s="7" t="str">
        <f t="shared" si="62"/>
        <v/>
      </c>
      <c r="O837" t="str">
        <f t="shared" si="61"/>
        <v>84</v>
      </c>
      <c r="P837" s="4" t="str">
        <f>LEFT(L837,1)</f>
        <v/>
      </c>
      <c r="Q837" t="s">
        <v>20</v>
      </c>
    </row>
    <row r="838" spans="1:17" hidden="1" x14ac:dyDescent="0.25">
      <c r="A838">
        <v>339</v>
      </c>
      <c r="B838">
        <v>1</v>
      </c>
      <c r="C838">
        <v>3</v>
      </c>
      <c r="D838" t="s">
        <v>869</v>
      </c>
      <c r="E838" s="4">
        <f>LEN(D838)</f>
        <v>21</v>
      </c>
      <c r="F838" t="s">
        <v>24</v>
      </c>
      <c r="G838">
        <v>45</v>
      </c>
      <c r="H838">
        <v>0</v>
      </c>
      <c r="I838">
        <v>0</v>
      </c>
      <c r="J838">
        <v>7598</v>
      </c>
      <c r="K838">
        <v>8.0500000000000007</v>
      </c>
      <c r="M838" s="6" t="str">
        <f t="shared" si="60"/>
        <v/>
      </c>
      <c r="N838" s="7" t="str">
        <f t="shared" si="62"/>
        <v/>
      </c>
      <c r="O838" t="str">
        <f t="shared" si="61"/>
        <v>75</v>
      </c>
      <c r="P838" s="4" t="str">
        <f>LEFT(L838,1)</f>
        <v/>
      </c>
      <c r="Q838" t="s">
        <v>20</v>
      </c>
    </row>
    <row r="839" spans="1:17" hidden="1" x14ac:dyDescent="0.25">
      <c r="A839">
        <v>20</v>
      </c>
      <c r="B839">
        <v>1</v>
      </c>
      <c r="C839">
        <v>3</v>
      </c>
      <c r="D839" t="s">
        <v>1201</v>
      </c>
      <c r="E839" s="4">
        <f>LEN(D839)</f>
        <v>23</v>
      </c>
      <c r="F839" t="s">
        <v>14</v>
      </c>
      <c r="H839">
        <v>0</v>
      </c>
      <c r="I839">
        <v>0</v>
      </c>
      <c r="J839">
        <v>2649</v>
      </c>
      <c r="K839">
        <v>7.2249999999999996</v>
      </c>
      <c r="M839" s="6" t="str">
        <f t="shared" si="60"/>
        <v/>
      </c>
      <c r="N839" s="7" t="str">
        <f t="shared" si="62"/>
        <v/>
      </c>
      <c r="O839" t="str">
        <f t="shared" si="61"/>
        <v>26</v>
      </c>
      <c r="P839" s="4" t="str">
        <f>LEFT(L839,1)</f>
        <v/>
      </c>
      <c r="Q839" t="s">
        <v>17</v>
      </c>
    </row>
    <row r="840" spans="1:17" hidden="1" x14ac:dyDescent="0.25">
      <c r="A840">
        <v>379</v>
      </c>
      <c r="B840">
        <v>0</v>
      </c>
      <c r="C840">
        <v>3</v>
      </c>
      <c r="D840" t="s">
        <v>895</v>
      </c>
      <c r="E840" s="4">
        <f>LEN(D840)</f>
        <v>19</v>
      </c>
      <c r="F840" t="s">
        <v>24</v>
      </c>
      <c r="G840">
        <v>20</v>
      </c>
      <c r="H840">
        <v>0</v>
      </c>
      <c r="I840">
        <v>0</v>
      </c>
      <c r="J840">
        <v>2648</v>
      </c>
      <c r="K840">
        <v>4.0125000000000002</v>
      </c>
      <c r="M840" s="6" t="str">
        <f t="shared" si="60"/>
        <v/>
      </c>
      <c r="N840" s="7" t="str">
        <f t="shared" si="62"/>
        <v/>
      </c>
      <c r="O840" t="str">
        <f t="shared" si="61"/>
        <v>26</v>
      </c>
      <c r="P840" s="4" t="str">
        <f>LEFT(L840,1)</f>
        <v/>
      </c>
      <c r="Q840" t="s">
        <v>17</v>
      </c>
    </row>
    <row r="841" spans="1:17" hidden="1" x14ac:dyDescent="0.25">
      <c r="A841">
        <v>355</v>
      </c>
      <c r="B841">
        <v>0</v>
      </c>
      <c r="C841">
        <v>3</v>
      </c>
      <c r="D841" t="s">
        <v>1177</v>
      </c>
      <c r="E841" s="4">
        <f>LEN(D841)</f>
        <v>17</v>
      </c>
      <c r="F841" t="s">
        <v>24</v>
      </c>
      <c r="H841">
        <v>0</v>
      </c>
      <c r="I841">
        <v>0</v>
      </c>
      <c r="J841">
        <v>2647</v>
      </c>
      <c r="K841">
        <v>7.2249999999999996</v>
      </c>
      <c r="M841" s="6" t="str">
        <f t="shared" si="60"/>
        <v/>
      </c>
      <c r="N841" s="7" t="str">
        <f t="shared" si="62"/>
        <v/>
      </c>
      <c r="O841" t="str">
        <f t="shared" si="61"/>
        <v>26</v>
      </c>
      <c r="P841" s="4" t="str">
        <f>LEFT(L841,1)</f>
        <v/>
      </c>
      <c r="Q841" t="s">
        <v>17</v>
      </c>
    </row>
    <row r="842" spans="1:17" hidden="1" x14ac:dyDescent="0.25">
      <c r="A842">
        <v>475</v>
      </c>
      <c r="B842">
        <v>0</v>
      </c>
      <c r="C842">
        <v>3</v>
      </c>
      <c r="D842" t="s">
        <v>966</v>
      </c>
      <c r="E842" s="4">
        <f>LEN(D842)</f>
        <v>27</v>
      </c>
      <c r="F842" t="s">
        <v>14</v>
      </c>
      <c r="G842">
        <v>22</v>
      </c>
      <c r="H842">
        <v>0</v>
      </c>
      <c r="I842">
        <v>0</v>
      </c>
      <c r="J842">
        <v>7553</v>
      </c>
      <c r="K842">
        <v>9.8375000000000004</v>
      </c>
      <c r="M842" s="6" t="str">
        <f t="shared" si="60"/>
        <v/>
      </c>
      <c r="N842" s="7" t="str">
        <f t="shared" si="62"/>
        <v/>
      </c>
      <c r="O842" t="str">
        <f t="shared" si="61"/>
        <v>75</v>
      </c>
      <c r="P842" s="4" t="str">
        <f>LEFT(L842,1)</f>
        <v/>
      </c>
      <c r="Q842" t="s">
        <v>20</v>
      </c>
    </row>
    <row r="843" spans="1:17" hidden="1" x14ac:dyDescent="0.25">
      <c r="A843">
        <v>883</v>
      </c>
      <c r="B843">
        <v>0</v>
      </c>
      <c r="C843">
        <v>3</v>
      </c>
      <c r="D843" t="s">
        <v>1231</v>
      </c>
      <c r="E843" s="4">
        <f>LEN(D843)</f>
        <v>28</v>
      </c>
      <c r="F843" t="s">
        <v>14</v>
      </c>
      <c r="G843">
        <v>22</v>
      </c>
      <c r="H843">
        <v>0</v>
      </c>
      <c r="I843">
        <v>0</v>
      </c>
      <c r="J843">
        <v>7552</v>
      </c>
      <c r="K843">
        <v>10.5167</v>
      </c>
      <c r="M843" s="6" t="str">
        <f t="shared" si="60"/>
        <v/>
      </c>
      <c r="N843" s="7" t="str">
        <f t="shared" si="62"/>
        <v/>
      </c>
      <c r="O843" t="str">
        <f t="shared" si="61"/>
        <v>75</v>
      </c>
      <c r="P843" s="4" t="str">
        <f>LEFT(L843,1)</f>
        <v/>
      </c>
      <c r="Q843" t="s">
        <v>20</v>
      </c>
    </row>
    <row r="844" spans="1:17" hidden="1" x14ac:dyDescent="0.25">
      <c r="A844">
        <v>532</v>
      </c>
      <c r="B844">
        <v>0</v>
      </c>
      <c r="C844">
        <v>3</v>
      </c>
      <c r="D844" t="s">
        <v>1157</v>
      </c>
      <c r="E844" s="4">
        <f>LEN(D844)</f>
        <v>17</v>
      </c>
      <c r="F844" t="s">
        <v>24</v>
      </c>
      <c r="H844">
        <v>0</v>
      </c>
      <c r="I844">
        <v>0</v>
      </c>
      <c r="J844">
        <v>2641</v>
      </c>
      <c r="K844">
        <v>7.2291999999999996</v>
      </c>
      <c r="M844" s="6" t="str">
        <f t="shared" si="60"/>
        <v/>
      </c>
      <c r="N844" s="7" t="str">
        <f t="shared" si="62"/>
        <v/>
      </c>
      <c r="O844" t="str">
        <f t="shared" si="61"/>
        <v>26</v>
      </c>
      <c r="P844" s="4" t="str">
        <f>LEFT(L844,1)</f>
        <v/>
      </c>
      <c r="Q844" t="s">
        <v>17</v>
      </c>
    </row>
    <row r="845" spans="1:17" hidden="1" x14ac:dyDescent="0.25">
      <c r="A845">
        <v>41</v>
      </c>
      <c r="B845">
        <v>0</v>
      </c>
      <c r="C845">
        <v>3</v>
      </c>
      <c r="D845" t="s">
        <v>679</v>
      </c>
      <c r="E845" s="4">
        <f>LEN(D845)</f>
        <v>46</v>
      </c>
      <c r="F845" t="s">
        <v>14</v>
      </c>
      <c r="G845">
        <v>40</v>
      </c>
      <c r="H845">
        <v>1</v>
      </c>
      <c r="I845">
        <v>0</v>
      </c>
      <c r="J845">
        <v>7546</v>
      </c>
      <c r="K845">
        <v>9.4749999999999996</v>
      </c>
      <c r="M845" s="6" t="str">
        <f t="shared" si="60"/>
        <v/>
      </c>
      <c r="N845" s="7" t="str">
        <f t="shared" si="62"/>
        <v/>
      </c>
      <c r="O845" t="str">
        <f t="shared" si="61"/>
        <v>75</v>
      </c>
      <c r="P845" s="4" t="str">
        <f>LEFT(L845,1)</f>
        <v/>
      </c>
      <c r="Q845" t="s">
        <v>20</v>
      </c>
    </row>
    <row r="846" spans="1:17" hidden="1" x14ac:dyDescent="0.25">
      <c r="A846">
        <v>27</v>
      </c>
      <c r="B846">
        <v>0</v>
      </c>
      <c r="C846">
        <v>3</v>
      </c>
      <c r="D846" t="s">
        <v>1176</v>
      </c>
      <c r="E846" s="4">
        <f>LEN(D846)</f>
        <v>23</v>
      </c>
      <c r="F846" t="s">
        <v>24</v>
      </c>
      <c r="H846">
        <v>0</v>
      </c>
      <c r="I846">
        <v>0</v>
      </c>
      <c r="J846">
        <v>2631</v>
      </c>
      <c r="K846">
        <v>7.2249999999999996</v>
      </c>
      <c r="M846" s="6" t="str">
        <f t="shared" si="60"/>
        <v/>
      </c>
      <c r="N846" s="7" t="str">
        <f t="shared" si="62"/>
        <v/>
      </c>
      <c r="O846" t="str">
        <f t="shared" si="61"/>
        <v>26</v>
      </c>
      <c r="P846" s="4" t="str">
        <f>LEFT(L846,1)</f>
        <v/>
      </c>
      <c r="Q846" t="s">
        <v>17</v>
      </c>
    </row>
    <row r="847" spans="1:17" hidden="1" x14ac:dyDescent="0.25">
      <c r="A847">
        <v>714</v>
      </c>
      <c r="B847">
        <v>0</v>
      </c>
      <c r="C847">
        <v>3</v>
      </c>
      <c r="D847" t="s">
        <v>1121</v>
      </c>
      <c r="E847" s="4">
        <f>LEN(D847)</f>
        <v>26</v>
      </c>
      <c r="F847" t="s">
        <v>24</v>
      </c>
      <c r="G847">
        <v>29</v>
      </c>
      <c r="H847">
        <v>0</v>
      </c>
      <c r="I847">
        <v>0</v>
      </c>
      <c r="J847">
        <v>7545</v>
      </c>
      <c r="K847">
        <v>9.4832999999999998</v>
      </c>
      <c r="M847" s="6" t="str">
        <f t="shared" si="60"/>
        <v/>
      </c>
      <c r="N847" s="7" t="str">
        <f t="shared" si="62"/>
        <v/>
      </c>
      <c r="O847" t="str">
        <f t="shared" si="61"/>
        <v>75</v>
      </c>
      <c r="P847" s="4" t="str">
        <f>LEFT(L847,1)</f>
        <v/>
      </c>
      <c r="Q847" t="s">
        <v>20</v>
      </c>
    </row>
    <row r="848" spans="1:17" hidden="1" x14ac:dyDescent="0.25">
      <c r="A848">
        <v>104</v>
      </c>
      <c r="B848">
        <v>0</v>
      </c>
      <c r="C848">
        <v>3</v>
      </c>
      <c r="D848" t="s">
        <v>721</v>
      </c>
      <c r="E848" s="4">
        <f>LEN(D848)</f>
        <v>26</v>
      </c>
      <c r="F848" t="s">
        <v>24</v>
      </c>
      <c r="G848">
        <v>33</v>
      </c>
      <c r="H848">
        <v>0</v>
      </c>
      <c r="I848">
        <v>0</v>
      </c>
      <c r="J848">
        <v>7540</v>
      </c>
      <c r="K848">
        <v>8.6541999999999994</v>
      </c>
      <c r="M848" s="6" t="str">
        <f t="shared" si="60"/>
        <v/>
      </c>
      <c r="N848" s="7" t="str">
        <f t="shared" si="62"/>
        <v/>
      </c>
      <c r="O848" t="str">
        <f t="shared" si="61"/>
        <v>75</v>
      </c>
      <c r="P848" s="4" t="str">
        <f>LEFT(L848,1)</f>
        <v/>
      </c>
      <c r="Q848" t="s">
        <v>20</v>
      </c>
    </row>
    <row r="849" spans="1:17" hidden="1" x14ac:dyDescent="0.25">
      <c r="A849">
        <v>139</v>
      </c>
      <c r="B849">
        <v>0</v>
      </c>
      <c r="C849">
        <v>3</v>
      </c>
      <c r="D849" t="s">
        <v>743</v>
      </c>
      <c r="E849" s="4">
        <f>LEN(D849)</f>
        <v>19</v>
      </c>
      <c r="F849" t="s">
        <v>24</v>
      </c>
      <c r="G849">
        <v>16</v>
      </c>
      <c r="H849">
        <v>0</v>
      </c>
      <c r="I849">
        <v>0</v>
      </c>
      <c r="J849">
        <v>7534</v>
      </c>
      <c r="K849">
        <v>9.2166999999999994</v>
      </c>
      <c r="M849" s="6" t="str">
        <f t="shared" si="60"/>
        <v/>
      </c>
      <c r="N849" s="7" t="str">
        <f t="shared" si="62"/>
        <v/>
      </c>
      <c r="O849" t="str">
        <f t="shared" si="61"/>
        <v>75</v>
      </c>
      <c r="P849" s="4" t="str">
        <f>LEFT(L849,1)</f>
        <v/>
      </c>
      <c r="Q849" t="s">
        <v>20</v>
      </c>
    </row>
    <row r="850" spans="1:17" hidden="1" x14ac:dyDescent="0.25">
      <c r="A850">
        <v>877</v>
      </c>
      <c r="B850">
        <v>0</v>
      </c>
      <c r="C850">
        <v>3</v>
      </c>
      <c r="D850" t="s">
        <v>1228</v>
      </c>
      <c r="E850" s="4">
        <f>LEN(D850)</f>
        <v>29</v>
      </c>
      <c r="F850" t="s">
        <v>24</v>
      </c>
      <c r="G850">
        <v>20</v>
      </c>
      <c r="H850">
        <v>0</v>
      </c>
      <c r="I850">
        <v>0</v>
      </c>
      <c r="J850">
        <v>7534</v>
      </c>
      <c r="K850">
        <v>9.8458000000000006</v>
      </c>
      <c r="M850" s="6" t="str">
        <f t="shared" si="60"/>
        <v/>
      </c>
      <c r="N850" s="7" t="str">
        <f t="shared" si="62"/>
        <v/>
      </c>
      <c r="O850" t="str">
        <f t="shared" si="61"/>
        <v>75</v>
      </c>
      <c r="P850" s="4" t="str">
        <f>LEFT(L850,1)</f>
        <v/>
      </c>
      <c r="Q850" t="s">
        <v>20</v>
      </c>
    </row>
    <row r="851" spans="1:17" hidden="1" x14ac:dyDescent="0.25">
      <c r="A851">
        <v>351</v>
      </c>
      <c r="B851">
        <v>0</v>
      </c>
      <c r="C851">
        <v>3</v>
      </c>
      <c r="D851" t="s">
        <v>875</v>
      </c>
      <c r="E851" s="4">
        <f>LEN(D851)</f>
        <v>22</v>
      </c>
      <c r="F851" t="s">
        <v>24</v>
      </c>
      <c r="G851">
        <v>23</v>
      </c>
      <c r="H851">
        <v>0</v>
      </c>
      <c r="I851">
        <v>0</v>
      </c>
      <c r="J851">
        <v>7267</v>
      </c>
      <c r="K851">
        <v>9.2249999999999996</v>
      </c>
      <c r="M851" s="6" t="str">
        <f t="shared" si="60"/>
        <v/>
      </c>
      <c r="N851" s="7" t="str">
        <f t="shared" si="62"/>
        <v/>
      </c>
      <c r="O851" t="str">
        <f t="shared" si="61"/>
        <v>72</v>
      </c>
      <c r="P851" s="4" t="str">
        <f>LEFT(L851,1)</f>
        <v/>
      </c>
      <c r="Q851" t="s">
        <v>20</v>
      </c>
    </row>
    <row r="852" spans="1:17" hidden="1" x14ac:dyDescent="0.25">
      <c r="A852">
        <v>683</v>
      </c>
      <c r="B852">
        <v>0</v>
      </c>
      <c r="C852">
        <v>3</v>
      </c>
      <c r="D852" t="s">
        <v>1104</v>
      </c>
      <c r="E852" s="4">
        <f>LEN(D852)</f>
        <v>27</v>
      </c>
      <c r="F852" t="s">
        <v>24</v>
      </c>
      <c r="G852">
        <v>20</v>
      </c>
      <c r="H852">
        <v>0</v>
      </c>
      <c r="I852">
        <v>0</v>
      </c>
      <c r="J852">
        <v>6563</v>
      </c>
      <c r="K852">
        <v>9.2249999999999996</v>
      </c>
      <c r="M852" s="6" t="str">
        <f t="shared" si="60"/>
        <v/>
      </c>
      <c r="N852" s="7" t="str">
        <f t="shared" si="62"/>
        <v/>
      </c>
      <c r="O852" t="str">
        <f t="shared" si="61"/>
        <v>65</v>
      </c>
      <c r="P852" s="4" t="str">
        <f>LEFT(L852,1)</f>
        <v/>
      </c>
      <c r="Q852" t="s">
        <v>20</v>
      </c>
    </row>
    <row r="853" spans="1:17" x14ac:dyDescent="0.25">
      <c r="A853">
        <v>663</v>
      </c>
      <c r="B853">
        <v>0</v>
      </c>
      <c r="C853">
        <v>1</v>
      </c>
      <c r="D853" t="s">
        <v>337</v>
      </c>
      <c r="E853" s="4">
        <f>LEN(D853)</f>
        <v>26</v>
      </c>
      <c r="F853" t="s">
        <v>24</v>
      </c>
      <c r="G853">
        <v>47</v>
      </c>
      <c r="H853">
        <v>0</v>
      </c>
      <c r="I853">
        <v>0</v>
      </c>
      <c r="J853">
        <v>5727</v>
      </c>
      <c r="K853">
        <v>25.587499999999999</v>
      </c>
      <c r="L853" t="s">
        <v>338</v>
      </c>
      <c r="M853" s="6" t="str">
        <f t="shared" si="60"/>
        <v>58</v>
      </c>
      <c r="N853" s="7">
        <f t="shared" si="62"/>
        <v>58</v>
      </c>
      <c r="O853" t="str">
        <f t="shared" si="61"/>
        <v>57</v>
      </c>
      <c r="P853" s="4" t="str">
        <f>LEFT(L853,1)</f>
        <v>E</v>
      </c>
      <c r="Q853" t="s">
        <v>20</v>
      </c>
    </row>
    <row r="854" spans="1:17" hidden="1" x14ac:dyDescent="0.25">
      <c r="A854">
        <v>860</v>
      </c>
      <c r="B854">
        <v>0</v>
      </c>
      <c r="C854">
        <v>3</v>
      </c>
      <c r="D854" t="s">
        <v>1165</v>
      </c>
      <c r="E854" s="4">
        <f>LEN(D854)</f>
        <v>16</v>
      </c>
      <c r="F854" t="s">
        <v>24</v>
      </c>
      <c r="H854">
        <v>0</v>
      </c>
      <c r="I854">
        <v>0</v>
      </c>
      <c r="J854">
        <v>2629</v>
      </c>
      <c r="K854">
        <v>7.2291999999999996</v>
      </c>
      <c r="M854" s="6" t="str">
        <f t="shared" si="60"/>
        <v/>
      </c>
      <c r="N854" s="7" t="str">
        <f t="shared" si="62"/>
        <v/>
      </c>
      <c r="O854" t="str">
        <f t="shared" si="61"/>
        <v>26</v>
      </c>
      <c r="P854" s="4" t="str">
        <f>LEFT(L854,1)</f>
        <v/>
      </c>
      <c r="Q854" t="s">
        <v>17</v>
      </c>
    </row>
    <row r="855" spans="1:17" hidden="1" x14ac:dyDescent="0.25">
      <c r="A855">
        <v>198</v>
      </c>
      <c r="B855">
        <v>0</v>
      </c>
      <c r="C855">
        <v>3</v>
      </c>
      <c r="D855" t="s">
        <v>777</v>
      </c>
      <c r="E855" s="4">
        <f>LEN(D855)</f>
        <v>32</v>
      </c>
      <c r="F855" t="s">
        <v>24</v>
      </c>
      <c r="G855">
        <v>42</v>
      </c>
      <c r="H855">
        <v>0</v>
      </c>
      <c r="I855">
        <v>1</v>
      </c>
      <c r="J855">
        <v>4579</v>
      </c>
      <c r="K855">
        <v>8.4041999999999994</v>
      </c>
      <c r="M855" s="6" t="str">
        <f t="shared" si="60"/>
        <v/>
      </c>
      <c r="N855" s="7" t="str">
        <f t="shared" si="62"/>
        <v/>
      </c>
      <c r="O855" t="str">
        <f t="shared" si="61"/>
        <v>45</v>
      </c>
      <c r="P855" s="4" t="str">
        <f>LEFT(L855,1)</f>
        <v/>
      </c>
      <c r="Q855" t="s">
        <v>20</v>
      </c>
    </row>
    <row r="856" spans="1:17" hidden="1" x14ac:dyDescent="0.25">
      <c r="A856">
        <v>678</v>
      </c>
      <c r="B856">
        <v>1</v>
      </c>
      <c r="C856">
        <v>3</v>
      </c>
      <c r="D856" t="s">
        <v>1101</v>
      </c>
      <c r="E856" s="4">
        <f>LEN(D856)</f>
        <v>23</v>
      </c>
      <c r="F856" t="s">
        <v>14</v>
      </c>
      <c r="G856">
        <v>18</v>
      </c>
      <c r="H856">
        <v>0</v>
      </c>
      <c r="I856">
        <v>0</v>
      </c>
      <c r="J856">
        <v>4138</v>
      </c>
      <c r="K856">
        <v>9.8416999999999994</v>
      </c>
      <c r="M856" s="6" t="str">
        <f t="shared" si="60"/>
        <v/>
      </c>
      <c r="N856" s="7" t="str">
        <f t="shared" si="62"/>
        <v/>
      </c>
      <c r="O856" t="str">
        <f t="shared" si="61"/>
        <v>41</v>
      </c>
      <c r="P856" s="4" t="str">
        <f>LEFT(L856,1)</f>
        <v/>
      </c>
      <c r="Q856" t="s">
        <v>20</v>
      </c>
    </row>
    <row r="857" spans="1:17" hidden="1" x14ac:dyDescent="0.25">
      <c r="A857">
        <v>403</v>
      </c>
      <c r="B857">
        <v>0</v>
      </c>
      <c r="C857">
        <v>3</v>
      </c>
      <c r="D857" t="s">
        <v>910</v>
      </c>
      <c r="E857" s="4">
        <f>LEN(D857)</f>
        <v>24</v>
      </c>
      <c r="F857" t="s">
        <v>14</v>
      </c>
      <c r="G857">
        <v>21</v>
      </c>
      <c r="H857">
        <v>1</v>
      </c>
      <c r="I857">
        <v>0</v>
      </c>
      <c r="J857">
        <v>4137</v>
      </c>
      <c r="K857">
        <v>9.8249999999999993</v>
      </c>
      <c r="M857" s="6" t="str">
        <f t="shared" si="60"/>
        <v/>
      </c>
      <c r="N857" s="7" t="str">
        <f t="shared" si="62"/>
        <v/>
      </c>
      <c r="O857" t="str">
        <f t="shared" si="61"/>
        <v>41</v>
      </c>
      <c r="P857" s="4" t="str">
        <f>LEFT(L857,1)</f>
        <v/>
      </c>
      <c r="Q857" t="s">
        <v>20</v>
      </c>
    </row>
    <row r="858" spans="1:17" hidden="1" x14ac:dyDescent="0.25">
      <c r="A858">
        <v>114</v>
      </c>
      <c r="B858">
        <v>0</v>
      </c>
      <c r="C858">
        <v>3</v>
      </c>
      <c r="D858" t="s">
        <v>728</v>
      </c>
      <c r="E858" s="4">
        <f>LEN(D858)</f>
        <v>23</v>
      </c>
      <c r="F858" t="s">
        <v>14</v>
      </c>
      <c r="G858">
        <v>20</v>
      </c>
      <c r="H858">
        <v>1</v>
      </c>
      <c r="I858">
        <v>0</v>
      </c>
      <c r="J858">
        <v>4136</v>
      </c>
      <c r="K858">
        <v>9.8249999999999993</v>
      </c>
      <c r="M858" s="6" t="str">
        <f t="shared" si="60"/>
        <v/>
      </c>
      <c r="N858" s="7" t="str">
        <f t="shared" si="62"/>
        <v/>
      </c>
      <c r="O858" t="str">
        <f t="shared" si="61"/>
        <v>41</v>
      </c>
      <c r="P858" s="4" t="str">
        <f>LEFT(L858,1)</f>
        <v/>
      </c>
      <c r="Q858" t="s">
        <v>20</v>
      </c>
    </row>
    <row r="859" spans="1:17" hidden="1" x14ac:dyDescent="0.25">
      <c r="A859">
        <v>504</v>
      </c>
      <c r="B859">
        <v>0</v>
      </c>
      <c r="C859">
        <v>3</v>
      </c>
      <c r="D859" t="s">
        <v>991</v>
      </c>
      <c r="E859" s="4">
        <f>LEN(D859)</f>
        <v>30</v>
      </c>
      <c r="F859" t="s">
        <v>14</v>
      </c>
      <c r="G859">
        <v>37</v>
      </c>
      <c r="H859">
        <v>0</v>
      </c>
      <c r="I859">
        <v>0</v>
      </c>
      <c r="J859">
        <v>4135</v>
      </c>
      <c r="K859">
        <v>9.5875000000000004</v>
      </c>
      <c r="M859" s="6" t="str">
        <f t="shared" si="60"/>
        <v/>
      </c>
      <c r="N859" s="7" t="str">
        <f t="shared" si="62"/>
        <v/>
      </c>
      <c r="O859" t="str">
        <f t="shared" si="61"/>
        <v>41</v>
      </c>
      <c r="P859" s="4" t="str">
        <f>LEFT(L859,1)</f>
        <v/>
      </c>
      <c r="Q859" t="s">
        <v>20</v>
      </c>
    </row>
    <row r="860" spans="1:17" hidden="1" x14ac:dyDescent="0.25">
      <c r="A860">
        <v>484</v>
      </c>
      <c r="B860">
        <v>1</v>
      </c>
      <c r="C860">
        <v>3</v>
      </c>
      <c r="D860" t="s">
        <v>975</v>
      </c>
      <c r="E860" s="4">
        <f>LEN(D860)</f>
        <v>22</v>
      </c>
      <c r="F860" t="s">
        <v>14</v>
      </c>
      <c r="G860">
        <v>63</v>
      </c>
      <c r="H860">
        <v>0</v>
      </c>
      <c r="I860">
        <v>0</v>
      </c>
      <c r="J860">
        <v>4134</v>
      </c>
      <c r="K860">
        <v>9.5875000000000004</v>
      </c>
      <c r="M860" s="6" t="str">
        <f t="shared" si="60"/>
        <v/>
      </c>
      <c r="N860" s="7" t="str">
        <f t="shared" si="62"/>
        <v/>
      </c>
      <c r="O860" t="str">
        <f t="shared" si="61"/>
        <v>41</v>
      </c>
      <c r="P860" s="4" t="str">
        <f>LEFT(L860,1)</f>
        <v/>
      </c>
      <c r="Q860" t="s">
        <v>20</v>
      </c>
    </row>
    <row r="861" spans="1:17" hidden="1" x14ac:dyDescent="0.25">
      <c r="A861">
        <v>204</v>
      </c>
      <c r="B861">
        <v>0</v>
      </c>
      <c r="C861">
        <v>3</v>
      </c>
      <c r="D861" t="s">
        <v>782</v>
      </c>
      <c r="E861" s="4">
        <f>LEN(D861)</f>
        <v>20</v>
      </c>
      <c r="F861" t="s">
        <v>24</v>
      </c>
      <c r="G861">
        <v>45.5</v>
      </c>
      <c r="H861">
        <v>0</v>
      </c>
      <c r="I861">
        <v>0</v>
      </c>
      <c r="J861">
        <v>2628</v>
      </c>
      <c r="K861">
        <v>7.2249999999999996</v>
      </c>
      <c r="M861" s="6" t="str">
        <f t="shared" si="60"/>
        <v/>
      </c>
      <c r="N861" s="7" t="str">
        <f t="shared" si="62"/>
        <v/>
      </c>
      <c r="O861" t="str">
        <f t="shared" si="61"/>
        <v>26</v>
      </c>
      <c r="P861" s="4" t="str">
        <f>LEFT(L861,1)</f>
        <v/>
      </c>
      <c r="Q861" t="s">
        <v>17</v>
      </c>
    </row>
    <row r="862" spans="1:17" hidden="1" x14ac:dyDescent="0.25">
      <c r="A862">
        <v>115</v>
      </c>
      <c r="B862">
        <v>0</v>
      </c>
      <c r="C862">
        <v>3</v>
      </c>
      <c r="D862" t="s">
        <v>729</v>
      </c>
      <c r="E862" s="4">
        <f>LEN(D862)</f>
        <v>21</v>
      </c>
      <c r="F862" t="s">
        <v>14</v>
      </c>
      <c r="G862">
        <v>17</v>
      </c>
      <c r="H862">
        <v>0</v>
      </c>
      <c r="I862">
        <v>0</v>
      </c>
      <c r="J862">
        <v>2627</v>
      </c>
      <c r="K862">
        <v>14.458299999999999</v>
      </c>
      <c r="M862" s="6" t="str">
        <f t="shared" si="60"/>
        <v/>
      </c>
      <c r="N862" s="7" t="str">
        <f t="shared" si="62"/>
        <v/>
      </c>
      <c r="O862" t="str">
        <f t="shared" si="61"/>
        <v>26</v>
      </c>
      <c r="P862" s="4" t="str">
        <f>LEFT(L862,1)</f>
        <v/>
      </c>
      <c r="Q862" t="s">
        <v>17</v>
      </c>
    </row>
    <row r="863" spans="1:17" hidden="1" x14ac:dyDescent="0.25">
      <c r="A863">
        <v>177</v>
      </c>
      <c r="B863">
        <v>0</v>
      </c>
      <c r="C863">
        <v>3</v>
      </c>
      <c r="D863" t="s">
        <v>776</v>
      </c>
      <c r="E863" s="4">
        <f>LEN(D863)</f>
        <v>29</v>
      </c>
      <c r="F863" t="s">
        <v>24</v>
      </c>
      <c r="H863">
        <v>3</v>
      </c>
      <c r="I863">
        <v>1</v>
      </c>
      <c r="J863">
        <v>4133</v>
      </c>
      <c r="K863">
        <v>25.466699999999999</v>
      </c>
      <c r="M863" s="6" t="str">
        <f t="shared" si="60"/>
        <v/>
      </c>
      <c r="N863" s="7" t="str">
        <f t="shared" si="62"/>
        <v/>
      </c>
      <c r="O863" t="str">
        <f t="shared" si="61"/>
        <v>41</v>
      </c>
      <c r="P863" s="4" t="str">
        <f>LEFT(L863,1)</f>
        <v/>
      </c>
      <c r="Q863" t="s">
        <v>20</v>
      </c>
    </row>
    <row r="864" spans="1:17" hidden="1" x14ac:dyDescent="0.25">
      <c r="A864">
        <v>496</v>
      </c>
      <c r="B864">
        <v>0</v>
      </c>
      <c r="C864">
        <v>3</v>
      </c>
      <c r="D864" t="s">
        <v>886</v>
      </c>
      <c r="E864" s="4">
        <f>LEN(D864)</f>
        <v>21</v>
      </c>
      <c r="F864" t="s">
        <v>24</v>
      </c>
      <c r="H864">
        <v>0</v>
      </c>
      <c r="I864">
        <v>0</v>
      </c>
      <c r="J864">
        <v>2627</v>
      </c>
      <c r="K864">
        <v>14.458299999999999</v>
      </c>
      <c r="M864" s="6" t="str">
        <f t="shared" si="60"/>
        <v/>
      </c>
      <c r="N864" s="7" t="str">
        <f t="shared" si="62"/>
        <v/>
      </c>
      <c r="O864" t="str">
        <f t="shared" si="61"/>
        <v>26</v>
      </c>
      <c r="P864" s="4" t="str">
        <f>LEFT(L864,1)</f>
        <v/>
      </c>
      <c r="Q864" t="s">
        <v>17</v>
      </c>
    </row>
    <row r="865" spans="1:17" hidden="1" x14ac:dyDescent="0.25">
      <c r="A865">
        <v>826</v>
      </c>
      <c r="B865">
        <v>0</v>
      </c>
      <c r="C865">
        <v>3</v>
      </c>
      <c r="D865" t="s">
        <v>1205</v>
      </c>
      <c r="E865" s="4">
        <f>LEN(D865)</f>
        <v>15</v>
      </c>
      <c r="F865" t="s">
        <v>24</v>
      </c>
      <c r="H865">
        <v>0</v>
      </c>
      <c r="I865">
        <v>0</v>
      </c>
      <c r="J865">
        <v>368323</v>
      </c>
      <c r="K865">
        <v>6.95</v>
      </c>
      <c r="M865" s="6" t="str">
        <f t="shared" si="60"/>
        <v/>
      </c>
      <c r="N865" s="7" t="str">
        <f t="shared" si="62"/>
        <v/>
      </c>
      <c r="O865" t="str">
        <f t="shared" si="61"/>
        <v>36</v>
      </c>
      <c r="P865" s="4" t="str">
        <f>LEFT(L865,1)</f>
        <v/>
      </c>
      <c r="Q865" t="s">
        <v>161</v>
      </c>
    </row>
    <row r="866" spans="1:17" hidden="1" x14ac:dyDescent="0.25">
      <c r="A866">
        <v>230</v>
      </c>
      <c r="B866">
        <v>0</v>
      </c>
      <c r="C866">
        <v>3</v>
      </c>
      <c r="D866" t="s">
        <v>778</v>
      </c>
      <c r="E866" s="4">
        <f>LEN(D866)</f>
        <v>23</v>
      </c>
      <c r="F866" t="s">
        <v>14</v>
      </c>
      <c r="H866">
        <v>3</v>
      </c>
      <c r="I866">
        <v>1</v>
      </c>
      <c r="J866">
        <v>4133</v>
      </c>
      <c r="K866">
        <v>25.466699999999999</v>
      </c>
      <c r="M866" s="6" t="str">
        <f t="shared" si="60"/>
        <v/>
      </c>
      <c r="N866" s="7" t="str">
        <f t="shared" si="62"/>
        <v/>
      </c>
      <c r="O866" t="str">
        <f t="shared" si="61"/>
        <v>41</v>
      </c>
      <c r="P866" s="4" t="str">
        <f>LEFT(L866,1)</f>
        <v/>
      </c>
      <c r="Q866" t="s">
        <v>20</v>
      </c>
    </row>
    <row r="867" spans="1:17" hidden="1" x14ac:dyDescent="0.25">
      <c r="A867">
        <v>410</v>
      </c>
      <c r="B867">
        <v>0</v>
      </c>
      <c r="C867">
        <v>3</v>
      </c>
      <c r="D867" t="s">
        <v>780</v>
      </c>
      <c r="E867" s="4">
        <f>LEN(D867)</f>
        <v>18</v>
      </c>
      <c r="F867" t="s">
        <v>14</v>
      </c>
      <c r="H867">
        <v>3</v>
      </c>
      <c r="I867">
        <v>1</v>
      </c>
      <c r="J867">
        <v>4133</v>
      </c>
      <c r="K867">
        <v>25.466699999999999</v>
      </c>
      <c r="M867" s="6" t="str">
        <f t="shared" si="60"/>
        <v/>
      </c>
      <c r="N867" s="7" t="str">
        <f t="shared" si="62"/>
        <v/>
      </c>
      <c r="O867" t="str">
        <f t="shared" si="61"/>
        <v>41</v>
      </c>
      <c r="P867" s="4" t="str">
        <f>LEFT(L867,1)</f>
        <v/>
      </c>
      <c r="Q867" t="s">
        <v>20</v>
      </c>
    </row>
    <row r="868" spans="1:17" hidden="1" x14ac:dyDescent="0.25">
      <c r="A868">
        <v>486</v>
      </c>
      <c r="B868">
        <v>0</v>
      </c>
      <c r="C868">
        <v>3</v>
      </c>
      <c r="D868" t="s">
        <v>793</v>
      </c>
      <c r="E868" s="4">
        <f>LEN(D868)</f>
        <v>22</v>
      </c>
      <c r="F868" t="s">
        <v>14</v>
      </c>
      <c r="H868">
        <v>3</v>
      </c>
      <c r="I868">
        <v>1</v>
      </c>
      <c r="J868">
        <v>4133</v>
      </c>
      <c r="K868">
        <v>25.466699999999999</v>
      </c>
      <c r="M868" s="6" t="str">
        <f t="shared" si="60"/>
        <v/>
      </c>
      <c r="N868" s="7" t="str">
        <f t="shared" si="62"/>
        <v/>
      </c>
      <c r="O868" t="str">
        <f t="shared" si="61"/>
        <v>41</v>
      </c>
      <c r="P868" s="4" t="str">
        <f>LEFT(L868,1)</f>
        <v/>
      </c>
      <c r="Q868" t="s">
        <v>20</v>
      </c>
    </row>
    <row r="869" spans="1:17" hidden="1" x14ac:dyDescent="0.25">
      <c r="A869">
        <v>412</v>
      </c>
      <c r="B869">
        <v>0</v>
      </c>
      <c r="C869">
        <v>3</v>
      </c>
      <c r="D869" t="s">
        <v>1209</v>
      </c>
      <c r="E869" s="4">
        <f>LEN(D869)</f>
        <v>15</v>
      </c>
      <c r="F869" t="s">
        <v>24</v>
      </c>
      <c r="H869">
        <v>0</v>
      </c>
      <c r="I869">
        <v>0</v>
      </c>
      <c r="J869">
        <v>394140</v>
      </c>
      <c r="K869">
        <v>6.8582999999999998</v>
      </c>
      <c r="M869" s="6" t="str">
        <f t="shared" si="60"/>
        <v/>
      </c>
      <c r="N869" s="7" t="str">
        <f t="shared" si="62"/>
        <v/>
      </c>
      <c r="O869" t="str">
        <f t="shared" si="61"/>
        <v>39</v>
      </c>
      <c r="P869" s="4" t="str">
        <f>LEFT(L869,1)</f>
        <v/>
      </c>
      <c r="Q869" t="s">
        <v>161</v>
      </c>
    </row>
    <row r="870" spans="1:17" hidden="1" x14ac:dyDescent="0.25">
      <c r="A870">
        <v>811</v>
      </c>
      <c r="B870">
        <v>0</v>
      </c>
      <c r="C870">
        <v>3</v>
      </c>
      <c r="D870" t="s">
        <v>1187</v>
      </c>
      <c r="E870" s="4">
        <f>LEN(D870)</f>
        <v>22</v>
      </c>
      <c r="F870" t="s">
        <v>24</v>
      </c>
      <c r="G870">
        <v>26</v>
      </c>
      <c r="H870">
        <v>0</v>
      </c>
      <c r="I870">
        <v>0</v>
      </c>
      <c r="J870">
        <v>3474</v>
      </c>
      <c r="K870">
        <v>7.8875000000000002</v>
      </c>
      <c r="M870" s="6" t="str">
        <f t="shared" si="60"/>
        <v/>
      </c>
      <c r="N870" s="7" t="str">
        <f t="shared" si="62"/>
        <v/>
      </c>
      <c r="O870" t="str">
        <f t="shared" si="61"/>
        <v>34</v>
      </c>
      <c r="P870" s="4" t="str">
        <f>LEFT(L870,1)</f>
        <v/>
      </c>
      <c r="Q870" t="s">
        <v>20</v>
      </c>
    </row>
    <row r="871" spans="1:17" hidden="1" x14ac:dyDescent="0.25">
      <c r="A871">
        <v>478</v>
      </c>
      <c r="B871">
        <v>0</v>
      </c>
      <c r="C871">
        <v>3</v>
      </c>
      <c r="D871" t="s">
        <v>968</v>
      </c>
      <c r="E871" s="4">
        <f>LEN(D871)</f>
        <v>25</v>
      </c>
      <c r="F871" t="s">
        <v>24</v>
      </c>
      <c r="G871">
        <v>29</v>
      </c>
      <c r="H871">
        <v>1</v>
      </c>
      <c r="I871">
        <v>0</v>
      </c>
      <c r="J871">
        <v>3460</v>
      </c>
      <c r="K871">
        <v>7.0457999999999998</v>
      </c>
      <c r="M871" s="6" t="str">
        <f t="shared" si="60"/>
        <v/>
      </c>
      <c r="N871" s="7" t="str">
        <f t="shared" si="62"/>
        <v/>
      </c>
      <c r="O871" t="str">
        <f t="shared" si="61"/>
        <v>34</v>
      </c>
      <c r="P871" s="4" t="str">
        <f>LEFT(L871,1)</f>
        <v/>
      </c>
      <c r="Q871" t="s">
        <v>20</v>
      </c>
    </row>
    <row r="872" spans="1:17" hidden="1" x14ac:dyDescent="0.25">
      <c r="A872">
        <v>368</v>
      </c>
      <c r="B872">
        <v>1</v>
      </c>
      <c r="C872">
        <v>3</v>
      </c>
      <c r="D872" t="s">
        <v>1169</v>
      </c>
      <c r="E872" s="4">
        <f>LEN(D872)</f>
        <v>30</v>
      </c>
      <c r="F872" t="s">
        <v>14</v>
      </c>
      <c r="H872">
        <v>0</v>
      </c>
      <c r="I872">
        <v>0</v>
      </c>
      <c r="J872">
        <v>2626</v>
      </c>
      <c r="K872">
        <v>7.2291999999999996</v>
      </c>
      <c r="M872" s="6" t="str">
        <f t="shared" si="60"/>
        <v/>
      </c>
      <c r="N872" s="7" t="str">
        <f t="shared" si="62"/>
        <v/>
      </c>
      <c r="O872" t="str">
        <f t="shared" si="61"/>
        <v>26</v>
      </c>
      <c r="P872" s="4" t="str">
        <f>LEFT(L872,1)</f>
        <v/>
      </c>
      <c r="Q872" t="s">
        <v>17</v>
      </c>
    </row>
    <row r="873" spans="1:17" hidden="1" x14ac:dyDescent="0.25">
      <c r="A873">
        <v>54</v>
      </c>
      <c r="B873">
        <v>1</v>
      </c>
      <c r="C873">
        <v>2</v>
      </c>
      <c r="D873" t="s">
        <v>433</v>
      </c>
      <c r="E873" s="4">
        <f>LEN(D873)</f>
        <v>50</v>
      </c>
      <c r="F873" t="s">
        <v>14</v>
      </c>
      <c r="G873">
        <v>29</v>
      </c>
      <c r="H873">
        <v>1</v>
      </c>
      <c r="I873">
        <v>0</v>
      </c>
      <c r="J873">
        <v>2926</v>
      </c>
      <c r="K873">
        <v>26</v>
      </c>
      <c r="M873" s="6" t="str">
        <f t="shared" si="60"/>
        <v/>
      </c>
      <c r="N873" s="7" t="str">
        <f t="shared" si="62"/>
        <v/>
      </c>
      <c r="O873" t="str">
        <f t="shared" si="61"/>
        <v>29</v>
      </c>
      <c r="P873" s="4" t="str">
        <f>LEFT(L873,1)</f>
        <v/>
      </c>
      <c r="Q873" t="s">
        <v>20</v>
      </c>
    </row>
    <row r="874" spans="1:17" hidden="1" x14ac:dyDescent="0.25">
      <c r="A874">
        <v>544</v>
      </c>
      <c r="B874">
        <v>1</v>
      </c>
      <c r="C874">
        <v>2</v>
      </c>
      <c r="D874" t="s">
        <v>572</v>
      </c>
      <c r="E874" s="4">
        <f>LEN(D874)</f>
        <v>17</v>
      </c>
      <c r="F874" t="s">
        <v>24</v>
      </c>
      <c r="G874">
        <v>32</v>
      </c>
      <c r="H874">
        <v>1</v>
      </c>
      <c r="I874">
        <v>0</v>
      </c>
      <c r="J874">
        <v>2908</v>
      </c>
      <c r="K874">
        <v>26</v>
      </c>
      <c r="M874" s="6" t="str">
        <f t="shared" si="60"/>
        <v/>
      </c>
      <c r="N874" s="7" t="str">
        <f t="shared" si="62"/>
        <v/>
      </c>
      <c r="O874" t="str">
        <f t="shared" si="61"/>
        <v>29</v>
      </c>
      <c r="P874" s="4" t="str">
        <f>LEFT(L874,1)</f>
        <v/>
      </c>
      <c r="Q874" t="s">
        <v>20</v>
      </c>
    </row>
    <row r="875" spans="1:17" hidden="1" x14ac:dyDescent="0.25">
      <c r="A875">
        <v>804</v>
      </c>
      <c r="B875">
        <v>1</v>
      </c>
      <c r="C875">
        <v>3</v>
      </c>
      <c r="D875" t="s">
        <v>1183</v>
      </c>
      <c r="E875" s="4">
        <f>LEN(D875)</f>
        <v>31</v>
      </c>
      <c r="F875" t="s">
        <v>24</v>
      </c>
      <c r="G875">
        <v>0.42</v>
      </c>
      <c r="H875">
        <v>0</v>
      </c>
      <c r="I875">
        <v>1</v>
      </c>
      <c r="J875">
        <v>2625</v>
      </c>
      <c r="K875">
        <v>8.5167000000000002</v>
      </c>
      <c r="M875" s="6" t="str">
        <f t="shared" si="60"/>
        <v/>
      </c>
      <c r="N875" s="7" t="str">
        <f t="shared" si="62"/>
        <v/>
      </c>
      <c r="O875" t="str">
        <f t="shared" si="61"/>
        <v>26</v>
      </c>
      <c r="P875" s="4" t="str">
        <f>LEFT(L875,1)</f>
        <v/>
      </c>
      <c r="Q875" t="s">
        <v>17</v>
      </c>
    </row>
    <row r="876" spans="1:17" hidden="1" x14ac:dyDescent="0.25">
      <c r="A876">
        <v>547</v>
      </c>
      <c r="B876">
        <v>1</v>
      </c>
      <c r="C876">
        <v>2</v>
      </c>
      <c r="D876" t="s">
        <v>573</v>
      </c>
      <c r="E876" s="4">
        <f>LEN(D876)</f>
        <v>33</v>
      </c>
      <c r="F876" t="s">
        <v>14</v>
      </c>
      <c r="G876">
        <v>19</v>
      </c>
      <c r="H876">
        <v>1</v>
      </c>
      <c r="I876">
        <v>0</v>
      </c>
      <c r="J876">
        <v>2908</v>
      </c>
      <c r="K876">
        <v>26</v>
      </c>
      <c r="M876" s="6" t="str">
        <f t="shared" si="60"/>
        <v/>
      </c>
      <c r="N876" s="7" t="str">
        <f t="shared" si="62"/>
        <v/>
      </c>
      <c r="O876" t="str">
        <f t="shared" si="61"/>
        <v>29</v>
      </c>
      <c r="P876" s="4" t="str">
        <f>LEFT(L876,1)</f>
        <v/>
      </c>
      <c r="Q876" t="s">
        <v>20</v>
      </c>
    </row>
    <row r="877" spans="1:17" hidden="1" x14ac:dyDescent="0.25">
      <c r="A877">
        <v>835</v>
      </c>
      <c r="B877">
        <v>0</v>
      </c>
      <c r="C877">
        <v>3</v>
      </c>
      <c r="D877" t="s">
        <v>1207</v>
      </c>
      <c r="E877" s="4">
        <f>LEN(D877)</f>
        <v>22</v>
      </c>
      <c r="F877" t="s">
        <v>24</v>
      </c>
      <c r="G877">
        <v>18</v>
      </c>
      <c r="H877">
        <v>0</v>
      </c>
      <c r="I877">
        <v>0</v>
      </c>
      <c r="J877">
        <v>2223</v>
      </c>
      <c r="K877">
        <v>8.3000000000000007</v>
      </c>
      <c r="M877" s="6" t="str">
        <f t="shared" si="60"/>
        <v/>
      </c>
      <c r="N877" s="7" t="str">
        <f t="shared" si="62"/>
        <v/>
      </c>
      <c r="O877" t="str">
        <f t="shared" si="61"/>
        <v>22</v>
      </c>
      <c r="P877" s="4" t="str">
        <f>LEFT(L877,1)</f>
        <v/>
      </c>
      <c r="Q877" t="s">
        <v>20</v>
      </c>
    </row>
    <row r="878" spans="1:17" hidden="1" x14ac:dyDescent="0.25">
      <c r="A878">
        <v>523</v>
      </c>
      <c r="B878">
        <v>0</v>
      </c>
      <c r="C878">
        <v>3</v>
      </c>
      <c r="D878" t="s">
        <v>1178</v>
      </c>
      <c r="E878" s="4">
        <f>LEN(D878)</f>
        <v>18</v>
      </c>
      <c r="F878" t="s">
        <v>24</v>
      </c>
      <c r="H878">
        <v>0</v>
      </c>
      <c r="I878">
        <v>0</v>
      </c>
      <c r="J878">
        <v>2624</v>
      </c>
      <c r="K878">
        <v>7.2249999999999996</v>
      </c>
      <c r="M878" s="6" t="str">
        <f t="shared" si="60"/>
        <v/>
      </c>
      <c r="N878" s="7" t="str">
        <f t="shared" si="62"/>
        <v/>
      </c>
      <c r="O878" t="str">
        <f t="shared" si="61"/>
        <v>26</v>
      </c>
      <c r="P878" s="4" t="str">
        <f>LEFT(L878,1)</f>
        <v/>
      </c>
      <c r="Q878" t="s">
        <v>17</v>
      </c>
    </row>
    <row r="879" spans="1:17" hidden="1" x14ac:dyDescent="0.25">
      <c r="A879">
        <v>427</v>
      </c>
      <c r="B879">
        <v>1</v>
      </c>
      <c r="C879">
        <v>2</v>
      </c>
      <c r="D879" t="s">
        <v>545</v>
      </c>
      <c r="E879" s="4">
        <f>LEN(D879)</f>
        <v>43</v>
      </c>
      <c r="F879" t="s">
        <v>14</v>
      </c>
      <c r="G879">
        <v>28</v>
      </c>
      <c r="H879">
        <v>1</v>
      </c>
      <c r="I879">
        <v>0</v>
      </c>
      <c r="J879">
        <v>2003</v>
      </c>
      <c r="K879">
        <v>26</v>
      </c>
      <c r="M879" s="6" t="str">
        <f t="shared" si="60"/>
        <v/>
      </c>
      <c r="N879" s="7" t="str">
        <f t="shared" si="62"/>
        <v/>
      </c>
      <c r="O879" t="str">
        <f t="shared" si="61"/>
        <v>20</v>
      </c>
      <c r="P879" s="4" t="str">
        <f>LEFT(L879,1)</f>
        <v/>
      </c>
      <c r="Q879" t="s">
        <v>20</v>
      </c>
    </row>
    <row r="880" spans="1:17" hidden="1" x14ac:dyDescent="0.25">
      <c r="A880">
        <v>662</v>
      </c>
      <c r="B880">
        <v>0</v>
      </c>
      <c r="C880">
        <v>3</v>
      </c>
      <c r="D880" t="s">
        <v>1090</v>
      </c>
      <c r="E880" s="4">
        <f>LEN(D880)</f>
        <v>17</v>
      </c>
      <c r="F880" t="s">
        <v>24</v>
      </c>
      <c r="G880">
        <v>40</v>
      </c>
      <c r="H880">
        <v>0</v>
      </c>
      <c r="I880">
        <v>0</v>
      </c>
      <c r="J880">
        <v>2623</v>
      </c>
      <c r="K880">
        <v>7.2249999999999996</v>
      </c>
      <c r="M880" s="6" t="str">
        <f t="shared" si="60"/>
        <v/>
      </c>
      <c r="N880" s="7" t="str">
        <f t="shared" si="62"/>
        <v/>
      </c>
      <c r="O880" t="str">
        <f t="shared" si="61"/>
        <v>26</v>
      </c>
      <c r="P880" s="4" t="str">
        <f>LEFT(L880,1)</f>
        <v/>
      </c>
      <c r="Q880" t="s">
        <v>17</v>
      </c>
    </row>
    <row r="881" spans="1:17" hidden="1" x14ac:dyDescent="0.25">
      <c r="A881">
        <v>827</v>
      </c>
      <c r="B881">
        <v>0</v>
      </c>
      <c r="C881">
        <v>3</v>
      </c>
      <c r="D881" t="s">
        <v>696</v>
      </c>
      <c r="E881" s="4">
        <f>LEN(D881)</f>
        <v>12</v>
      </c>
      <c r="F881" t="s">
        <v>24</v>
      </c>
      <c r="H881">
        <v>0</v>
      </c>
      <c r="I881">
        <v>0</v>
      </c>
      <c r="J881">
        <v>1601</v>
      </c>
      <c r="K881">
        <v>56.495800000000003</v>
      </c>
      <c r="M881" s="6" t="str">
        <f t="shared" si="60"/>
        <v/>
      </c>
      <c r="N881" s="7" t="str">
        <f t="shared" si="62"/>
        <v/>
      </c>
      <c r="O881" t="str">
        <f t="shared" si="61"/>
        <v>16</v>
      </c>
      <c r="P881" s="4" t="str">
        <f>LEFT(L881,1)</f>
        <v/>
      </c>
      <c r="Q881" t="s">
        <v>20</v>
      </c>
    </row>
    <row r="882" spans="1:17" hidden="1" x14ac:dyDescent="0.25">
      <c r="A882">
        <v>644</v>
      </c>
      <c r="B882">
        <v>1</v>
      </c>
      <c r="C882">
        <v>3</v>
      </c>
      <c r="D882" t="s">
        <v>697</v>
      </c>
      <c r="E882" s="4">
        <f>LEN(D882)</f>
        <v>15</v>
      </c>
      <c r="F882" t="s">
        <v>24</v>
      </c>
      <c r="H882">
        <v>0</v>
      </c>
      <c r="I882">
        <v>0</v>
      </c>
      <c r="J882">
        <v>1601</v>
      </c>
      <c r="K882">
        <v>56.495800000000003</v>
      </c>
      <c r="M882" s="6" t="str">
        <f t="shared" si="60"/>
        <v/>
      </c>
      <c r="N882" s="7" t="str">
        <f t="shared" si="62"/>
        <v/>
      </c>
      <c r="O882" t="str">
        <f t="shared" si="61"/>
        <v>16</v>
      </c>
      <c r="P882" s="4" t="str">
        <f>LEFT(L882,1)</f>
        <v/>
      </c>
      <c r="Q882" t="s">
        <v>20</v>
      </c>
    </row>
    <row r="883" spans="1:17" hidden="1" x14ac:dyDescent="0.25">
      <c r="A883">
        <v>75</v>
      </c>
      <c r="B883">
        <v>1</v>
      </c>
      <c r="C883">
        <v>3</v>
      </c>
      <c r="D883" t="s">
        <v>704</v>
      </c>
      <c r="E883" s="4">
        <f>LEN(D883)</f>
        <v>13</v>
      </c>
      <c r="F883" t="s">
        <v>24</v>
      </c>
      <c r="G883">
        <v>32</v>
      </c>
      <c r="H883">
        <v>0</v>
      </c>
      <c r="I883">
        <v>0</v>
      </c>
      <c r="J883">
        <v>1601</v>
      </c>
      <c r="K883">
        <v>56.495800000000003</v>
      </c>
      <c r="M883" s="6" t="str">
        <f t="shared" si="60"/>
        <v/>
      </c>
      <c r="N883" s="7" t="str">
        <f t="shared" si="62"/>
        <v/>
      </c>
      <c r="O883" t="str">
        <f t="shared" si="61"/>
        <v>16</v>
      </c>
      <c r="P883" s="4" t="str">
        <f>LEFT(L883,1)</f>
        <v/>
      </c>
      <c r="Q883" t="s">
        <v>20</v>
      </c>
    </row>
    <row r="884" spans="1:17" hidden="1" x14ac:dyDescent="0.25">
      <c r="A884">
        <v>693</v>
      </c>
      <c r="B884">
        <v>1</v>
      </c>
      <c r="C884">
        <v>3</v>
      </c>
      <c r="D884" t="s">
        <v>707</v>
      </c>
      <c r="E884" s="4">
        <f>LEN(D884)</f>
        <v>12</v>
      </c>
      <c r="F884" t="s">
        <v>24</v>
      </c>
      <c r="H884">
        <v>0</v>
      </c>
      <c r="I884">
        <v>0</v>
      </c>
      <c r="J884">
        <v>1601</v>
      </c>
      <c r="K884">
        <v>56.495800000000003</v>
      </c>
      <c r="M884" s="6" t="str">
        <f t="shared" si="60"/>
        <v/>
      </c>
      <c r="N884" s="7" t="str">
        <f t="shared" si="62"/>
        <v/>
      </c>
      <c r="O884" t="str">
        <f t="shared" si="61"/>
        <v>16</v>
      </c>
      <c r="P884" s="4" t="str">
        <f>LEFT(L884,1)</f>
        <v/>
      </c>
      <c r="Q884" t="s">
        <v>20</v>
      </c>
    </row>
    <row r="885" spans="1:17" hidden="1" x14ac:dyDescent="0.25">
      <c r="A885">
        <v>554</v>
      </c>
      <c r="B885">
        <v>1</v>
      </c>
      <c r="C885">
        <v>3</v>
      </c>
      <c r="D885" t="s">
        <v>1017</v>
      </c>
      <c r="E885" s="4">
        <f>LEN(D885)</f>
        <v>33</v>
      </c>
      <c r="F885" t="s">
        <v>24</v>
      </c>
      <c r="G885">
        <v>22</v>
      </c>
      <c r="H885">
        <v>0</v>
      </c>
      <c r="I885">
        <v>0</v>
      </c>
      <c r="J885">
        <v>2620</v>
      </c>
      <c r="K885">
        <v>7.2249999999999996</v>
      </c>
      <c r="M885" s="6" t="str">
        <f t="shared" si="60"/>
        <v/>
      </c>
      <c r="N885" s="7" t="str">
        <f t="shared" si="62"/>
        <v/>
      </c>
      <c r="O885" t="str">
        <f t="shared" si="61"/>
        <v>26</v>
      </c>
      <c r="P885" s="4" t="str">
        <f>LEFT(L885,1)</f>
        <v/>
      </c>
      <c r="Q885" t="s">
        <v>17</v>
      </c>
    </row>
    <row r="886" spans="1:17" hidden="1" x14ac:dyDescent="0.25">
      <c r="A886">
        <v>170</v>
      </c>
      <c r="B886">
        <v>0</v>
      </c>
      <c r="C886">
        <v>3</v>
      </c>
      <c r="D886" t="s">
        <v>763</v>
      </c>
      <c r="E886" s="4">
        <f>LEN(D886)</f>
        <v>13</v>
      </c>
      <c r="F886" t="s">
        <v>24</v>
      </c>
      <c r="G886">
        <v>28</v>
      </c>
      <c r="H886">
        <v>0</v>
      </c>
      <c r="I886">
        <v>0</v>
      </c>
      <c r="J886">
        <v>1601</v>
      </c>
      <c r="K886">
        <v>56.495800000000003</v>
      </c>
      <c r="M886" s="6" t="str">
        <f t="shared" si="60"/>
        <v/>
      </c>
      <c r="N886" s="7" t="str">
        <f t="shared" si="62"/>
        <v/>
      </c>
      <c r="O886" t="str">
        <f t="shared" si="61"/>
        <v>16</v>
      </c>
      <c r="P886" s="4" t="str">
        <f>LEFT(L886,1)</f>
        <v/>
      </c>
      <c r="Q886" t="s">
        <v>20</v>
      </c>
    </row>
    <row r="887" spans="1:17" hidden="1" x14ac:dyDescent="0.25">
      <c r="A887">
        <v>510</v>
      </c>
      <c r="B887">
        <v>1</v>
      </c>
      <c r="C887">
        <v>3</v>
      </c>
      <c r="D887" t="s">
        <v>995</v>
      </c>
      <c r="E887" s="4">
        <f>LEN(D887)</f>
        <v>14</v>
      </c>
      <c r="F887" t="s">
        <v>24</v>
      </c>
      <c r="G887">
        <v>26</v>
      </c>
      <c r="H887">
        <v>0</v>
      </c>
      <c r="I887">
        <v>0</v>
      </c>
      <c r="J887">
        <v>1601</v>
      </c>
      <c r="K887">
        <v>56.495800000000003</v>
      </c>
      <c r="M887" s="6" t="str">
        <f t="shared" si="60"/>
        <v/>
      </c>
      <c r="N887" s="7" t="str">
        <f t="shared" si="62"/>
        <v/>
      </c>
      <c r="O887" t="str">
        <f t="shared" si="61"/>
        <v>16</v>
      </c>
      <c r="P887" s="4" t="str">
        <f>LEFT(L887,1)</f>
        <v/>
      </c>
      <c r="Q887" t="s">
        <v>20</v>
      </c>
    </row>
    <row r="888" spans="1:17" hidden="1" x14ac:dyDescent="0.25">
      <c r="A888">
        <v>839</v>
      </c>
      <c r="B888">
        <v>1</v>
      </c>
      <c r="C888">
        <v>3</v>
      </c>
      <c r="D888" t="s">
        <v>1210</v>
      </c>
      <c r="E888" s="4">
        <f>LEN(D888)</f>
        <v>15</v>
      </c>
      <c r="F888" t="s">
        <v>24</v>
      </c>
      <c r="G888">
        <v>32</v>
      </c>
      <c r="H888">
        <v>0</v>
      </c>
      <c r="I888">
        <v>0</v>
      </c>
      <c r="J888">
        <v>1601</v>
      </c>
      <c r="K888">
        <v>56.495800000000003</v>
      </c>
      <c r="M888" s="6" t="str">
        <f t="shared" si="60"/>
        <v/>
      </c>
      <c r="N888" s="7" t="str">
        <f t="shared" si="62"/>
        <v/>
      </c>
      <c r="O888" t="str">
        <f t="shared" si="61"/>
        <v>16</v>
      </c>
      <c r="P888" s="4" t="str">
        <f>LEFT(L888,1)</f>
        <v/>
      </c>
      <c r="Q888" t="s">
        <v>20</v>
      </c>
    </row>
    <row r="889" spans="1:17" x14ac:dyDescent="0.25">
      <c r="A889">
        <v>873</v>
      </c>
      <c r="B889">
        <v>0</v>
      </c>
      <c r="C889">
        <v>1</v>
      </c>
      <c r="D889" t="s">
        <v>414</v>
      </c>
      <c r="E889" s="4">
        <f>LEN(D889)</f>
        <v>24</v>
      </c>
      <c r="F889" t="s">
        <v>24</v>
      </c>
      <c r="G889">
        <v>33</v>
      </c>
      <c r="H889">
        <v>0</v>
      </c>
      <c r="I889">
        <v>0</v>
      </c>
      <c r="J889">
        <v>695</v>
      </c>
      <c r="K889">
        <v>5</v>
      </c>
      <c r="L889" t="s">
        <v>343</v>
      </c>
      <c r="M889" s="6" t="str">
        <f t="shared" si="60"/>
        <v xml:space="preserve">51 </v>
      </c>
      <c r="N889" s="7">
        <f t="shared" si="62"/>
        <v>51</v>
      </c>
      <c r="O889" t="str">
        <f t="shared" si="61"/>
        <v>69</v>
      </c>
      <c r="P889" s="4" t="str">
        <f>LEFT(L889,1)</f>
        <v>B</v>
      </c>
      <c r="Q889" t="s">
        <v>20</v>
      </c>
    </row>
    <row r="890" spans="1:17" hidden="1" x14ac:dyDescent="0.25">
      <c r="A890">
        <v>546</v>
      </c>
      <c r="B890">
        <v>0</v>
      </c>
      <c r="C890">
        <v>1</v>
      </c>
      <c r="D890" t="s">
        <v>294</v>
      </c>
      <c r="E890" s="4">
        <f>LEN(D890)</f>
        <v>28</v>
      </c>
      <c r="F890" t="s">
        <v>24</v>
      </c>
      <c r="G890">
        <v>64</v>
      </c>
      <c r="H890">
        <v>0</v>
      </c>
      <c r="I890">
        <v>0</v>
      </c>
      <c r="J890">
        <v>693</v>
      </c>
      <c r="K890">
        <v>26</v>
      </c>
      <c r="M890" s="6" t="str">
        <f t="shared" si="60"/>
        <v/>
      </c>
      <c r="N890" s="7" t="str">
        <f t="shared" si="62"/>
        <v/>
      </c>
      <c r="O890" t="str">
        <f t="shared" si="61"/>
        <v>69</v>
      </c>
      <c r="P890" s="4" t="str">
        <f>LEFT(L890,1)</f>
        <v/>
      </c>
      <c r="Q890" t="s">
        <v>20</v>
      </c>
    </row>
    <row r="891" spans="1:17" hidden="1" x14ac:dyDescent="0.25">
      <c r="A891">
        <v>886</v>
      </c>
      <c r="B891">
        <v>0</v>
      </c>
      <c r="C891">
        <v>3</v>
      </c>
      <c r="D891" t="s">
        <v>1234</v>
      </c>
      <c r="E891" s="4">
        <f>LEN(D891)</f>
        <v>36</v>
      </c>
      <c r="F891" t="s">
        <v>14</v>
      </c>
      <c r="G891">
        <v>39</v>
      </c>
      <c r="H891">
        <v>0</v>
      </c>
      <c r="I891">
        <v>5</v>
      </c>
      <c r="J891">
        <v>382652</v>
      </c>
      <c r="K891">
        <v>29.125</v>
      </c>
      <c r="M891" s="6" t="str">
        <f t="shared" si="60"/>
        <v/>
      </c>
      <c r="N891" s="7" t="str">
        <f t="shared" si="62"/>
        <v/>
      </c>
      <c r="O891" t="str">
        <f t="shared" si="61"/>
        <v>38</v>
      </c>
      <c r="P891" s="4" t="str">
        <f>LEFT(L891,1)</f>
        <v/>
      </c>
      <c r="Q891" t="s">
        <v>161</v>
      </c>
    </row>
    <row r="892" spans="1:17" hidden="1" x14ac:dyDescent="0.25">
      <c r="A892">
        <v>891</v>
      </c>
      <c r="B892">
        <v>0</v>
      </c>
      <c r="C892">
        <v>3</v>
      </c>
      <c r="D892" t="s">
        <v>1235</v>
      </c>
      <c r="E892" s="4">
        <f>LEN(D892)</f>
        <v>19</v>
      </c>
      <c r="F892" t="s">
        <v>24</v>
      </c>
      <c r="G892">
        <v>32</v>
      </c>
      <c r="H892">
        <v>0</v>
      </c>
      <c r="I892">
        <v>0</v>
      </c>
      <c r="J892">
        <v>370376</v>
      </c>
      <c r="K892">
        <v>7.75</v>
      </c>
      <c r="M892" s="6" t="str">
        <f t="shared" si="60"/>
        <v/>
      </c>
      <c r="N892" s="7" t="str">
        <f t="shared" si="62"/>
        <v/>
      </c>
      <c r="O892" t="str">
        <f t="shared" si="61"/>
        <v>37</v>
      </c>
      <c r="P892" s="4" t="str">
        <f>LEFT(L892,1)</f>
        <v/>
      </c>
      <c r="Q892" t="s">
        <v>161</v>
      </c>
    </row>
  </sheetData>
  <autoFilter ref="A1:Q892">
    <filterColumn colId="11">
      <customFilters>
        <customFilter operator="notEqual" val=" "/>
      </customFilters>
    </filterColumn>
    <sortState xmlns:xlrd2="http://schemas.microsoft.com/office/spreadsheetml/2017/richdata2" ref="A2:Q885">
      <sortCondition descending="1" ref="J1:J892"/>
    </sortState>
  </autoFilter>
  <sortState xmlns:xlrd2="http://schemas.microsoft.com/office/spreadsheetml/2017/richdata2" ref="AG152:AI235">
    <sortCondition ref="AG152:AG235"/>
  </sortState>
  <conditionalFormatting sqref="AH299:AH3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2"/>
  <drawing r:id="rId1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892"/>
  <sheetViews>
    <sheetView topLeftCell="D1" workbookViewId="0">
      <selection activeCell="W25" sqref="W25"/>
    </sheetView>
  </sheetViews>
  <sheetFormatPr defaultRowHeight="15" x14ac:dyDescent="0.25"/>
  <cols>
    <col min="8" max="8" width="16.85546875" bestFit="1" customWidth="1"/>
    <col min="9" max="9" width="16.28515625" bestFit="1" customWidth="1"/>
    <col min="10" max="10" width="4" bestFit="1" customWidth="1"/>
    <col min="11" max="11" width="11.28515625" bestFit="1" customWidth="1"/>
  </cols>
  <sheetData>
    <row r="1" spans="2:15" x14ac:dyDescent="0.25">
      <c r="B1" t="s">
        <v>1</v>
      </c>
      <c r="C1" t="s">
        <v>1263</v>
      </c>
    </row>
    <row r="2" spans="2:15" x14ac:dyDescent="0.25">
      <c r="B2">
        <v>0</v>
      </c>
      <c r="C2" t="s">
        <v>1262</v>
      </c>
    </row>
    <row r="3" spans="2:15" x14ac:dyDescent="0.25">
      <c r="B3">
        <v>1</v>
      </c>
      <c r="C3">
        <v>22</v>
      </c>
      <c r="H3" s="1" t="s">
        <v>1321</v>
      </c>
      <c r="I3" s="1" t="s">
        <v>22</v>
      </c>
    </row>
    <row r="4" spans="2:15" x14ac:dyDescent="0.25">
      <c r="B4">
        <v>0</v>
      </c>
      <c r="C4">
        <v>22</v>
      </c>
      <c r="H4" s="1" t="s">
        <v>26</v>
      </c>
      <c r="I4">
        <v>0</v>
      </c>
      <c r="J4">
        <v>1</v>
      </c>
      <c r="K4" t="s">
        <v>80</v>
      </c>
      <c r="N4" t="s">
        <v>1263</v>
      </c>
      <c r="O4" t="s">
        <v>1322</v>
      </c>
    </row>
    <row r="5" spans="2:15" x14ac:dyDescent="0.25">
      <c r="B5">
        <v>0</v>
      </c>
      <c r="C5" t="s">
        <v>1262</v>
      </c>
      <c r="H5" s="3">
        <v>10</v>
      </c>
      <c r="I5" s="2">
        <v>1</v>
      </c>
      <c r="J5" s="2">
        <v>2</v>
      </c>
      <c r="K5" s="2">
        <v>3</v>
      </c>
      <c r="N5">
        <f>H5</f>
        <v>10</v>
      </c>
      <c r="O5">
        <f>J5/K5</f>
        <v>0.66666666666666663</v>
      </c>
    </row>
    <row r="6" spans="2:15" x14ac:dyDescent="0.25">
      <c r="B6">
        <v>0</v>
      </c>
      <c r="C6">
        <v>31</v>
      </c>
      <c r="H6" s="3">
        <v>11</v>
      </c>
      <c r="I6" s="2"/>
      <c r="J6" s="2">
        <v>1</v>
      </c>
      <c r="K6" s="2">
        <v>1</v>
      </c>
      <c r="N6">
        <f t="shared" ref="N6:N69" si="0">H6</f>
        <v>11</v>
      </c>
      <c r="O6">
        <f t="shared" ref="O6:O69" si="1">J6/K6</f>
        <v>1</v>
      </c>
    </row>
    <row r="7" spans="2:15" x14ac:dyDescent="0.25">
      <c r="B7">
        <v>0</v>
      </c>
      <c r="C7" t="s">
        <v>1262</v>
      </c>
      <c r="H7" s="3">
        <v>12</v>
      </c>
      <c r="I7" s="2"/>
      <c r="J7" s="2">
        <v>1</v>
      </c>
      <c r="K7" s="2">
        <v>1</v>
      </c>
      <c r="N7">
        <f t="shared" si="0"/>
        <v>12</v>
      </c>
      <c r="O7">
        <f t="shared" si="1"/>
        <v>1</v>
      </c>
    </row>
    <row r="8" spans="2:15" x14ac:dyDescent="0.25">
      <c r="B8">
        <v>0</v>
      </c>
      <c r="C8" t="s">
        <v>1262</v>
      </c>
      <c r="H8" s="3">
        <v>14</v>
      </c>
      <c r="I8" s="2">
        <v>1</v>
      </c>
      <c r="J8" s="2"/>
      <c r="K8" s="2">
        <v>1</v>
      </c>
      <c r="N8">
        <f t="shared" si="0"/>
        <v>14</v>
      </c>
      <c r="O8">
        <f t="shared" si="1"/>
        <v>0</v>
      </c>
    </row>
    <row r="9" spans="2:15" x14ac:dyDescent="0.25">
      <c r="B9">
        <v>0</v>
      </c>
      <c r="C9" t="s">
        <v>1262</v>
      </c>
      <c r="H9" s="3">
        <v>15</v>
      </c>
      <c r="I9" s="2"/>
      <c r="J9" s="2">
        <v>1</v>
      </c>
      <c r="K9" s="2">
        <v>1</v>
      </c>
      <c r="N9">
        <f t="shared" si="0"/>
        <v>15</v>
      </c>
      <c r="O9">
        <f t="shared" si="1"/>
        <v>1</v>
      </c>
    </row>
    <row r="10" spans="2:15" x14ac:dyDescent="0.25">
      <c r="B10">
        <v>0</v>
      </c>
      <c r="C10" t="s">
        <v>1262</v>
      </c>
      <c r="H10" s="3">
        <v>16</v>
      </c>
      <c r="I10" s="2"/>
      <c r="J10" s="2">
        <v>1</v>
      </c>
      <c r="K10" s="2">
        <v>1</v>
      </c>
      <c r="N10">
        <f t="shared" si="0"/>
        <v>16</v>
      </c>
      <c r="O10">
        <f t="shared" si="1"/>
        <v>1</v>
      </c>
    </row>
    <row r="11" spans="2:15" x14ac:dyDescent="0.25">
      <c r="B11">
        <v>0</v>
      </c>
      <c r="C11" t="s">
        <v>1262</v>
      </c>
      <c r="H11" s="3">
        <v>17</v>
      </c>
      <c r="I11" s="2"/>
      <c r="J11" s="2">
        <v>3</v>
      </c>
      <c r="K11" s="2">
        <v>3</v>
      </c>
      <c r="N11">
        <f t="shared" si="0"/>
        <v>17</v>
      </c>
      <c r="O11">
        <f t="shared" si="1"/>
        <v>1</v>
      </c>
    </row>
    <row r="12" spans="2:15" x14ac:dyDescent="0.25">
      <c r="B12">
        <v>0</v>
      </c>
      <c r="C12" t="s">
        <v>1262</v>
      </c>
      <c r="H12" s="3">
        <v>18</v>
      </c>
      <c r="I12" s="2"/>
      <c r="J12" s="2">
        <v>2</v>
      </c>
      <c r="K12" s="2">
        <v>2</v>
      </c>
      <c r="N12">
        <f t="shared" si="0"/>
        <v>18</v>
      </c>
      <c r="O12">
        <f t="shared" si="1"/>
        <v>1</v>
      </c>
    </row>
    <row r="13" spans="2:15" x14ac:dyDescent="0.25">
      <c r="B13">
        <v>1</v>
      </c>
      <c r="C13" t="s">
        <v>1262</v>
      </c>
      <c r="H13" s="3">
        <v>19</v>
      </c>
      <c r="I13" s="2">
        <v>2</v>
      </c>
      <c r="J13" s="2">
        <v>1</v>
      </c>
      <c r="K13" s="2">
        <v>3</v>
      </c>
      <c r="N13">
        <f t="shared" si="0"/>
        <v>19</v>
      </c>
      <c r="O13">
        <f t="shared" si="1"/>
        <v>0.33333333333333331</v>
      </c>
    </row>
    <row r="14" spans="2:15" x14ac:dyDescent="0.25">
      <c r="B14">
        <v>0</v>
      </c>
      <c r="C14" t="s">
        <v>1262</v>
      </c>
      <c r="H14" s="3">
        <v>20</v>
      </c>
      <c r="I14" s="2"/>
      <c r="J14" s="2">
        <v>5</v>
      </c>
      <c r="K14" s="2">
        <v>5</v>
      </c>
      <c r="N14">
        <f t="shared" si="0"/>
        <v>20</v>
      </c>
      <c r="O14">
        <f t="shared" si="1"/>
        <v>1</v>
      </c>
    </row>
    <row r="15" spans="2:15" x14ac:dyDescent="0.25">
      <c r="B15">
        <v>1</v>
      </c>
      <c r="C15" t="s">
        <v>1262</v>
      </c>
      <c r="H15" s="3">
        <v>21</v>
      </c>
      <c r="I15" s="2"/>
      <c r="J15" s="2">
        <v>1</v>
      </c>
      <c r="K15" s="2">
        <v>1</v>
      </c>
      <c r="N15">
        <f t="shared" si="0"/>
        <v>21</v>
      </c>
      <c r="O15">
        <f t="shared" si="1"/>
        <v>1</v>
      </c>
    </row>
    <row r="16" spans="2:15" x14ac:dyDescent="0.25">
      <c r="B16">
        <v>0</v>
      </c>
      <c r="C16" t="s">
        <v>1262</v>
      </c>
      <c r="H16" s="3">
        <v>22</v>
      </c>
      <c r="I16" s="2">
        <v>3</v>
      </c>
      <c r="J16" s="2">
        <v>2</v>
      </c>
      <c r="K16" s="2">
        <v>5</v>
      </c>
      <c r="N16">
        <f t="shared" si="0"/>
        <v>22</v>
      </c>
      <c r="O16">
        <f t="shared" si="1"/>
        <v>0.4</v>
      </c>
    </row>
    <row r="17" spans="2:15" x14ac:dyDescent="0.25">
      <c r="B17">
        <v>0</v>
      </c>
      <c r="C17" t="s">
        <v>1262</v>
      </c>
      <c r="H17" s="3">
        <v>23</v>
      </c>
      <c r="I17" s="2">
        <v>2</v>
      </c>
      <c r="J17" s="2">
        <v>3</v>
      </c>
      <c r="K17" s="2">
        <v>5</v>
      </c>
      <c r="N17">
        <f t="shared" si="0"/>
        <v>23</v>
      </c>
      <c r="O17">
        <f t="shared" si="1"/>
        <v>0.6</v>
      </c>
    </row>
    <row r="18" spans="2:15" x14ac:dyDescent="0.25">
      <c r="B18">
        <v>0</v>
      </c>
      <c r="C18">
        <v>38</v>
      </c>
      <c r="H18" s="3">
        <v>24</v>
      </c>
      <c r="I18" s="2">
        <v>1</v>
      </c>
      <c r="J18" s="2">
        <v>2</v>
      </c>
      <c r="K18" s="2">
        <v>3</v>
      </c>
      <c r="N18">
        <f t="shared" si="0"/>
        <v>24</v>
      </c>
      <c r="O18">
        <f t="shared" si="1"/>
        <v>0.66666666666666663</v>
      </c>
    </row>
    <row r="19" spans="2:15" x14ac:dyDescent="0.25">
      <c r="B19">
        <v>1</v>
      </c>
      <c r="C19" t="s">
        <v>1262</v>
      </c>
      <c r="H19" s="3">
        <v>25</v>
      </c>
      <c r="I19" s="2"/>
      <c r="J19" s="2">
        <v>2</v>
      </c>
      <c r="K19" s="2">
        <v>2</v>
      </c>
      <c r="N19">
        <f t="shared" si="0"/>
        <v>25</v>
      </c>
      <c r="O19">
        <f t="shared" si="1"/>
        <v>1</v>
      </c>
    </row>
    <row r="20" spans="2:15" x14ac:dyDescent="0.25">
      <c r="B20">
        <v>1</v>
      </c>
      <c r="C20" t="s">
        <v>1262</v>
      </c>
      <c r="H20" s="3">
        <v>26</v>
      </c>
      <c r="I20" s="2">
        <v>2</v>
      </c>
      <c r="J20" s="2">
        <v>1</v>
      </c>
      <c r="K20" s="2">
        <v>3</v>
      </c>
      <c r="N20">
        <f t="shared" si="0"/>
        <v>26</v>
      </c>
      <c r="O20">
        <f t="shared" si="1"/>
        <v>0.33333333333333331</v>
      </c>
    </row>
    <row r="21" spans="2:15" x14ac:dyDescent="0.25">
      <c r="B21">
        <v>1</v>
      </c>
      <c r="C21">
        <v>28</v>
      </c>
      <c r="H21" s="3">
        <v>28</v>
      </c>
      <c r="I21" s="2"/>
      <c r="J21" s="2">
        <v>3</v>
      </c>
      <c r="K21" s="2">
        <v>3</v>
      </c>
      <c r="N21">
        <f t="shared" si="0"/>
        <v>28</v>
      </c>
      <c r="O21">
        <f t="shared" si="1"/>
        <v>1</v>
      </c>
    </row>
    <row r="22" spans="2:15" x14ac:dyDescent="0.25">
      <c r="B22">
        <v>0</v>
      </c>
      <c r="C22" t="s">
        <v>1262</v>
      </c>
      <c r="H22" s="3">
        <v>30</v>
      </c>
      <c r="I22" s="2">
        <v>3</v>
      </c>
      <c r="J22" s="2"/>
      <c r="K22" s="2">
        <v>3</v>
      </c>
      <c r="N22">
        <f t="shared" si="0"/>
        <v>30</v>
      </c>
      <c r="O22">
        <f t="shared" si="1"/>
        <v>0</v>
      </c>
    </row>
    <row r="23" spans="2:15" x14ac:dyDescent="0.25">
      <c r="B23">
        <v>0</v>
      </c>
      <c r="C23" t="s">
        <v>1262</v>
      </c>
      <c r="H23" s="3">
        <v>31</v>
      </c>
      <c r="I23" s="2">
        <v>1</v>
      </c>
      <c r="J23" s="2">
        <v>1</v>
      </c>
      <c r="K23" s="2">
        <v>2</v>
      </c>
      <c r="N23">
        <f t="shared" si="0"/>
        <v>31</v>
      </c>
      <c r="O23">
        <f t="shared" si="1"/>
        <v>0.5</v>
      </c>
    </row>
    <row r="24" spans="2:15" x14ac:dyDescent="0.25">
      <c r="B24">
        <v>1</v>
      </c>
      <c r="C24" t="s">
        <v>1262</v>
      </c>
      <c r="H24" s="3">
        <v>32</v>
      </c>
      <c r="I24" s="2">
        <v>1</v>
      </c>
      <c r="J24" s="2">
        <v>1</v>
      </c>
      <c r="K24" s="2">
        <v>2</v>
      </c>
      <c r="N24">
        <f t="shared" si="0"/>
        <v>32</v>
      </c>
      <c r="O24">
        <f t="shared" si="1"/>
        <v>0.5</v>
      </c>
    </row>
    <row r="25" spans="2:15" x14ac:dyDescent="0.25">
      <c r="B25">
        <v>1</v>
      </c>
      <c r="C25" t="s">
        <v>1262</v>
      </c>
      <c r="H25" s="3">
        <v>33</v>
      </c>
      <c r="I25" s="2"/>
      <c r="J25" s="2">
        <v>7</v>
      </c>
      <c r="K25" s="2">
        <v>7</v>
      </c>
      <c r="N25">
        <f t="shared" si="0"/>
        <v>33</v>
      </c>
      <c r="O25">
        <f t="shared" si="1"/>
        <v>1</v>
      </c>
    </row>
    <row r="26" spans="2:15" x14ac:dyDescent="0.25">
      <c r="B26">
        <v>0</v>
      </c>
      <c r="C26" t="s">
        <v>1262</v>
      </c>
      <c r="H26" s="3">
        <v>34</v>
      </c>
      <c r="I26" s="2"/>
      <c r="J26" s="2">
        <v>2</v>
      </c>
      <c r="K26" s="2">
        <v>2</v>
      </c>
      <c r="N26">
        <f t="shared" si="0"/>
        <v>34</v>
      </c>
      <c r="O26">
        <f t="shared" si="1"/>
        <v>1</v>
      </c>
    </row>
    <row r="27" spans="2:15" x14ac:dyDescent="0.25">
      <c r="B27">
        <v>0</v>
      </c>
      <c r="C27" t="s">
        <v>1262</v>
      </c>
      <c r="H27" s="3">
        <v>35</v>
      </c>
      <c r="I27" s="2"/>
      <c r="J27" s="2">
        <v>4</v>
      </c>
      <c r="K27" s="2">
        <v>4</v>
      </c>
      <c r="N27">
        <f t="shared" si="0"/>
        <v>35</v>
      </c>
      <c r="O27">
        <f t="shared" si="1"/>
        <v>1</v>
      </c>
    </row>
    <row r="28" spans="2:15" x14ac:dyDescent="0.25">
      <c r="B28">
        <v>1</v>
      </c>
      <c r="C28" t="s">
        <v>1262</v>
      </c>
      <c r="H28" s="3">
        <v>36</v>
      </c>
      <c r="I28" s="2">
        <v>1</v>
      </c>
      <c r="J28" s="2">
        <v>3</v>
      </c>
      <c r="K28" s="2">
        <v>4</v>
      </c>
      <c r="N28">
        <f t="shared" si="0"/>
        <v>36</v>
      </c>
      <c r="O28">
        <f t="shared" si="1"/>
        <v>0.75</v>
      </c>
    </row>
    <row r="29" spans="2:15" x14ac:dyDescent="0.25">
      <c r="B29">
        <v>1</v>
      </c>
      <c r="C29" t="s">
        <v>1262</v>
      </c>
      <c r="H29" s="3">
        <v>37</v>
      </c>
      <c r="I29" s="2">
        <v>1</v>
      </c>
      <c r="J29" s="2">
        <v>1</v>
      </c>
      <c r="K29" s="2">
        <v>2</v>
      </c>
      <c r="N29">
        <f t="shared" si="0"/>
        <v>37</v>
      </c>
      <c r="O29">
        <f t="shared" si="1"/>
        <v>0.5</v>
      </c>
    </row>
    <row r="30" spans="2:15" x14ac:dyDescent="0.25">
      <c r="B30">
        <v>1</v>
      </c>
      <c r="C30" t="s">
        <v>1262</v>
      </c>
      <c r="H30" s="3">
        <v>38</v>
      </c>
      <c r="I30" s="2">
        <v>3</v>
      </c>
      <c r="J30" s="2"/>
      <c r="K30" s="2">
        <v>3</v>
      </c>
      <c r="N30">
        <f t="shared" si="0"/>
        <v>38</v>
      </c>
      <c r="O30">
        <f t="shared" si="1"/>
        <v>0</v>
      </c>
    </row>
    <row r="31" spans="2:15" x14ac:dyDescent="0.25">
      <c r="B31">
        <v>0</v>
      </c>
      <c r="C31" t="s">
        <v>1262</v>
      </c>
      <c r="H31" s="3">
        <v>39</v>
      </c>
      <c r="I31" s="2"/>
      <c r="J31" s="2">
        <v>1</v>
      </c>
      <c r="K31" s="2">
        <v>1</v>
      </c>
      <c r="N31">
        <f t="shared" si="0"/>
        <v>39</v>
      </c>
      <c r="O31">
        <f t="shared" si="1"/>
        <v>1</v>
      </c>
    </row>
    <row r="32" spans="2:15" x14ac:dyDescent="0.25">
      <c r="B32">
        <v>1</v>
      </c>
      <c r="C32" t="s">
        <v>1262</v>
      </c>
      <c r="H32" s="3">
        <v>40</v>
      </c>
      <c r="I32" s="2"/>
      <c r="J32" s="2">
        <v>1</v>
      </c>
      <c r="K32" s="2">
        <v>1</v>
      </c>
      <c r="N32">
        <f t="shared" si="0"/>
        <v>40</v>
      </c>
      <c r="O32">
        <f t="shared" si="1"/>
        <v>1</v>
      </c>
    </row>
    <row r="33" spans="2:15" x14ac:dyDescent="0.25">
      <c r="B33">
        <v>1</v>
      </c>
      <c r="C33" t="s">
        <v>1262</v>
      </c>
      <c r="H33" s="3">
        <v>41</v>
      </c>
      <c r="I33" s="2"/>
      <c r="J33" s="2">
        <v>1</v>
      </c>
      <c r="K33" s="2">
        <v>1</v>
      </c>
      <c r="N33">
        <f t="shared" si="0"/>
        <v>41</v>
      </c>
      <c r="O33">
        <f t="shared" si="1"/>
        <v>1</v>
      </c>
    </row>
    <row r="34" spans="2:15" x14ac:dyDescent="0.25">
      <c r="B34">
        <v>0</v>
      </c>
      <c r="C34" t="s">
        <v>1262</v>
      </c>
      <c r="H34" s="3">
        <v>42</v>
      </c>
      <c r="I34" s="2"/>
      <c r="J34" s="2">
        <v>1</v>
      </c>
      <c r="K34" s="2">
        <v>1</v>
      </c>
      <c r="N34">
        <f t="shared" si="0"/>
        <v>42</v>
      </c>
      <c r="O34">
        <f t="shared" si="1"/>
        <v>1</v>
      </c>
    </row>
    <row r="35" spans="2:15" x14ac:dyDescent="0.25">
      <c r="B35">
        <v>0</v>
      </c>
      <c r="C35" t="s">
        <v>1262</v>
      </c>
      <c r="H35" s="3">
        <v>44</v>
      </c>
      <c r="I35" s="2">
        <v>1</v>
      </c>
      <c r="J35" s="2">
        <v>1</v>
      </c>
      <c r="K35" s="2">
        <v>2</v>
      </c>
      <c r="N35">
        <f t="shared" si="0"/>
        <v>44</v>
      </c>
      <c r="O35">
        <f t="shared" si="1"/>
        <v>0.5</v>
      </c>
    </row>
    <row r="36" spans="2:15" x14ac:dyDescent="0.25">
      <c r="B36">
        <v>0</v>
      </c>
      <c r="C36" t="s">
        <v>1262</v>
      </c>
      <c r="H36" s="3">
        <v>45</v>
      </c>
      <c r="I36" s="2"/>
      <c r="J36" s="2">
        <v>2</v>
      </c>
      <c r="K36" s="2">
        <v>2</v>
      </c>
      <c r="N36">
        <f t="shared" si="0"/>
        <v>45</v>
      </c>
      <c r="O36">
        <f t="shared" si="1"/>
        <v>1</v>
      </c>
    </row>
    <row r="37" spans="2:15" x14ac:dyDescent="0.25">
      <c r="B37">
        <v>0</v>
      </c>
      <c r="C37" t="s">
        <v>1262</v>
      </c>
      <c r="H37" s="3">
        <v>46</v>
      </c>
      <c r="I37" s="2">
        <v>3</v>
      </c>
      <c r="J37" s="2"/>
      <c r="K37" s="2">
        <v>3</v>
      </c>
      <c r="N37">
        <f t="shared" si="0"/>
        <v>46</v>
      </c>
      <c r="O37">
        <f t="shared" si="1"/>
        <v>0</v>
      </c>
    </row>
    <row r="38" spans="2:15" x14ac:dyDescent="0.25">
      <c r="B38">
        <v>0</v>
      </c>
      <c r="C38" t="s">
        <v>1262</v>
      </c>
      <c r="H38" s="3">
        <v>47</v>
      </c>
      <c r="I38" s="2"/>
      <c r="J38" s="2">
        <v>2</v>
      </c>
      <c r="K38" s="2">
        <v>2</v>
      </c>
      <c r="N38">
        <f t="shared" si="0"/>
        <v>47</v>
      </c>
      <c r="O38">
        <f t="shared" si="1"/>
        <v>1</v>
      </c>
    </row>
    <row r="39" spans="2:15" x14ac:dyDescent="0.25">
      <c r="B39">
        <v>1</v>
      </c>
      <c r="C39" t="s">
        <v>1262</v>
      </c>
      <c r="H39" s="3">
        <v>48</v>
      </c>
      <c r="I39" s="2">
        <v>1</v>
      </c>
      <c r="J39" s="2"/>
      <c r="K39" s="2">
        <v>1</v>
      </c>
      <c r="N39">
        <f t="shared" si="0"/>
        <v>48</v>
      </c>
      <c r="O39">
        <f t="shared" si="1"/>
        <v>0</v>
      </c>
    </row>
    <row r="40" spans="2:15" x14ac:dyDescent="0.25">
      <c r="B40">
        <v>1</v>
      </c>
      <c r="C40" t="s">
        <v>1262</v>
      </c>
      <c r="H40" s="3">
        <v>49</v>
      </c>
      <c r="I40" s="2">
        <v>1</v>
      </c>
      <c r="J40" s="2">
        <v>4</v>
      </c>
      <c r="K40" s="2">
        <v>5</v>
      </c>
      <c r="N40">
        <f t="shared" si="0"/>
        <v>49</v>
      </c>
      <c r="O40">
        <f t="shared" si="1"/>
        <v>0.8</v>
      </c>
    </row>
    <row r="41" spans="2:15" x14ac:dyDescent="0.25">
      <c r="B41">
        <v>1</v>
      </c>
      <c r="C41" t="s">
        <v>1262</v>
      </c>
      <c r="H41" s="3">
        <v>50</v>
      </c>
      <c r="I41" s="2">
        <v>1</v>
      </c>
      <c r="J41" s="2">
        <v>3</v>
      </c>
      <c r="K41" s="2">
        <v>4</v>
      </c>
      <c r="N41">
        <f t="shared" si="0"/>
        <v>50</v>
      </c>
      <c r="O41">
        <f t="shared" si="1"/>
        <v>0.75</v>
      </c>
    </row>
    <row r="42" spans="2:15" x14ac:dyDescent="0.25">
      <c r="B42">
        <v>1</v>
      </c>
      <c r="C42" t="s">
        <v>1262</v>
      </c>
      <c r="H42" s="3">
        <v>51</v>
      </c>
      <c r="I42" s="2">
        <v>1</v>
      </c>
      <c r="J42" s="2">
        <v>1</v>
      </c>
      <c r="K42" s="2">
        <v>2</v>
      </c>
      <c r="N42">
        <f t="shared" si="0"/>
        <v>51</v>
      </c>
      <c r="O42">
        <f t="shared" si="1"/>
        <v>0.5</v>
      </c>
    </row>
    <row r="43" spans="2:15" x14ac:dyDescent="0.25">
      <c r="B43">
        <v>1</v>
      </c>
      <c r="C43" t="s">
        <v>1262</v>
      </c>
      <c r="H43" s="3">
        <v>52</v>
      </c>
      <c r="I43" s="2"/>
      <c r="J43" s="2">
        <v>2</v>
      </c>
      <c r="K43" s="2">
        <v>2</v>
      </c>
      <c r="N43">
        <f t="shared" si="0"/>
        <v>52</v>
      </c>
      <c r="O43">
        <f t="shared" si="1"/>
        <v>1</v>
      </c>
    </row>
    <row r="44" spans="2:15" x14ac:dyDescent="0.25">
      <c r="B44">
        <v>0</v>
      </c>
      <c r="C44">
        <v>86</v>
      </c>
      <c r="H44" s="3">
        <v>54</v>
      </c>
      <c r="I44" s="2"/>
      <c r="J44" s="2">
        <v>1</v>
      </c>
      <c r="K44" s="2">
        <v>1</v>
      </c>
      <c r="N44">
        <f t="shared" si="0"/>
        <v>54</v>
      </c>
      <c r="O44">
        <f t="shared" si="1"/>
        <v>1</v>
      </c>
    </row>
    <row r="45" spans="2:15" x14ac:dyDescent="0.25">
      <c r="B45">
        <v>0</v>
      </c>
      <c r="C45" t="s">
        <v>1262</v>
      </c>
      <c r="H45" s="3">
        <v>56</v>
      </c>
      <c r="I45" s="2"/>
      <c r="J45" s="2">
        <v>1</v>
      </c>
      <c r="K45" s="2">
        <v>1</v>
      </c>
      <c r="N45">
        <f t="shared" si="0"/>
        <v>56</v>
      </c>
      <c r="O45">
        <f t="shared" si="1"/>
        <v>1</v>
      </c>
    </row>
    <row r="46" spans="2:15" x14ac:dyDescent="0.25">
      <c r="B46">
        <v>0</v>
      </c>
      <c r="C46" t="s">
        <v>1262</v>
      </c>
      <c r="H46" s="3">
        <v>57</v>
      </c>
      <c r="I46" s="2"/>
      <c r="J46" s="2">
        <v>2</v>
      </c>
      <c r="K46" s="2">
        <v>2</v>
      </c>
      <c r="N46">
        <f t="shared" si="0"/>
        <v>57</v>
      </c>
      <c r="O46">
        <f t="shared" si="1"/>
        <v>1</v>
      </c>
    </row>
    <row r="47" spans="2:15" x14ac:dyDescent="0.25">
      <c r="B47">
        <v>1</v>
      </c>
      <c r="C47" t="s">
        <v>1262</v>
      </c>
      <c r="H47" s="3">
        <v>58</v>
      </c>
      <c r="I47" s="2">
        <v>2</v>
      </c>
      <c r="J47" s="2">
        <v>1</v>
      </c>
      <c r="K47" s="2">
        <v>3</v>
      </c>
      <c r="N47">
        <f t="shared" si="0"/>
        <v>58</v>
      </c>
      <c r="O47">
        <f t="shared" si="1"/>
        <v>0.33333333333333331</v>
      </c>
    </row>
    <row r="48" spans="2:15" x14ac:dyDescent="0.25">
      <c r="B48">
        <v>0</v>
      </c>
      <c r="C48" t="s">
        <v>1262</v>
      </c>
      <c r="H48" s="3">
        <v>62</v>
      </c>
      <c r="I48" s="2"/>
      <c r="J48" s="2">
        <v>1</v>
      </c>
      <c r="K48" s="2">
        <v>1</v>
      </c>
      <c r="N48">
        <f t="shared" si="0"/>
        <v>62</v>
      </c>
      <c r="O48">
        <f t="shared" si="1"/>
        <v>1</v>
      </c>
    </row>
    <row r="49" spans="2:15" x14ac:dyDescent="0.25">
      <c r="B49">
        <v>0</v>
      </c>
      <c r="C49" t="s">
        <v>1262</v>
      </c>
      <c r="H49" s="3">
        <v>63</v>
      </c>
      <c r="I49" s="2">
        <v>1</v>
      </c>
      <c r="J49" s="2"/>
      <c r="K49" s="2">
        <v>1</v>
      </c>
      <c r="N49">
        <f t="shared" si="0"/>
        <v>63</v>
      </c>
      <c r="O49">
        <f t="shared" si="1"/>
        <v>0</v>
      </c>
    </row>
    <row r="50" spans="2:15" x14ac:dyDescent="0.25">
      <c r="B50">
        <v>1</v>
      </c>
      <c r="C50">
        <v>32</v>
      </c>
      <c r="H50" s="3">
        <v>65</v>
      </c>
      <c r="I50" s="2">
        <v>1</v>
      </c>
      <c r="J50" s="2">
        <v>1</v>
      </c>
      <c r="K50" s="2">
        <v>2</v>
      </c>
      <c r="N50">
        <f t="shared" si="0"/>
        <v>65</v>
      </c>
      <c r="O50">
        <f t="shared" si="1"/>
        <v>0.5</v>
      </c>
    </row>
    <row r="51" spans="2:15" x14ac:dyDescent="0.25">
      <c r="B51">
        <v>0</v>
      </c>
      <c r="C51" t="s">
        <v>1262</v>
      </c>
      <c r="H51" s="3">
        <v>67</v>
      </c>
      <c r="I51" s="2">
        <v>1</v>
      </c>
      <c r="J51" s="2">
        <v>1</v>
      </c>
      <c r="K51" s="2">
        <v>2</v>
      </c>
      <c r="N51">
        <f t="shared" si="0"/>
        <v>67</v>
      </c>
      <c r="O51">
        <f t="shared" si="1"/>
        <v>0.5</v>
      </c>
    </row>
    <row r="52" spans="2:15" x14ac:dyDescent="0.25">
      <c r="B52">
        <v>1</v>
      </c>
      <c r="C52" t="s">
        <v>1262</v>
      </c>
      <c r="H52" s="3">
        <v>68</v>
      </c>
      <c r="I52" s="2">
        <v>1</v>
      </c>
      <c r="J52" s="2">
        <v>2</v>
      </c>
      <c r="K52" s="2">
        <v>3</v>
      </c>
      <c r="N52">
        <f t="shared" si="0"/>
        <v>68</v>
      </c>
      <c r="O52">
        <f t="shared" si="1"/>
        <v>0.66666666666666663</v>
      </c>
    </row>
    <row r="53" spans="2:15" x14ac:dyDescent="0.25">
      <c r="B53">
        <v>1</v>
      </c>
      <c r="C53">
        <v>10</v>
      </c>
      <c r="H53" s="3">
        <v>69</v>
      </c>
      <c r="I53" s="2"/>
      <c r="J53" s="2">
        <v>1</v>
      </c>
      <c r="K53" s="2">
        <v>1</v>
      </c>
      <c r="N53">
        <f t="shared" si="0"/>
        <v>69</v>
      </c>
      <c r="O53">
        <f t="shared" si="1"/>
        <v>1</v>
      </c>
    </row>
    <row r="54" spans="2:15" x14ac:dyDescent="0.25">
      <c r="B54">
        <v>1</v>
      </c>
      <c r="C54">
        <v>65</v>
      </c>
      <c r="H54" s="3">
        <v>70</v>
      </c>
      <c r="I54" s="2"/>
      <c r="J54" s="2">
        <v>1</v>
      </c>
      <c r="K54" s="2">
        <v>1</v>
      </c>
      <c r="N54">
        <f t="shared" si="0"/>
        <v>70</v>
      </c>
      <c r="O54">
        <f t="shared" si="1"/>
        <v>1</v>
      </c>
    </row>
    <row r="55" spans="2:15" x14ac:dyDescent="0.25">
      <c r="B55">
        <v>0</v>
      </c>
      <c r="C55">
        <v>65</v>
      </c>
      <c r="H55" s="3">
        <v>71</v>
      </c>
      <c r="I55" s="2">
        <v>1</v>
      </c>
      <c r="J55" s="2"/>
      <c r="K55" s="2">
        <v>1</v>
      </c>
      <c r="N55">
        <f t="shared" si="0"/>
        <v>71</v>
      </c>
      <c r="O55">
        <f t="shared" si="1"/>
        <v>0</v>
      </c>
    </row>
    <row r="56" spans="2:15" x14ac:dyDescent="0.25">
      <c r="B56">
        <v>0</v>
      </c>
      <c r="C56" t="s">
        <v>1262</v>
      </c>
      <c r="H56" s="3">
        <v>73</v>
      </c>
      <c r="I56" s="2"/>
      <c r="J56" s="2">
        <v>1</v>
      </c>
      <c r="K56" s="2">
        <v>1</v>
      </c>
      <c r="N56">
        <f t="shared" si="0"/>
        <v>73</v>
      </c>
      <c r="O56">
        <f t="shared" si="1"/>
        <v>1</v>
      </c>
    </row>
    <row r="57" spans="2:15" x14ac:dyDescent="0.25">
      <c r="B57">
        <v>0</v>
      </c>
      <c r="C57" t="s">
        <v>1262</v>
      </c>
      <c r="H57" s="3">
        <v>77</v>
      </c>
      <c r="I57" s="2">
        <v>1</v>
      </c>
      <c r="J57" s="2">
        <v>2</v>
      </c>
      <c r="K57" s="2">
        <v>3</v>
      </c>
      <c r="N57">
        <f t="shared" si="0"/>
        <v>77</v>
      </c>
      <c r="O57">
        <f t="shared" si="1"/>
        <v>0.66666666666666663</v>
      </c>
    </row>
    <row r="58" spans="2:15" x14ac:dyDescent="0.25">
      <c r="B58">
        <v>1</v>
      </c>
      <c r="C58" t="s">
        <v>1262</v>
      </c>
      <c r="H58" s="3">
        <v>78</v>
      </c>
      <c r="I58" s="2">
        <v>1</v>
      </c>
      <c r="J58" s="2">
        <v>2</v>
      </c>
      <c r="K58" s="2">
        <v>3</v>
      </c>
      <c r="N58">
        <f t="shared" si="0"/>
        <v>78</v>
      </c>
      <c r="O58">
        <f t="shared" si="1"/>
        <v>0.66666666666666663</v>
      </c>
    </row>
    <row r="59" spans="2:15" x14ac:dyDescent="0.25">
      <c r="B59">
        <v>1</v>
      </c>
      <c r="C59" t="s">
        <v>1262</v>
      </c>
      <c r="H59" s="3">
        <v>79</v>
      </c>
      <c r="I59" s="2"/>
      <c r="J59" s="2">
        <v>1</v>
      </c>
      <c r="K59" s="2">
        <v>1</v>
      </c>
      <c r="N59">
        <f t="shared" si="0"/>
        <v>79</v>
      </c>
      <c r="O59">
        <f t="shared" si="1"/>
        <v>1</v>
      </c>
    </row>
    <row r="60" spans="2:15" x14ac:dyDescent="0.25">
      <c r="B60">
        <v>0</v>
      </c>
      <c r="C60" t="s">
        <v>1262</v>
      </c>
      <c r="H60" s="3">
        <v>80</v>
      </c>
      <c r="I60" s="2"/>
      <c r="J60" s="2">
        <v>1</v>
      </c>
      <c r="K60" s="2">
        <v>1</v>
      </c>
      <c r="N60">
        <f t="shared" si="0"/>
        <v>80</v>
      </c>
      <c r="O60">
        <f t="shared" si="1"/>
        <v>1</v>
      </c>
    </row>
    <row r="61" spans="2:15" x14ac:dyDescent="0.25">
      <c r="B61">
        <v>1</v>
      </c>
      <c r="C61">
        <v>62</v>
      </c>
      <c r="H61" s="3">
        <v>82</v>
      </c>
      <c r="I61" s="2">
        <v>2</v>
      </c>
      <c r="J61" s="2"/>
      <c r="K61" s="2">
        <v>2</v>
      </c>
      <c r="N61">
        <f t="shared" si="0"/>
        <v>82</v>
      </c>
      <c r="O61">
        <f t="shared" si="1"/>
        <v>0</v>
      </c>
    </row>
    <row r="62" spans="2:15" x14ac:dyDescent="0.25">
      <c r="B62">
        <v>1</v>
      </c>
      <c r="C62">
        <v>45</v>
      </c>
      <c r="H62" s="3">
        <v>83</v>
      </c>
      <c r="I62" s="2">
        <v>1</v>
      </c>
      <c r="J62" s="2">
        <v>1</v>
      </c>
      <c r="K62" s="2">
        <v>2</v>
      </c>
      <c r="N62">
        <f t="shared" si="0"/>
        <v>83</v>
      </c>
      <c r="O62">
        <f t="shared" si="1"/>
        <v>0.5</v>
      </c>
    </row>
    <row r="63" spans="2:15" x14ac:dyDescent="0.25">
      <c r="B63">
        <v>1</v>
      </c>
      <c r="C63">
        <v>49</v>
      </c>
      <c r="H63" s="3">
        <v>85</v>
      </c>
      <c r="I63" s="2"/>
      <c r="J63" s="2">
        <v>1</v>
      </c>
      <c r="K63" s="2">
        <v>1</v>
      </c>
      <c r="N63">
        <f t="shared" si="0"/>
        <v>85</v>
      </c>
      <c r="O63">
        <f t="shared" si="1"/>
        <v>1</v>
      </c>
    </row>
    <row r="64" spans="2:15" x14ac:dyDescent="0.25">
      <c r="B64">
        <v>1</v>
      </c>
      <c r="C64" t="s">
        <v>1262</v>
      </c>
      <c r="H64" s="3">
        <v>86</v>
      </c>
      <c r="I64" s="2">
        <v>2</v>
      </c>
      <c r="J64" s="2"/>
      <c r="K64" s="2">
        <v>2</v>
      </c>
      <c r="N64">
        <f t="shared" si="0"/>
        <v>86</v>
      </c>
      <c r="O64">
        <f t="shared" si="1"/>
        <v>0</v>
      </c>
    </row>
    <row r="65" spans="2:15" x14ac:dyDescent="0.25">
      <c r="B65">
        <v>1</v>
      </c>
      <c r="C65">
        <v>51</v>
      </c>
      <c r="H65" s="3">
        <v>87</v>
      </c>
      <c r="I65" s="2">
        <v>1</v>
      </c>
      <c r="J65" s="2"/>
      <c r="K65" s="2">
        <v>1</v>
      </c>
      <c r="N65">
        <f t="shared" si="0"/>
        <v>87</v>
      </c>
      <c r="O65">
        <f t="shared" si="1"/>
        <v>0</v>
      </c>
    </row>
    <row r="66" spans="2:15" x14ac:dyDescent="0.25">
      <c r="B66">
        <v>0</v>
      </c>
      <c r="C66" t="s">
        <v>1262</v>
      </c>
      <c r="H66" s="3">
        <v>90</v>
      </c>
      <c r="I66" s="2"/>
      <c r="J66" s="2">
        <v>1</v>
      </c>
      <c r="K66" s="2">
        <v>1</v>
      </c>
      <c r="N66">
        <f t="shared" si="0"/>
        <v>90</v>
      </c>
      <c r="O66">
        <f t="shared" si="1"/>
        <v>1</v>
      </c>
    </row>
    <row r="67" spans="2:15" x14ac:dyDescent="0.25">
      <c r="B67">
        <v>0</v>
      </c>
      <c r="C67" t="s">
        <v>1262</v>
      </c>
      <c r="H67" s="3">
        <v>91</v>
      </c>
      <c r="I67" s="2">
        <v>1</v>
      </c>
      <c r="J67" s="2"/>
      <c r="K67" s="2">
        <v>1</v>
      </c>
      <c r="N67">
        <f t="shared" si="0"/>
        <v>91</v>
      </c>
      <c r="O67">
        <f t="shared" si="1"/>
        <v>0</v>
      </c>
    </row>
    <row r="68" spans="2:15" x14ac:dyDescent="0.25">
      <c r="B68">
        <v>0</v>
      </c>
      <c r="C68" t="s">
        <v>1262</v>
      </c>
      <c r="H68" s="3">
        <v>92</v>
      </c>
      <c r="I68" s="2"/>
      <c r="J68" s="2">
        <v>2</v>
      </c>
      <c r="K68" s="2">
        <v>2</v>
      </c>
      <c r="N68">
        <f t="shared" si="0"/>
        <v>92</v>
      </c>
      <c r="O68">
        <f t="shared" si="1"/>
        <v>1</v>
      </c>
    </row>
    <row r="69" spans="2:15" x14ac:dyDescent="0.25">
      <c r="B69">
        <v>0</v>
      </c>
      <c r="C69" t="s">
        <v>1262</v>
      </c>
      <c r="H69" s="3">
        <v>93</v>
      </c>
      <c r="I69" s="2"/>
      <c r="J69" s="2">
        <v>2</v>
      </c>
      <c r="K69" s="2">
        <v>2</v>
      </c>
      <c r="N69">
        <f t="shared" si="0"/>
        <v>93</v>
      </c>
      <c r="O69">
        <f t="shared" si="1"/>
        <v>1</v>
      </c>
    </row>
    <row r="70" spans="2:15" x14ac:dyDescent="0.25">
      <c r="B70">
        <v>0</v>
      </c>
      <c r="C70" t="s">
        <v>1262</v>
      </c>
      <c r="H70" s="3">
        <v>94</v>
      </c>
      <c r="I70" s="2">
        <v>1</v>
      </c>
      <c r="J70" s="2"/>
      <c r="K70" s="2">
        <v>1</v>
      </c>
      <c r="N70">
        <f t="shared" ref="N70:N88" si="2">H70</f>
        <v>94</v>
      </c>
      <c r="O70">
        <f t="shared" ref="O70:O88" si="3">J70/K70</f>
        <v>0</v>
      </c>
    </row>
    <row r="71" spans="2:15" x14ac:dyDescent="0.25">
      <c r="B71">
        <v>0</v>
      </c>
      <c r="C71" t="s">
        <v>1262</v>
      </c>
      <c r="H71" s="3">
        <v>95</v>
      </c>
      <c r="I71" s="2">
        <v>1</v>
      </c>
      <c r="J71" s="2"/>
      <c r="K71" s="2">
        <v>1</v>
      </c>
      <c r="N71">
        <f t="shared" si="2"/>
        <v>95</v>
      </c>
      <c r="O71">
        <f t="shared" si="3"/>
        <v>0</v>
      </c>
    </row>
    <row r="72" spans="2:15" x14ac:dyDescent="0.25">
      <c r="B72">
        <v>0</v>
      </c>
      <c r="C72" t="s">
        <v>1262</v>
      </c>
      <c r="H72" s="3">
        <v>96</v>
      </c>
      <c r="I72" s="2"/>
      <c r="J72" s="2">
        <v>4</v>
      </c>
      <c r="K72" s="2">
        <v>4</v>
      </c>
      <c r="N72">
        <f t="shared" si="2"/>
        <v>96</v>
      </c>
      <c r="O72">
        <f t="shared" si="3"/>
        <v>1</v>
      </c>
    </row>
    <row r="73" spans="2:15" x14ac:dyDescent="0.25">
      <c r="B73">
        <v>1</v>
      </c>
      <c r="C73">
        <v>10</v>
      </c>
      <c r="H73" s="3">
        <v>99</v>
      </c>
      <c r="I73" s="2"/>
      <c r="J73" s="2">
        <v>1</v>
      </c>
      <c r="K73" s="2">
        <v>1</v>
      </c>
      <c r="N73">
        <f t="shared" si="2"/>
        <v>99</v>
      </c>
      <c r="O73">
        <f t="shared" si="3"/>
        <v>1</v>
      </c>
    </row>
    <row r="74" spans="2:15" x14ac:dyDescent="0.25">
      <c r="B74">
        <v>0</v>
      </c>
      <c r="C74" t="s">
        <v>1262</v>
      </c>
      <c r="H74" s="3">
        <v>101</v>
      </c>
      <c r="I74" s="2"/>
      <c r="J74" s="2">
        <v>5</v>
      </c>
      <c r="K74" s="2">
        <v>5</v>
      </c>
      <c r="N74">
        <f t="shared" si="2"/>
        <v>101</v>
      </c>
      <c r="O74">
        <f t="shared" si="3"/>
        <v>1</v>
      </c>
    </row>
    <row r="75" spans="2:15" x14ac:dyDescent="0.25">
      <c r="B75">
        <v>0</v>
      </c>
      <c r="C75" t="s">
        <v>1262</v>
      </c>
      <c r="H75" s="3">
        <v>102</v>
      </c>
      <c r="I75" s="2">
        <v>1</v>
      </c>
      <c r="J75" s="2"/>
      <c r="K75" s="2">
        <v>1</v>
      </c>
      <c r="N75">
        <f t="shared" si="2"/>
        <v>102</v>
      </c>
      <c r="O75">
        <f t="shared" si="3"/>
        <v>0</v>
      </c>
    </row>
    <row r="76" spans="2:15" x14ac:dyDescent="0.25">
      <c r="B76">
        <v>1</v>
      </c>
      <c r="C76">
        <v>101</v>
      </c>
      <c r="H76" s="3">
        <v>103</v>
      </c>
      <c r="I76" s="2"/>
      <c r="J76" s="2">
        <v>1</v>
      </c>
      <c r="K76" s="2">
        <v>1</v>
      </c>
      <c r="N76">
        <f t="shared" si="2"/>
        <v>103</v>
      </c>
      <c r="O76">
        <f t="shared" si="3"/>
        <v>1</v>
      </c>
    </row>
    <row r="77" spans="2:15" x14ac:dyDescent="0.25">
      <c r="B77">
        <v>0</v>
      </c>
      <c r="C77" t="s">
        <v>1262</v>
      </c>
      <c r="H77" s="3">
        <v>104</v>
      </c>
      <c r="I77" s="2"/>
      <c r="J77" s="2">
        <v>1</v>
      </c>
      <c r="K77" s="2">
        <v>1</v>
      </c>
      <c r="N77">
        <f t="shared" si="2"/>
        <v>104</v>
      </c>
      <c r="O77">
        <f t="shared" si="3"/>
        <v>1</v>
      </c>
    </row>
    <row r="78" spans="2:15" x14ac:dyDescent="0.25">
      <c r="B78">
        <v>0</v>
      </c>
      <c r="C78" t="s">
        <v>1262</v>
      </c>
      <c r="H78" s="3">
        <v>106</v>
      </c>
      <c r="I78" s="2"/>
      <c r="J78" s="2">
        <v>1</v>
      </c>
      <c r="K78" s="2">
        <v>1</v>
      </c>
      <c r="N78">
        <f t="shared" si="2"/>
        <v>106</v>
      </c>
      <c r="O78">
        <f t="shared" si="3"/>
        <v>1</v>
      </c>
    </row>
    <row r="79" spans="2:15" x14ac:dyDescent="0.25">
      <c r="B79">
        <v>0</v>
      </c>
      <c r="C79" t="s">
        <v>1262</v>
      </c>
      <c r="H79" s="3">
        <v>110</v>
      </c>
      <c r="I79" s="2">
        <v>1</v>
      </c>
      <c r="J79" s="2"/>
      <c r="K79" s="2">
        <v>1</v>
      </c>
      <c r="N79">
        <f t="shared" si="2"/>
        <v>110</v>
      </c>
      <c r="O79">
        <f t="shared" si="3"/>
        <v>0</v>
      </c>
    </row>
    <row r="80" spans="2:15" x14ac:dyDescent="0.25">
      <c r="B80">
        <v>0</v>
      </c>
      <c r="C80" t="s">
        <v>1262</v>
      </c>
      <c r="H80" s="3">
        <v>111</v>
      </c>
      <c r="I80" s="2">
        <v>1</v>
      </c>
      <c r="J80" s="2"/>
      <c r="K80" s="2">
        <v>1</v>
      </c>
      <c r="N80">
        <f t="shared" si="2"/>
        <v>111</v>
      </c>
      <c r="O80">
        <f t="shared" si="3"/>
        <v>0</v>
      </c>
    </row>
    <row r="81" spans="2:15" x14ac:dyDescent="0.25">
      <c r="B81">
        <v>0</v>
      </c>
      <c r="C81" t="s">
        <v>1262</v>
      </c>
      <c r="H81" s="3">
        <v>118</v>
      </c>
      <c r="I81" s="2">
        <v>1</v>
      </c>
      <c r="J81" s="2"/>
      <c r="K81" s="2">
        <v>1</v>
      </c>
      <c r="N81">
        <f t="shared" si="2"/>
        <v>118</v>
      </c>
      <c r="O81">
        <f t="shared" si="3"/>
        <v>0</v>
      </c>
    </row>
    <row r="82" spans="2:15" x14ac:dyDescent="0.25">
      <c r="B82">
        <v>1</v>
      </c>
      <c r="C82" t="s">
        <v>1262</v>
      </c>
      <c r="H82" s="3">
        <v>121</v>
      </c>
      <c r="I82" s="2"/>
      <c r="J82" s="2">
        <v>2</v>
      </c>
      <c r="K82" s="2">
        <v>2</v>
      </c>
      <c r="N82">
        <f t="shared" si="2"/>
        <v>121</v>
      </c>
      <c r="O82">
        <f t="shared" si="3"/>
        <v>1</v>
      </c>
    </row>
    <row r="83" spans="2:15" x14ac:dyDescent="0.25">
      <c r="B83">
        <v>0</v>
      </c>
      <c r="C83" t="s">
        <v>1262</v>
      </c>
      <c r="H83" s="3">
        <v>123</v>
      </c>
      <c r="I83" s="2">
        <v>1</v>
      </c>
      <c r="J83" s="2">
        <v>1</v>
      </c>
      <c r="K83" s="2">
        <v>2</v>
      </c>
      <c r="N83">
        <f t="shared" si="2"/>
        <v>123</v>
      </c>
      <c r="O83">
        <f t="shared" si="3"/>
        <v>0.5</v>
      </c>
    </row>
    <row r="84" spans="2:15" x14ac:dyDescent="0.25">
      <c r="B84">
        <v>0</v>
      </c>
      <c r="C84" t="s">
        <v>1262</v>
      </c>
      <c r="H84" s="3">
        <v>124</v>
      </c>
      <c r="I84" s="2">
        <v>2</v>
      </c>
      <c r="J84" s="2"/>
      <c r="K84" s="2">
        <v>2</v>
      </c>
      <c r="N84">
        <f t="shared" si="2"/>
        <v>124</v>
      </c>
      <c r="O84">
        <f t="shared" si="3"/>
        <v>0</v>
      </c>
    </row>
    <row r="85" spans="2:15" x14ac:dyDescent="0.25">
      <c r="B85">
        <v>1</v>
      </c>
      <c r="C85">
        <v>57</v>
      </c>
      <c r="H85" s="3">
        <v>125</v>
      </c>
      <c r="I85" s="2"/>
      <c r="J85" s="2">
        <v>2</v>
      </c>
      <c r="K85" s="2">
        <v>2</v>
      </c>
      <c r="N85">
        <f t="shared" si="2"/>
        <v>125</v>
      </c>
      <c r="O85">
        <f t="shared" si="3"/>
        <v>1</v>
      </c>
    </row>
    <row r="86" spans="2:15" x14ac:dyDescent="0.25">
      <c r="B86">
        <v>1</v>
      </c>
      <c r="C86">
        <v>57</v>
      </c>
      <c r="H86" s="3">
        <v>126</v>
      </c>
      <c r="I86" s="2"/>
      <c r="J86" s="2">
        <v>2</v>
      </c>
      <c r="K86" s="2">
        <v>2</v>
      </c>
      <c r="N86">
        <f t="shared" si="2"/>
        <v>126</v>
      </c>
      <c r="O86">
        <f t="shared" si="3"/>
        <v>1</v>
      </c>
    </row>
    <row r="87" spans="2:15" x14ac:dyDescent="0.25">
      <c r="B87">
        <v>1</v>
      </c>
      <c r="C87" t="s">
        <v>1262</v>
      </c>
      <c r="H87" s="3">
        <v>128</v>
      </c>
      <c r="I87" s="2">
        <v>1</v>
      </c>
      <c r="J87" s="2"/>
      <c r="K87" s="2">
        <v>1</v>
      </c>
      <c r="N87">
        <f t="shared" si="2"/>
        <v>128</v>
      </c>
      <c r="O87">
        <f t="shared" si="3"/>
        <v>0</v>
      </c>
    </row>
    <row r="88" spans="2:15" x14ac:dyDescent="0.25">
      <c r="B88">
        <v>0</v>
      </c>
      <c r="C88" t="s">
        <v>1262</v>
      </c>
      <c r="H88" s="3">
        <v>148</v>
      </c>
      <c r="I88" s="2"/>
      <c r="J88" s="2">
        <v>1</v>
      </c>
      <c r="K88" s="2">
        <v>1</v>
      </c>
      <c r="N88">
        <f t="shared" si="2"/>
        <v>148</v>
      </c>
      <c r="O88">
        <f t="shared" si="3"/>
        <v>1</v>
      </c>
    </row>
    <row r="89" spans="2:15" x14ac:dyDescent="0.25">
      <c r="B89">
        <v>0</v>
      </c>
      <c r="C89" t="s">
        <v>1262</v>
      </c>
      <c r="H89" s="3" t="s">
        <v>80</v>
      </c>
      <c r="I89" s="2">
        <v>56</v>
      </c>
      <c r="J89" s="2">
        <v>116</v>
      </c>
      <c r="K89" s="2">
        <v>172</v>
      </c>
    </row>
    <row r="90" spans="2:15" x14ac:dyDescent="0.25">
      <c r="B90">
        <v>1</v>
      </c>
      <c r="C90" t="s">
        <v>1262</v>
      </c>
    </row>
    <row r="91" spans="2:15" x14ac:dyDescent="0.25">
      <c r="B91">
        <v>0</v>
      </c>
      <c r="C91" t="s">
        <v>1262</v>
      </c>
    </row>
    <row r="92" spans="2:15" x14ac:dyDescent="0.25">
      <c r="B92">
        <v>1</v>
      </c>
      <c r="C92" t="s">
        <v>1262</v>
      </c>
    </row>
    <row r="93" spans="2:15" x14ac:dyDescent="0.25">
      <c r="B93">
        <v>0</v>
      </c>
      <c r="C93" t="s">
        <v>1262</v>
      </c>
    </row>
    <row r="94" spans="2:15" x14ac:dyDescent="0.25">
      <c r="B94">
        <v>1</v>
      </c>
      <c r="C94" t="s">
        <v>1262</v>
      </c>
    </row>
    <row r="95" spans="2:15" x14ac:dyDescent="0.25">
      <c r="B95">
        <v>1</v>
      </c>
      <c r="C95" t="s">
        <v>1262</v>
      </c>
    </row>
    <row r="96" spans="2:15" x14ac:dyDescent="0.25">
      <c r="B96">
        <v>0</v>
      </c>
      <c r="C96" t="s">
        <v>1262</v>
      </c>
    </row>
    <row r="97" spans="2:3" x14ac:dyDescent="0.25">
      <c r="B97">
        <v>0</v>
      </c>
      <c r="C97" t="s">
        <v>1262</v>
      </c>
    </row>
    <row r="98" spans="2:3" x14ac:dyDescent="0.25">
      <c r="B98">
        <v>0</v>
      </c>
      <c r="C98" t="s">
        <v>1262</v>
      </c>
    </row>
    <row r="99" spans="2:3" x14ac:dyDescent="0.25">
      <c r="B99">
        <v>0</v>
      </c>
      <c r="C99" t="s">
        <v>1262</v>
      </c>
    </row>
    <row r="100" spans="2:3" x14ac:dyDescent="0.25">
      <c r="B100">
        <v>1</v>
      </c>
      <c r="C100">
        <v>85</v>
      </c>
    </row>
    <row r="101" spans="2:3" x14ac:dyDescent="0.25">
      <c r="B101">
        <v>0</v>
      </c>
      <c r="C101" t="s">
        <v>1262</v>
      </c>
    </row>
    <row r="102" spans="2:3" x14ac:dyDescent="0.25">
      <c r="B102">
        <v>0</v>
      </c>
      <c r="C102" t="s">
        <v>1262</v>
      </c>
    </row>
    <row r="103" spans="2:3" x14ac:dyDescent="0.25">
      <c r="B103">
        <v>0</v>
      </c>
      <c r="C103">
        <v>118</v>
      </c>
    </row>
    <row r="104" spans="2:3" x14ac:dyDescent="0.25">
      <c r="B104">
        <v>0</v>
      </c>
      <c r="C104">
        <v>49</v>
      </c>
    </row>
    <row r="105" spans="2:3" x14ac:dyDescent="0.25">
      <c r="B105">
        <v>0</v>
      </c>
      <c r="C105">
        <v>86</v>
      </c>
    </row>
    <row r="106" spans="2:3" x14ac:dyDescent="0.25">
      <c r="B106">
        <v>0</v>
      </c>
      <c r="C106" t="s">
        <v>1262</v>
      </c>
    </row>
    <row r="107" spans="2:3" x14ac:dyDescent="0.25">
      <c r="B107">
        <v>0</v>
      </c>
      <c r="C107">
        <v>82</v>
      </c>
    </row>
    <row r="108" spans="2:3" x14ac:dyDescent="0.25">
      <c r="B108">
        <v>1</v>
      </c>
      <c r="C108">
        <v>78</v>
      </c>
    </row>
    <row r="109" spans="2:3" x14ac:dyDescent="0.25">
      <c r="B109">
        <v>0</v>
      </c>
      <c r="C109" t="s">
        <v>1262</v>
      </c>
    </row>
    <row r="110" spans="2:3" x14ac:dyDescent="0.25">
      <c r="B110">
        <v>0</v>
      </c>
      <c r="C110" t="s">
        <v>1262</v>
      </c>
    </row>
    <row r="111" spans="2:3" x14ac:dyDescent="0.25">
      <c r="B111">
        <v>0</v>
      </c>
      <c r="C111" t="s">
        <v>1262</v>
      </c>
    </row>
    <row r="112" spans="2:3" x14ac:dyDescent="0.25">
      <c r="B112">
        <v>0</v>
      </c>
      <c r="C112" t="s">
        <v>1262</v>
      </c>
    </row>
    <row r="113" spans="2:3" x14ac:dyDescent="0.25">
      <c r="B113">
        <v>0</v>
      </c>
      <c r="C113">
        <v>77</v>
      </c>
    </row>
    <row r="114" spans="2:3" x14ac:dyDescent="0.25">
      <c r="B114">
        <v>1</v>
      </c>
      <c r="C114" t="s">
        <v>1262</v>
      </c>
    </row>
    <row r="115" spans="2:3" x14ac:dyDescent="0.25">
      <c r="B115">
        <v>0</v>
      </c>
      <c r="C115" t="s">
        <v>1262</v>
      </c>
    </row>
    <row r="116" spans="2:3" x14ac:dyDescent="0.25">
      <c r="B116">
        <v>1</v>
      </c>
      <c r="C116">
        <v>33</v>
      </c>
    </row>
    <row r="117" spans="2:3" x14ac:dyDescent="0.25">
      <c r="B117">
        <v>1</v>
      </c>
      <c r="C117">
        <v>33</v>
      </c>
    </row>
    <row r="118" spans="2:3" x14ac:dyDescent="0.25">
      <c r="B118">
        <v>0</v>
      </c>
      <c r="C118" t="s">
        <v>1262</v>
      </c>
    </row>
    <row r="119" spans="2:3" x14ac:dyDescent="0.25">
      <c r="B119">
        <v>1</v>
      </c>
      <c r="C119" t="s">
        <v>1262</v>
      </c>
    </row>
    <row r="120" spans="2:3" x14ac:dyDescent="0.25">
      <c r="B120">
        <v>1</v>
      </c>
      <c r="C120" t="s">
        <v>1262</v>
      </c>
    </row>
    <row r="121" spans="2:3" x14ac:dyDescent="0.25">
      <c r="B121">
        <v>1</v>
      </c>
      <c r="C121">
        <v>49</v>
      </c>
    </row>
    <row r="122" spans="2:3" x14ac:dyDescent="0.25">
      <c r="B122">
        <v>1</v>
      </c>
      <c r="C122">
        <v>78</v>
      </c>
    </row>
    <row r="123" spans="2:3" x14ac:dyDescent="0.25">
      <c r="B123">
        <v>0</v>
      </c>
      <c r="C123" t="s">
        <v>1262</v>
      </c>
    </row>
    <row r="124" spans="2:3" x14ac:dyDescent="0.25">
      <c r="B124">
        <v>1</v>
      </c>
      <c r="C124">
        <v>80</v>
      </c>
    </row>
    <row r="125" spans="2:3" x14ac:dyDescent="0.25">
      <c r="B125">
        <v>1</v>
      </c>
      <c r="C125">
        <v>99</v>
      </c>
    </row>
    <row r="126" spans="2:3" x14ac:dyDescent="0.25">
      <c r="B126">
        <v>1</v>
      </c>
      <c r="C126" t="s">
        <v>1262</v>
      </c>
    </row>
    <row r="127" spans="2:3" x14ac:dyDescent="0.25">
      <c r="B127">
        <v>0</v>
      </c>
      <c r="C127">
        <v>58</v>
      </c>
    </row>
    <row r="128" spans="2:3" x14ac:dyDescent="0.25">
      <c r="B128">
        <v>1</v>
      </c>
      <c r="C128" t="s">
        <v>1262</v>
      </c>
    </row>
    <row r="129" spans="2:3" x14ac:dyDescent="0.25">
      <c r="B129">
        <v>1</v>
      </c>
      <c r="C129">
        <v>28</v>
      </c>
    </row>
    <row r="130" spans="2:3" x14ac:dyDescent="0.25">
      <c r="B130">
        <v>1</v>
      </c>
      <c r="C130">
        <v>58</v>
      </c>
    </row>
    <row r="131" spans="2:3" x14ac:dyDescent="0.25">
      <c r="B131">
        <v>0</v>
      </c>
      <c r="C131">
        <v>24</v>
      </c>
    </row>
    <row r="132" spans="2:3" x14ac:dyDescent="0.25">
      <c r="B132">
        <v>1</v>
      </c>
      <c r="C132">
        <v>125</v>
      </c>
    </row>
    <row r="133" spans="2:3" x14ac:dyDescent="0.25">
      <c r="B133">
        <v>0</v>
      </c>
      <c r="C133">
        <v>91</v>
      </c>
    </row>
    <row r="134" spans="2:3" x14ac:dyDescent="0.25">
      <c r="B134">
        <v>1</v>
      </c>
      <c r="C134">
        <v>125</v>
      </c>
    </row>
    <row r="135" spans="2:3" x14ac:dyDescent="0.25">
      <c r="B135">
        <v>1</v>
      </c>
      <c r="C135">
        <v>36</v>
      </c>
    </row>
    <row r="136" spans="2:3" x14ac:dyDescent="0.25">
      <c r="B136">
        <v>0</v>
      </c>
      <c r="C136">
        <v>95</v>
      </c>
    </row>
    <row r="137" spans="2:3" x14ac:dyDescent="0.25">
      <c r="B137">
        <v>1</v>
      </c>
      <c r="C137">
        <v>24</v>
      </c>
    </row>
    <row r="138" spans="2:3" x14ac:dyDescent="0.25">
      <c r="B138">
        <v>1</v>
      </c>
      <c r="C138">
        <v>20</v>
      </c>
    </row>
    <row r="139" spans="2:3" x14ac:dyDescent="0.25">
      <c r="B139">
        <v>1</v>
      </c>
      <c r="C139">
        <v>24</v>
      </c>
    </row>
    <row r="140" spans="2:3" x14ac:dyDescent="0.25">
      <c r="B140">
        <v>1</v>
      </c>
      <c r="C140">
        <v>90</v>
      </c>
    </row>
    <row r="141" spans="2:3" x14ac:dyDescent="0.25">
      <c r="B141">
        <v>1</v>
      </c>
      <c r="C141">
        <v>35</v>
      </c>
    </row>
    <row r="142" spans="2:3" x14ac:dyDescent="0.25">
      <c r="B142">
        <v>1</v>
      </c>
      <c r="C142">
        <v>35</v>
      </c>
    </row>
    <row r="143" spans="2:3" x14ac:dyDescent="0.25">
      <c r="B143">
        <v>1</v>
      </c>
      <c r="C143">
        <v>25</v>
      </c>
    </row>
    <row r="144" spans="2:3" x14ac:dyDescent="0.25">
      <c r="B144">
        <v>0</v>
      </c>
      <c r="C144" t="s">
        <v>1262</v>
      </c>
    </row>
    <row r="145" spans="2:3" x14ac:dyDescent="0.25">
      <c r="B145">
        <v>1</v>
      </c>
      <c r="C145">
        <v>25</v>
      </c>
    </row>
    <row r="146" spans="2:3" x14ac:dyDescent="0.25">
      <c r="B146">
        <v>0</v>
      </c>
      <c r="C146" t="s">
        <v>1262</v>
      </c>
    </row>
    <row r="147" spans="2:3" x14ac:dyDescent="0.25">
      <c r="B147">
        <v>1</v>
      </c>
      <c r="C147" t="s">
        <v>1262</v>
      </c>
    </row>
    <row r="148" spans="2:3" x14ac:dyDescent="0.25">
      <c r="B148">
        <v>0</v>
      </c>
      <c r="C148" t="s">
        <v>1262</v>
      </c>
    </row>
    <row r="149" spans="2:3" x14ac:dyDescent="0.25">
      <c r="B149">
        <v>1</v>
      </c>
      <c r="C149" t="s">
        <v>1262</v>
      </c>
    </row>
    <row r="150" spans="2:3" x14ac:dyDescent="0.25">
      <c r="B150">
        <v>0</v>
      </c>
      <c r="C150" t="s">
        <v>1262</v>
      </c>
    </row>
    <row r="151" spans="2:3" x14ac:dyDescent="0.25">
      <c r="B151">
        <v>1</v>
      </c>
      <c r="C151" t="s">
        <v>1262</v>
      </c>
    </row>
    <row r="152" spans="2:3" x14ac:dyDescent="0.25">
      <c r="B152">
        <v>0</v>
      </c>
      <c r="C152" t="s">
        <v>1262</v>
      </c>
    </row>
    <row r="153" spans="2:3" x14ac:dyDescent="0.25">
      <c r="B153">
        <v>0</v>
      </c>
      <c r="C153" t="s">
        <v>1262</v>
      </c>
    </row>
    <row r="154" spans="2:3" x14ac:dyDescent="0.25">
      <c r="B154">
        <v>1</v>
      </c>
      <c r="C154" t="s">
        <v>1262</v>
      </c>
    </row>
    <row r="155" spans="2:3" x14ac:dyDescent="0.25">
      <c r="B155">
        <v>0</v>
      </c>
      <c r="C155" t="s">
        <v>1262</v>
      </c>
    </row>
    <row r="156" spans="2:3" x14ac:dyDescent="0.25">
      <c r="B156">
        <v>0</v>
      </c>
      <c r="C156" t="s">
        <v>1262</v>
      </c>
    </row>
    <row r="157" spans="2:3" x14ac:dyDescent="0.25">
      <c r="B157">
        <v>0</v>
      </c>
      <c r="C157" t="s">
        <v>1262</v>
      </c>
    </row>
    <row r="158" spans="2:3" x14ac:dyDescent="0.25">
      <c r="B158">
        <v>0</v>
      </c>
      <c r="C158" t="s">
        <v>1262</v>
      </c>
    </row>
    <row r="159" spans="2:3" x14ac:dyDescent="0.25">
      <c r="B159">
        <v>1</v>
      </c>
      <c r="C159" t="s">
        <v>1262</v>
      </c>
    </row>
    <row r="160" spans="2:3" x14ac:dyDescent="0.25">
      <c r="B160">
        <v>0</v>
      </c>
      <c r="C160" t="s">
        <v>1262</v>
      </c>
    </row>
    <row r="161" spans="2:3" x14ac:dyDescent="0.25">
      <c r="B161">
        <v>1</v>
      </c>
      <c r="C161" t="s">
        <v>1262</v>
      </c>
    </row>
    <row r="162" spans="2:3" x14ac:dyDescent="0.25">
      <c r="B162">
        <v>0</v>
      </c>
      <c r="C162" t="s">
        <v>1262</v>
      </c>
    </row>
    <row r="163" spans="2:3" x14ac:dyDescent="0.25">
      <c r="B163">
        <v>1</v>
      </c>
      <c r="C163" t="s">
        <v>1262</v>
      </c>
    </row>
    <row r="164" spans="2:3" x14ac:dyDescent="0.25">
      <c r="B164">
        <v>0</v>
      </c>
      <c r="C164" t="s">
        <v>1262</v>
      </c>
    </row>
    <row r="165" spans="2:3" x14ac:dyDescent="0.25">
      <c r="B165">
        <v>1</v>
      </c>
      <c r="C165" t="s">
        <v>1262</v>
      </c>
    </row>
    <row r="166" spans="2:3" x14ac:dyDescent="0.25">
      <c r="B166">
        <v>0</v>
      </c>
      <c r="C166">
        <v>30</v>
      </c>
    </row>
    <row r="167" spans="2:3" x14ac:dyDescent="0.25">
      <c r="B167">
        <v>1</v>
      </c>
      <c r="C167" t="s">
        <v>1262</v>
      </c>
    </row>
    <row r="168" spans="2:3" x14ac:dyDescent="0.25">
      <c r="B168">
        <v>1</v>
      </c>
      <c r="C168" t="s">
        <v>1262</v>
      </c>
    </row>
    <row r="169" spans="2:3" x14ac:dyDescent="0.25">
      <c r="B169">
        <v>0</v>
      </c>
      <c r="C169">
        <v>71</v>
      </c>
    </row>
    <row r="170" spans="2:3" x14ac:dyDescent="0.25">
      <c r="B170">
        <v>0</v>
      </c>
      <c r="C170">
        <v>82</v>
      </c>
    </row>
    <row r="171" spans="2:3" x14ac:dyDescent="0.25">
      <c r="B171">
        <v>0</v>
      </c>
      <c r="C171">
        <v>111</v>
      </c>
    </row>
    <row r="172" spans="2:3" x14ac:dyDescent="0.25">
      <c r="B172">
        <v>0</v>
      </c>
      <c r="C172" t="s">
        <v>1262</v>
      </c>
    </row>
    <row r="173" spans="2:3" x14ac:dyDescent="0.25">
      <c r="B173">
        <v>0</v>
      </c>
      <c r="C173" t="s">
        <v>1262</v>
      </c>
    </row>
    <row r="174" spans="2:3" x14ac:dyDescent="0.25">
      <c r="B174">
        <v>0</v>
      </c>
      <c r="C174" t="s">
        <v>1262</v>
      </c>
    </row>
    <row r="175" spans="2:3" x14ac:dyDescent="0.25">
      <c r="B175">
        <v>0</v>
      </c>
      <c r="C175" t="s">
        <v>1262</v>
      </c>
    </row>
    <row r="176" spans="2:3" x14ac:dyDescent="0.25">
      <c r="B176">
        <v>1</v>
      </c>
      <c r="C176">
        <v>31</v>
      </c>
    </row>
    <row r="177" spans="2:3" x14ac:dyDescent="0.25">
      <c r="B177">
        <v>1</v>
      </c>
      <c r="C177" t="s">
        <v>1262</v>
      </c>
    </row>
    <row r="178" spans="2:3" x14ac:dyDescent="0.25">
      <c r="B178">
        <v>0</v>
      </c>
      <c r="C178" t="s">
        <v>1262</v>
      </c>
    </row>
    <row r="179" spans="2:3" x14ac:dyDescent="0.25">
      <c r="B179">
        <v>0</v>
      </c>
      <c r="C179" t="s">
        <v>1262</v>
      </c>
    </row>
    <row r="180" spans="2:3" x14ac:dyDescent="0.25">
      <c r="B180">
        <v>0</v>
      </c>
      <c r="C180" t="s">
        <v>1262</v>
      </c>
    </row>
    <row r="181" spans="2:3" x14ac:dyDescent="0.25">
      <c r="B181">
        <v>0</v>
      </c>
      <c r="C181" t="s">
        <v>1262</v>
      </c>
    </row>
    <row r="182" spans="2:3" x14ac:dyDescent="0.25">
      <c r="B182">
        <v>1</v>
      </c>
      <c r="C182">
        <v>148</v>
      </c>
    </row>
    <row r="183" spans="2:3" x14ac:dyDescent="0.25">
      <c r="B183">
        <v>1</v>
      </c>
      <c r="C183" t="s">
        <v>1262</v>
      </c>
    </row>
    <row r="184" spans="2:3" x14ac:dyDescent="0.25">
      <c r="B184">
        <v>0</v>
      </c>
      <c r="C184" t="s">
        <v>1262</v>
      </c>
    </row>
    <row r="185" spans="2:3" x14ac:dyDescent="0.25">
      <c r="B185">
        <v>1</v>
      </c>
      <c r="C185">
        <v>18</v>
      </c>
    </row>
    <row r="186" spans="2:3" x14ac:dyDescent="0.25">
      <c r="B186">
        <v>0</v>
      </c>
      <c r="C186" t="s">
        <v>1262</v>
      </c>
    </row>
    <row r="187" spans="2:3" x14ac:dyDescent="0.25">
      <c r="B187">
        <v>0</v>
      </c>
      <c r="C187" t="s">
        <v>1262</v>
      </c>
    </row>
    <row r="188" spans="2:3" x14ac:dyDescent="0.25">
      <c r="B188">
        <v>0</v>
      </c>
      <c r="C188" t="s">
        <v>1262</v>
      </c>
    </row>
    <row r="189" spans="2:3" x14ac:dyDescent="0.25">
      <c r="B189">
        <v>0</v>
      </c>
      <c r="C189" t="s">
        <v>1262</v>
      </c>
    </row>
    <row r="190" spans="2:3" x14ac:dyDescent="0.25">
      <c r="B190">
        <v>0</v>
      </c>
      <c r="C190" t="s">
        <v>1262</v>
      </c>
    </row>
    <row r="191" spans="2:3" x14ac:dyDescent="0.25">
      <c r="B191">
        <v>0</v>
      </c>
      <c r="C191" t="s">
        <v>1262</v>
      </c>
    </row>
    <row r="192" spans="2:3" x14ac:dyDescent="0.25">
      <c r="B192">
        <v>0</v>
      </c>
      <c r="C192" t="s">
        <v>1262</v>
      </c>
    </row>
    <row r="193" spans="2:3" x14ac:dyDescent="0.25">
      <c r="B193">
        <v>0</v>
      </c>
      <c r="C193" t="s">
        <v>1262</v>
      </c>
    </row>
    <row r="194" spans="2:3" x14ac:dyDescent="0.25">
      <c r="B194">
        <v>1</v>
      </c>
      <c r="C194" t="s">
        <v>1262</v>
      </c>
    </row>
    <row r="195" spans="2:3" x14ac:dyDescent="0.25">
      <c r="B195">
        <v>1</v>
      </c>
      <c r="C195" t="s">
        <v>1262</v>
      </c>
    </row>
    <row r="196" spans="2:3" x14ac:dyDescent="0.25">
      <c r="B196">
        <v>1</v>
      </c>
      <c r="C196">
        <v>18</v>
      </c>
    </row>
    <row r="197" spans="2:3" x14ac:dyDescent="0.25">
      <c r="B197">
        <v>1</v>
      </c>
      <c r="C197" t="s">
        <v>1262</v>
      </c>
    </row>
    <row r="198" spans="2:3" x14ac:dyDescent="0.25">
      <c r="B198">
        <v>0</v>
      </c>
      <c r="C198" t="s">
        <v>1262</v>
      </c>
    </row>
    <row r="199" spans="2:3" x14ac:dyDescent="0.25">
      <c r="B199">
        <v>1</v>
      </c>
      <c r="C199" t="s">
        <v>1262</v>
      </c>
    </row>
    <row r="200" spans="2:3" x14ac:dyDescent="0.25">
      <c r="B200">
        <v>1</v>
      </c>
      <c r="C200">
        <v>33</v>
      </c>
    </row>
    <row r="201" spans="2:3" x14ac:dyDescent="0.25">
      <c r="B201">
        <v>1</v>
      </c>
      <c r="C201" t="s">
        <v>1262</v>
      </c>
    </row>
    <row r="202" spans="2:3" x14ac:dyDescent="0.25">
      <c r="B202">
        <v>1</v>
      </c>
      <c r="C202">
        <v>37</v>
      </c>
    </row>
    <row r="203" spans="2:3" x14ac:dyDescent="0.25">
      <c r="B203">
        <v>1</v>
      </c>
      <c r="C203">
        <v>28</v>
      </c>
    </row>
    <row r="204" spans="2:3" x14ac:dyDescent="0.25">
      <c r="B204">
        <v>1</v>
      </c>
      <c r="C204">
        <v>20</v>
      </c>
    </row>
    <row r="205" spans="2:3" x14ac:dyDescent="0.25">
      <c r="B205">
        <v>1</v>
      </c>
      <c r="C205">
        <v>20</v>
      </c>
    </row>
    <row r="206" spans="2:3" x14ac:dyDescent="0.25">
      <c r="B206">
        <v>1</v>
      </c>
      <c r="C206">
        <v>36</v>
      </c>
    </row>
    <row r="207" spans="2:3" x14ac:dyDescent="0.25">
      <c r="B207">
        <v>1</v>
      </c>
      <c r="C207">
        <v>36</v>
      </c>
    </row>
    <row r="208" spans="2:3" x14ac:dyDescent="0.25">
      <c r="B208">
        <v>0</v>
      </c>
      <c r="C208" t="s">
        <v>1262</v>
      </c>
    </row>
    <row r="209" spans="2:3" x14ac:dyDescent="0.25">
      <c r="B209">
        <v>1</v>
      </c>
      <c r="C209" t="s">
        <v>1262</v>
      </c>
    </row>
    <row r="210" spans="2:3" x14ac:dyDescent="0.25">
      <c r="B210">
        <v>0</v>
      </c>
      <c r="C210" t="s">
        <v>1262</v>
      </c>
    </row>
    <row r="211" spans="2:3" x14ac:dyDescent="0.25">
      <c r="B211">
        <v>1</v>
      </c>
      <c r="C211" t="s">
        <v>1262</v>
      </c>
    </row>
    <row r="212" spans="2:3" x14ac:dyDescent="0.25">
      <c r="B212">
        <v>0</v>
      </c>
      <c r="C212" t="s">
        <v>1262</v>
      </c>
    </row>
    <row r="213" spans="2:3" x14ac:dyDescent="0.25">
      <c r="B213">
        <v>1</v>
      </c>
      <c r="C213" t="s">
        <v>1262</v>
      </c>
    </row>
    <row r="214" spans="2:3" x14ac:dyDescent="0.25">
      <c r="B214">
        <v>0</v>
      </c>
      <c r="C214">
        <v>48</v>
      </c>
    </row>
    <row r="215" spans="2:3" x14ac:dyDescent="0.25">
      <c r="B215">
        <v>1</v>
      </c>
      <c r="C215" t="s">
        <v>1262</v>
      </c>
    </row>
    <row r="216" spans="2:3" x14ac:dyDescent="0.25">
      <c r="B216">
        <v>0</v>
      </c>
      <c r="C216" t="s">
        <v>1262</v>
      </c>
    </row>
    <row r="217" spans="2:3" x14ac:dyDescent="0.25">
      <c r="B217">
        <v>0</v>
      </c>
      <c r="C217" t="s">
        <v>1262</v>
      </c>
    </row>
    <row r="218" spans="2:3" x14ac:dyDescent="0.25">
      <c r="B218">
        <v>1</v>
      </c>
      <c r="C218">
        <v>33</v>
      </c>
    </row>
    <row r="219" spans="2:3" x14ac:dyDescent="0.25">
      <c r="B219">
        <v>1</v>
      </c>
      <c r="C219">
        <v>92</v>
      </c>
    </row>
    <row r="220" spans="2:3" x14ac:dyDescent="0.25">
      <c r="B220">
        <v>0</v>
      </c>
      <c r="C220" t="s">
        <v>1262</v>
      </c>
    </row>
    <row r="221" spans="2:3" x14ac:dyDescent="0.25">
      <c r="B221">
        <v>1</v>
      </c>
      <c r="C221" t="s">
        <v>1262</v>
      </c>
    </row>
    <row r="222" spans="2:3" x14ac:dyDescent="0.25">
      <c r="B222">
        <v>0</v>
      </c>
      <c r="C222">
        <v>78</v>
      </c>
    </row>
    <row r="223" spans="2:3" x14ac:dyDescent="0.25">
      <c r="B223">
        <v>0</v>
      </c>
      <c r="C223" t="s">
        <v>1262</v>
      </c>
    </row>
    <row r="224" spans="2:3" x14ac:dyDescent="0.25">
      <c r="B224">
        <v>0</v>
      </c>
      <c r="C224" t="s">
        <v>1262</v>
      </c>
    </row>
    <row r="225" spans="2:3" x14ac:dyDescent="0.25">
      <c r="B225">
        <v>0</v>
      </c>
      <c r="C225" t="s">
        <v>1262</v>
      </c>
    </row>
    <row r="226" spans="2:3" x14ac:dyDescent="0.25">
      <c r="B226">
        <v>1</v>
      </c>
      <c r="C226">
        <v>92</v>
      </c>
    </row>
    <row r="227" spans="2:3" x14ac:dyDescent="0.25">
      <c r="B227">
        <v>0</v>
      </c>
      <c r="C227" t="s">
        <v>1262</v>
      </c>
    </row>
    <row r="228" spans="2:3" x14ac:dyDescent="0.25">
      <c r="B228">
        <v>1</v>
      </c>
      <c r="C228" t="s">
        <v>1262</v>
      </c>
    </row>
    <row r="229" spans="2:3" x14ac:dyDescent="0.25">
      <c r="B229">
        <v>1</v>
      </c>
      <c r="C229" t="s">
        <v>1262</v>
      </c>
    </row>
    <row r="230" spans="2:3" x14ac:dyDescent="0.25">
      <c r="B230">
        <v>0</v>
      </c>
      <c r="C230" t="s">
        <v>1262</v>
      </c>
    </row>
    <row r="231" spans="2:3" x14ac:dyDescent="0.25">
      <c r="B231">
        <v>0</v>
      </c>
      <c r="C231" t="s">
        <v>1262</v>
      </c>
    </row>
    <row r="232" spans="2:3" x14ac:dyDescent="0.25">
      <c r="B232">
        <v>1</v>
      </c>
      <c r="C232" t="s">
        <v>1262</v>
      </c>
    </row>
    <row r="233" spans="2:3" x14ac:dyDescent="0.25">
      <c r="B233">
        <v>0</v>
      </c>
      <c r="C233" t="s">
        <v>1262</v>
      </c>
    </row>
    <row r="234" spans="2:3" x14ac:dyDescent="0.25">
      <c r="B234">
        <v>0</v>
      </c>
      <c r="C234" t="s">
        <v>1262</v>
      </c>
    </row>
    <row r="235" spans="2:3" x14ac:dyDescent="0.25">
      <c r="B235">
        <v>0</v>
      </c>
      <c r="C235" t="s">
        <v>1262</v>
      </c>
    </row>
    <row r="236" spans="2:3" x14ac:dyDescent="0.25">
      <c r="B236">
        <v>1</v>
      </c>
      <c r="C236" t="s">
        <v>1262</v>
      </c>
    </row>
    <row r="237" spans="2:3" x14ac:dyDescent="0.25">
      <c r="B237">
        <v>0</v>
      </c>
      <c r="C237" t="s">
        <v>1262</v>
      </c>
    </row>
    <row r="238" spans="2:3" x14ac:dyDescent="0.25">
      <c r="B238">
        <v>0</v>
      </c>
      <c r="C238" t="s">
        <v>1262</v>
      </c>
    </row>
    <row r="239" spans="2:3" x14ac:dyDescent="0.25">
      <c r="B239">
        <v>0</v>
      </c>
      <c r="C239" t="s">
        <v>1262</v>
      </c>
    </row>
    <row r="240" spans="2:3" x14ac:dyDescent="0.25">
      <c r="B240">
        <v>0</v>
      </c>
      <c r="C240" t="s">
        <v>1262</v>
      </c>
    </row>
    <row r="241" spans="2:3" x14ac:dyDescent="0.25">
      <c r="B241">
        <v>0</v>
      </c>
      <c r="C241" t="s">
        <v>1262</v>
      </c>
    </row>
    <row r="242" spans="2:3" x14ac:dyDescent="0.25">
      <c r="B242">
        <v>0</v>
      </c>
      <c r="C242" t="s">
        <v>1262</v>
      </c>
    </row>
    <row r="243" spans="2:3" x14ac:dyDescent="0.25">
      <c r="B243">
        <v>0</v>
      </c>
      <c r="C243" t="s">
        <v>1262</v>
      </c>
    </row>
    <row r="244" spans="2:3" x14ac:dyDescent="0.25">
      <c r="B244">
        <v>1</v>
      </c>
      <c r="C244" t="s">
        <v>1262</v>
      </c>
    </row>
    <row r="245" spans="2:3" x14ac:dyDescent="0.25">
      <c r="B245">
        <v>0</v>
      </c>
      <c r="C245" t="s">
        <v>1262</v>
      </c>
    </row>
    <row r="246" spans="2:3" x14ac:dyDescent="0.25">
      <c r="B246">
        <v>0</v>
      </c>
      <c r="C246" t="s">
        <v>1262</v>
      </c>
    </row>
    <row r="247" spans="2:3" x14ac:dyDescent="0.25">
      <c r="B247">
        <v>1</v>
      </c>
      <c r="C247" t="s">
        <v>1262</v>
      </c>
    </row>
    <row r="248" spans="2:3" x14ac:dyDescent="0.25">
      <c r="B248">
        <v>1</v>
      </c>
      <c r="C248">
        <v>70</v>
      </c>
    </row>
    <row r="249" spans="2:3" x14ac:dyDescent="0.25">
      <c r="B249">
        <v>0</v>
      </c>
      <c r="C249" t="s">
        <v>1262</v>
      </c>
    </row>
    <row r="250" spans="2:3" x14ac:dyDescent="0.25">
      <c r="B250">
        <v>0</v>
      </c>
      <c r="C250" t="s">
        <v>1262</v>
      </c>
    </row>
    <row r="251" spans="2:3" x14ac:dyDescent="0.25">
      <c r="B251">
        <v>0</v>
      </c>
      <c r="C251" t="s">
        <v>1262</v>
      </c>
    </row>
    <row r="252" spans="2:3" x14ac:dyDescent="0.25">
      <c r="B252">
        <v>1</v>
      </c>
      <c r="C252">
        <v>68</v>
      </c>
    </row>
    <row r="253" spans="2:3" x14ac:dyDescent="0.25">
      <c r="B253">
        <v>0</v>
      </c>
      <c r="C253" t="s">
        <v>1262</v>
      </c>
    </row>
    <row r="254" spans="2:3" x14ac:dyDescent="0.25">
      <c r="B254">
        <v>0</v>
      </c>
      <c r="C254" t="s">
        <v>1262</v>
      </c>
    </row>
    <row r="255" spans="2:3" x14ac:dyDescent="0.25">
      <c r="B255">
        <v>0</v>
      </c>
      <c r="C255" t="s">
        <v>1262</v>
      </c>
    </row>
    <row r="256" spans="2:3" x14ac:dyDescent="0.25">
      <c r="B256">
        <v>0</v>
      </c>
      <c r="C256" t="s">
        <v>1262</v>
      </c>
    </row>
    <row r="257" spans="2:3" x14ac:dyDescent="0.25">
      <c r="B257">
        <v>0</v>
      </c>
      <c r="C257" t="s">
        <v>1262</v>
      </c>
    </row>
    <row r="258" spans="2:3" x14ac:dyDescent="0.25">
      <c r="B258">
        <v>0</v>
      </c>
      <c r="C258" t="s">
        <v>1262</v>
      </c>
    </row>
    <row r="259" spans="2:3" x14ac:dyDescent="0.25">
      <c r="B259">
        <v>0</v>
      </c>
      <c r="C259" t="s">
        <v>1262</v>
      </c>
    </row>
    <row r="260" spans="2:3" x14ac:dyDescent="0.25">
      <c r="B260">
        <v>0</v>
      </c>
      <c r="C260" t="s">
        <v>1262</v>
      </c>
    </row>
    <row r="261" spans="2:3" x14ac:dyDescent="0.25">
      <c r="B261">
        <v>0</v>
      </c>
      <c r="C261" t="s">
        <v>1262</v>
      </c>
    </row>
    <row r="262" spans="2:3" x14ac:dyDescent="0.25">
      <c r="B262">
        <v>0</v>
      </c>
      <c r="C262" t="s">
        <v>1262</v>
      </c>
    </row>
    <row r="263" spans="2:3" x14ac:dyDescent="0.25">
      <c r="B263">
        <v>0</v>
      </c>
      <c r="C263" t="s">
        <v>1262</v>
      </c>
    </row>
    <row r="264" spans="2:3" x14ac:dyDescent="0.25">
      <c r="B264">
        <v>0</v>
      </c>
      <c r="C264" t="s">
        <v>1262</v>
      </c>
    </row>
    <row r="265" spans="2:3" x14ac:dyDescent="0.25">
      <c r="B265">
        <v>0</v>
      </c>
      <c r="C265" t="s">
        <v>1262</v>
      </c>
    </row>
    <row r="266" spans="2:3" x14ac:dyDescent="0.25">
      <c r="B266">
        <v>0</v>
      </c>
      <c r="C266" t="s">
        <v>1262</v>
      </c>
    </row>
    <row r="267" spans="2:3" x14ac:dyDescent="0.25">
      <c r="B267">
        <v>1</v>
      </c>
      <c r="C267" t="s">
        <v>1262</v>
      </c>
    </row>
    <row r="268" spans="2:3" x14ac:dyDescent="0.25">
      <c r="B268">
        <v>0</v>
      </c>
      <c r="C268" t="s">
        <v>1262</v>
      </c>
    </row>
    <row r="269" spans="2:3" x14ac:dyDescent="0.25">
      <c r="B269">
        <v>0</v>
      </c>
      <c r="C269" t="s">
        <v>1262</v>
      </c>
    </row>
    <row r="270" spans="2:3" x14ac:dyDescent="0.25">
      <c r="B270">
        <v>0</v>
      </c>
      <c r="C270" t="s">
        <v>1262</v>
      </c>
    </row>
    <row r="271" spans="2:3" x14ac:dyDescent="0.25">
      <c r="B271">
        <v>0</v>
      </c>
      <c r="C271" t="s">
        <v>1262</v>
      </c>
    </row>
    <row r="272" spans="2:3" x14ac:dyDescent="0.25">
      <c r="B272">
        <v>0</v>
      </c>
      <c r="C272" t="s">
        <v>1262</v>
      </c>
    </row>
    <row r="273" spans="2:3" x14ac:dyDescent="0.25">
      <c r="B273">
        <v>0</v>
      </c>
      <c r="C273" t="s">
        <v>1262</v>
      </c>
    </row>
    <row r="274" spans="2:3" x14ac:dyDescent="0.25">
      <c r="B274">
        <v>0</v>
      </c>
      <c r="C274" t="s">
        <v>1262</v>
      </c>
    </row>
    <row r="275" spans="2:3" x14ac:dyDescent="0.25">
      <c r="B275">
        <v>0</v>
      </c>
      <c r="C275">
        <v>68</v>
      </c>
    </row>
    <row r="276" spans="2:3" x14ac:dyDescent="0.25">
      <c r="B276">
        <v>1</v>
      </c>
      <c r="C276" t="s">
        <v>1262</v>
      </c>
    </row>
    <row r="277" spans="2:3" x14ac:dyDescent="0.25">
      <c r="B277">
        <v>1</v>
      </c>
      <c r="C277">
        <v>34</v>
      </c>
    </row>
    <row r="278" spans="2:3" x14ac:dyDescent="0.25">
      <c r="B278">
        <v>0</v>
      </c>
      <c r="C278" t="s">
        <v>1262</v>
      </c>
    </row>
    <row r="279" spans="2:3" x14ac:dyDescent="0.25">
      <c r="B279">
        <v>1</v>
      </c>
      <c r="C279" t="s">
        <v>1262</v>
      </c>
    </row>
    <row r="280" spans="2:3" x14ac:dyDescent="0.25">
      <c r="B280">
        <v>0</v>
      </c>
      <c r="C280" t="s">
        <v>1262</v>
      </c>
    </row>
    <row r="281" spans="2:3" x14ac:dyDescent="0.25">
      <c r="B281">
        <v>0</v>
      </c>
      <c r="C281" t="s">
        <v>1262</v>
      </c>
    </row>
    <row r="282" spans="2:3" x14ac:dyDescent="0.25">
      <c r="B282">
        <v>0</v>
      </c>
      <c r="C282" t="s">
        <v>1262</v>
      </c>
    </row>
    <row r="283" spans="2:3" x14ac:dyDescent="0.25">
      <c r="B283">
        <v>1</v>
      </c>
      <c r="C283" t="s">
        <v>1262</v>
      </c>
    </row>
    <row r="284" spans="2:3" x14ac:dyDescent="0.25">
      <c r="B284">
        <v>0</v>
      </c>
      <c r="C284" t="s">
        <v>1262</v>
      </c>
    </row>
    <row r="285" spans="2:3" x14ac:dyDescent="0.25">
      <c r="B285">
        <v>1</v>
      </c>
      <c r="C285">
        <v>121</v>
      </c>
    </row>
    <row r="286" spans="2:3" x14ac:dyDescent="0.25">
      <c r="B286">
        <v>1</v>
      </c>
      <c r="C286">
        <v>40</v>
      </c>
    </row>
    <row r="287" spans="2:3" x14ac:dyDescent="0.25">
      <c r="B287">
        <v>1</v>
      </c>
      <c r="C287">
        <v>121</v>
      </c>
    </row>
    <row r="288" spans="2:3" x14ac:dyDescent="0.25">
      <c r="B288">
        <v>0</v>
      </c>
      <c r="C288" t="s">
        <v>1262</v>
      </c>
    </row>
    <row r="289" spans="2:3" x14ac:dyDescent="0.25">
      <c r="B289">
        <v>1</v>
      </c>
      <c r="C289" t="s">
        <v>1262</v>
      </c>
    </row>
    <row r="290" spans="2:3" x14ac:dyDescent="0.25">
      <c r="B290">
        <v>1</v>
      </c>
      <c r="C290" t="s">
        <v>1262</v>
      </c>
    </row>
    <row r="291" spans="2:3" x14ac:dyDescent="0.25">
      <c r="B291">
        <v>1</v>
      </c>
      <c r="C291" t="s">
        <v>1262</v>
      </c>
    </row>
    <row r="292" spans="2:3" x14ac:dyDescent="0.25">
      <c r="B292">
        <v>0</v>
      </c>
      <c r="C292" t="s">
        <v>1262</v>
      </c>
    </row>
    <row r="293" spans="2:3" x14ac:dyDescent="0.25">
      <c r="B293">
        <v>0</v>
      </c>
      <c r="C293" t="s">
        <v>1262</v>
      </c>
    </row>
    <row r="294" spans="2:3" x14ac:dyDescent="0.25">
      <c r="B294">
        <v>1</v>
      </c>
      <c r="C294" t="s">
        <v>1262</v>
      </c>
    </row>
    <row r="295" spans="2:3" x14ac:dyDescent="0.25">
      <c r="B295">
        <v>1</v>
      </c>
      <c r="C295">
        <v>101</v>
      </c>
    </row>
    <row r="296" spans="2:3" x14ac:dyDescent="0.25">
      <c r="B296">
        <v>0</v>
      </c>
      <c r="C296" t="s">
        <v>1262</v>
      </c>
    </row>
    <row r="297" spans="2:3" x14ac:dyDescent="0.25">
      <c r="B297">
        <v>0</v>
      </c>
      <c r="C297" t="s">
        <v>1262</v>
      </c>
    </row>
    <row r="298" spans="2:3" x14ac:dyDescent="0.25">
      <c r="B298">
        <v>0</v>
      </c>
      <c r="C298" t="s">
        <v>1262</v>
      </c>
    </row>
    <row r="299" spans="2:3" x14ac:dyDescent="0.25">
      <c r="B299">
        <v>0</v>
      </c>
      <c r="C299" t="s">
        <v>1262</v>
      </c>
    </row>
    <row r="300" spans="2:3" x14ac:dyDescent="0.25">
      <c r="B300">
        <v>1</v>
      </c>
      <c r="C300">
        <v>39</v>
      </c>
    </row>
    <row r="301" spans="2:3" x14ac:dyDescent="0.25">
      <c r="B301">
        <v>1</v>
      </c>
      <c r="C301">
        <v>41</v>
      </c>
    </row>
    <row r="302" spans="2:3" x14ac:dyDescent="0.25">
      <c r="B302">
        <v>0</v>
      </c>
      <c r="C302" t="s">
        <v>1262</v>
      </c>
    </row>
    <row r="303" spans="2:3" x14ac:dyDescent="0.25">
      <c r="B303">
        <v>0</v>
      </c>
      <c r="C303" t="s">
        <v>1262</v>
      </c>
    </row>
    <row r="304" spans="2:3" x14ac:dyDescent="0.25">
      <c r="B304">
        <v>0</v>
      </c>
      <c r="C304" t="s">
        <v>1262</v>
      </c>
    </row>
    <row r="305" spans="2:3" x14ac:dyDescent="0.25">
      <c r="B305">
        <v>1</v>
      </c>
      <c r="C305" t="s">
        <v>1262</v>
      </c>
    </row>
    <row r="306" spans="2:3" x14ac:dyDescent="0.25">
      <c r="B306">
        <v>1</v>
      </c>
      <c r="C306" t="s">
        <v>1262</v>
      </c>
    </row>
    <row r="307" spans="2:3" x14ac:dyDescent="0.25">
      <c r="B307">
        <v>0</v>
      </c>
      <c r="C307" t="s">
        <v>1262</v>
      </c>
    </row>
    <row r="308" spans="2:3" x14ac:dyDescent="0.25">
      <c r="B308">
        <v>0</v>
      </c>
      <c r="C308" t="s">
        <v>1262</v>
      </c>
    </row>
    <row r="309" spans="2:3" x14ac:dyDescent="0.25">
      <c r="B309">
        <v>0</v>
      </c>
      <c r="C309" t="s">
        <v>1262</v>
      </c>
    </row>
    <row r="310" spans="2:3" x14ac:dyDescent="0.25">
      <c r="B310">
        <v>0</v>
      </c>
      <c r="C310" t="s">
        <v>1262</v>
      </c>
    </row>
    <row r="311" spans="2:3" x14ac:dyDescent="0.25">
      <c r="B311">
        <v>0</v>
      </c>
      <c r="C311" t="s">
        <v>1262</v>
      </c>
    </row>
    <row r="312" spans="2:3" x14ac:dyDescent="0.25">
      <c r="B312">
        <v>0</v>
      </c>
      <c r="C312" t="s">
        <v>1262</v>
      </c>
    </row>
    <row r="313" spans="2:3" x14ac:dyDescent="0.25">
      <c r="B313">
        <v>0</v>
      </c>
      <c r="C313" t="s">
        <v>1262</v>
      </c>
    </row>
    <row r="314" spans="2:3" x14ac:dyDescent="0.25">
      <c r="B314">
        <v>0</v>
      </c>
      <c r="C314" t="s">
        <v>1262</v>
      </c>
    </row>
    <row r="315" spans="2:3" x14ac:dyDescent="0.25">
      <c r="B315">
        <v>1</v>
      </c>
      <c r="C315" t="s">
        <v>1262</v>
      </c>
    </row>
    <row r="316" spans="2:3" x14ac:dyDescent="0.25">
      <c r="B316">
        <v>1</v>
      </c>
      <c r="C316">
        <v>50</v>
      </c>
    </row>
    <row r="317" spans="2:3" x14ac:dyDescent="0.25">
      <c r="B317">
        <v>1</v>
      </c>
      <c r="C317" t="s">
        <v>1262</v>
      </c>
    </row>
    <row r="318" spans="2:3" x14ac:dyDescent="0.25">
      <c r="B318">
        <v>0</v>
      </c>
      <c r="C318" t="s">
        <v>1262</v>
      </c>
    </row>
    <row r="319" spans="2:3" x14ac:dyDescent="0.25">
      <c r="B319">
        <v>1</v>
      </c>
      <c r="C319">
        <v>26</v>
      </c>
    </row>
    <row r="320" spans="2:3" x14ac:dyDescent="0.25">
      <c r="B320">
        <v>0</v>
      </c>
      <c r="C320" t="s">
        <v>1262</v>
      </c>
    </row>
    <row r="321" spans="2:3" x14ac:dyDescent="0.25">
      <c r="B321">
        <v>0</v>
      </c>
      <c r="C321" t="s">
        <v>1262</v>
      </c>
    </row>
    <row r="322" spans="2:3" x14ac:dyDescent="0.25">
      <c r="B322">
        <v>0</v>
      </c>
      <c r="C322" t="s">
        <v>1262</v>
      </c>
    </row>
    <row r="323" spans="2:3" x14ac:dyDescent="0.25">
      <c r="B323">
        <v>1</v>
      </c>
      <c r="C323" t="s">
        <v>1262</v>
      </c>
    </row>
    <row r="324" spans="2:3" x14ac:dyDescent="0.25">
      <c r="B324">
        <v>0</v>
      </c>
      <c r="C324" t="s">
        <v>1262</v>
      </c>
    </row>
    <row r="325" spans="2:3" x14ac:dyDescent="0.25">
      <c r="B325">
        <v>0</v>
      </c>
      <c r="C325" t="s">
        <v>1262</v>
      </c>
    </row>
    <row r="326" spans="2:3" x14ac:dyDescent="0.25">
      <c r="B326">
        <v>0</v>
      </c>
      <c r="C326" t="s">
        <v>1262</v>
      </c>
    </row>
    <row r="327" spans="2:3" x14ac:dyDescent="0.25">
      <c r="B327">
        <v>0</v>
      </c>
      <c r="C327" t="s">
        <v>1262</v>
      </c>
    </row>
    <row r="328" spans="2:3" x14ac:dyDescent="0.25">
      <c r="B328">
        <v>0</v>
      </c>
      <c r="C328" t="s">
        <v>1262</v>
      </c>
    </row>
    <row r="329" spans="2:3" x14ac:dyDescent="0.25">
      <c r="B329">
        <v>0</v>
      </c>
      <c r="C329" t="s">
        <v>1262</v>
      </c>
    </row>
    <row r="330" spans="2:3" x14ac:dyDescent="0.25">
      <c r="B330">
        <v>0</v>
      </c>
      <c r="C330">
        <v>10</v>
      </c>
    </row>
    <row r="331" spans="2:3" x14ac:dyDescent="0.25">
      <c r="B331">
        <v>0</v>
      </c>
      <c r="C331" t="s">
        <v>1262</v>
      </c>
    </row>
    <row r="332" spans="2:3" x14ac:dyDescent="0.25">
      <c r="B332">
        <v>0</v>
      </c>
      <c r="C332" t="s">
        <v>1262</v>
      </c>
    </row>
    <row r="333" spans="2:3" x14ac:dyDescent="0.25">
      <c r="B333">
        <v>1</v>
      </c>
      <c r="C333" t="s">
        <v>1262</v>
      </c>
    </row>
    <row r="334" spans="2:3" x14ac:dyDescent="0.25">
      <c r="B334">
        <v>1</v>
      </c>
      <c r="C334" t="s">
        <v>1262</v>
      </c>
    </row>
    <row r="335" spans="2:3" x14ac:dyDescent="0.25">
      <c r="B335">
        <v>0</v>
      </c>
      <c r="C335" t="s">
        <v>1262</v>
      </c>
    </row>
    <row r="336" spans="2:3" x14ac:dyDescent="0.25">
      <c r="B336">
        <v>0</v>
      </c>
      <c r="C336" t="s">
        <v>1262</v>
      </c>
    </row>
    <row r="337" spans="2:3" x14ac:dyDescent="0.25">
      <c r="B337">
        <v>0</v>
      </c>
      <c r="C337" t="s">
        <v>1262</v>
      </c>
    </row>
    <row r="338" spans="2:3" x14ac:dyDescent="0.25">
      <c r="B338">
        <v>1</v>
      </c>
      <c r="C338" t="s">
        <v>1262</v>
      </c>
    </row>
    <row r="339" spans="2:3" x14ac:dyDescent="0.25">
      <c r="B339">
        <v>1</v>
      </c>
      <c r="C339">
        <v>49</v>
      </c>
    </row>
    <row r="340" spans="2:3" x14ac:dyDescent="0.25">
      <c r="B340">
        <v>0</v>
      </c>
      <c r="C340" t="s">
        <v>1262</v>
      </c>
    </row>
    <row r="341" spans="2:3" x14ac:dyDescent="0.25">
      <c r="B341">
        <v>0</v>
      </c>
      <c r="C341" t="s">
        <v>1262</v>
      </c>
    </row>
    <row r="342" spans="2:3" x14ac:dyDescent="0.25">
      <c r="B342">
        <v>0</v>
      </c>
      <c r="C342" t="s">
        <v>1262</v>
      </c>
    </row>
    <row r="343" spans="2:3" x14ac:dyDescent="0.25">
      <c r="B343">
        <v>0</v>
      </c>
      <c r="C343" t="s">
        <v>1262</v>
      </c>
    </row>
    <row r="344" spans="2:3" x14ac:dyDescent="0.25">
      <c r="B344">
        <v>1</v>
      </c>
      <c r="C344">
        <v>49</v>
      </c>
    </row>
    <row r="345" spans="2:3" x14ac:dyDescent="0.25">
      <c r="B345">
        <v>0</v>
      </c>
      <c r="C345" t="s">
        <v>1262</v>
      </c>
    </row>
    <row r="346" spans="2:3" x14ac:dyDescent="0.25">
      <c r="B346">
        <v>1</v>
      </c>
      <c r="C346">
        <v>15</v>
      </c>
    </row>
    <row r="347" spans="2:3" x14ac:dyDescent="0.25">
      <c r="B347">
        <v>0</v>
      </c>
      <c r="C347" t="s">
        <v>1262</v>
      </c>
    </row>
    <row r="348" spans="2:3" x14ac:dyDescent="0.25">
      <c r="B348">
        <v>0</v>
      </c>
      <c r="C348" t="s">
        <v>1262</v>
      </c>
    </row>
    <row r="349" spans="2:3" x14ac:dyDescent="0.25">
      <c r="B349">
        <v>0</v>
      </c>
      <c r="C349" t="s">
        <v>1262</v>
      </c>
    </row>
    <row r="350" spans="2:3" x14ac:dyDescent="0.25">
      <c r="B350">
        <v>0</v>
      </c>
      <c r="C350" t="s">
        <v>1262</v>
      </c>
    </row>
    <row r="351" spans="2:3" x14ac:dyDescent="0.25">
      <c r="B351">
        <v>0</v>
      </c>
      <c r="C351" t="s">
        <v>1262</v>
      </c>
    </row>
    <row r="352" spans="2:3" x14ac:dyDescent="0.25">
      <c r="B352">
        <v>0</v>
      </c>
      <c r="C352" t="s">
        <v>1262</v>
      </c>
    </row>
    <row r="353" spans="2:3" x14ac:dyDescent="0.25">
      <c r="B353">
        <v>0</v>
      </c>
      <c r="C353" t="s">
        <v>1262</v>
      </c>
    </row>
    <row r="354" spans="2:3" x14ac:dyDescent="0.25">
      <c r="B354">
        <v>0</v>
      </c>
      <c r="C354" t="s">
        <v>1262</v>
      </c>
    </row>
    <row r="355" spans="2:3" x14ac:dyDescent="0.25">
      <c r="B355">
        <v>0</v>
      </c>
      <c r="C355" t="s">
        <v>1262</v>
      </c>
    </row>
    <row r="356" spans="2:3" x14ac:dyDescent="0.25">
      <c r="B356">
        <v>0</v>
      </c>
      <c r="C356" t="s">
        <v>1262</v>
      </c>
    </row>
    <row r="357" spans="2:3" x14ac:dyDescent="0.25">
      <c r="B357">
        <v>0</v>
      </c>
      <c r="C357" t="s">
        <v>1262</v>
      </c>
    </row>
    <row r="358" spans="2:3" x14ac:dyDescent="0.25">
      <c r="B358">
        <v>0</v>
      </c>
      <c r="C358" t="s">
        <v>1262</v>
      </c>
    </row>
    <row r="359" spans="2:3" x14ac:dyDescent="0.25">
      <c r="B359">
        <v>0</v>
      </c>
      <c r="C359" t="s">
        <v>1262</v>
      </c>
    </row>
    <row r="360" spans="2:3" x14ac:dyDescent="0.25">
      <c r="B360">
        <v>1</v>
      </c>
      <c r="C360" t="s">
        <v>1262</v>
      </c>
    </row>
    <row r="361" spans="2:3" x14ac:dyDescent="0.25">
      <c r="B361">
        <v>0</v>
      </c>
      <c r="C361" t="s">
        <v>1262</v>
      </c>
    </row>
    <row r="362" spans="2:3" x14ac:dyDescent="0.25">
      <c r="B362">
        <v>0</v>
      </c>
      <c r="C362" t="s">
        <v>1262</v>
      </c>
    </row>
    <row r="363" spans="2:3" x14ac:dyDescent="0.25">
      <c r="B363">
        <v>0</v>
      </c>
      <c r="C363" t="s">
        <v>1262</v>
      </c>
    </row>
    <row r="364" spans="2:3" x14ac:dyDescent="0.25">
      <c r="B364">
        <v>0</v>
      </c>
      <c r="C364" t="s">
        <v>1262</v>
      </c>
    </row>
    <row r="365" spans="2:3" x14ac:dyDescent="0.25">
      <c r="B365">
        <v>0</v>
      </c>
      <c r="C365" t="s">
        <v>1262</v>
      </c>
    </row>
    <row r="366" spans="2:3" x14ac:dyDescent="0.25">
      <c r="B366">
        <v>0</v>
      </c>
      <c r="C366" t="s">
        <v>1262</v>
      </c>
    </row>
    <row r="367" spans="2:3" x14ac:dyDescent="0.25">
      <c r="B367">
        <v>0</v>
      </c>
      <c r="C367" t="s">
        <v>1262</v>
      </c>
    </row>
    <row r="368" spans="2:3" x14ac:dyDescent="0.25">
      <c r="B368">
        <v>0</v>
      </c>
      <c r="C368" t="s">
        <v>1262</v>
      </c>
    </row>
    <row r="369" spans="2:3" x14ac:dyDescent="0.25">
      <c r="B369">
        <v>0</v>
      </c>
      <c r="C369" t="s">
        <v>1262</v>
      </c>
    </row>
    <row r="370" spans="2:3" x14ac:dyDescent="0.25">
      <c r="B370">
        <v>0</v>
      </c>
      <c r="C370" t="s">
        <v>1262</v>
      </c>
    </row>
    <row r="371" spans="2:3" x14ac:dyDescent="0.25">
      <c r="B371">
        <v>0</v>
      </c>
      <c r="C371" t="s">
        <v>1262</v>
      </c>
    </row>
    <row r="372" spans="2:3" x14ac:dyDescent="0.25">
      <c r="B372">
        <v>0</v>
      </c>
      <c r="C372" t="s">
        <v>1262</v>
      </c>
    </row>
    <row r="373" spans="2:3" x14ac:dyDescent="0.25">
      <c r="B373">
        <v>0</v>
      </c>
      <c r="C373" t="s">
        <v>1262</v>
      </c>
    </row>
    <row r="374" spans="2:3" x14ac:dyDescent="0.25">
      <c r="B374">
        <v>0</v>
      </c>
      <c r="C374" t="s">
        <v>1262</v>
      </c>
    </row>
    <row r="375" spans="2:3" x14ac:dyDescent="0.25">
      <c r="B375">
        <v>0</v>
      </c>
      <c r="C375" t="s">
        <v>1262</v>
      </c>
    </row>
    <row r="376" spans="2:3" x14ac:dyDescent="0.25">
      <c r="B376">
        <v>0</v>
      </c>
      <c r="C376" t="s">
        <v>1262</v>
      </c>
    </row>
    <row r="377" spans="2:3" x14ac:dyDescent="0.25">
      <c r="B377">
        <v>0</v>
      </c>
      <c r="C377" t="s">
        <v>1262</v>
      </c>
    </row>
    <row r="378" spans="2:3" x14ac:dyDescent="0.25">
      <c r="B378">
        <v>0</v>
      </c>
      <c r="C378" t="s">
        <v>1262</v>
      </c>
    </row>
    <row r="379" spans="2:3" x14ac:dyDescent="0.25">
      <c r="B379">
        <v>0</v>
      </c>
      <c r="C379" t="s">
        <v>1262</v>
      </c>
    </row>
    <row r="380" spans="2:3" x14ac:dyDescent="0.25">
      <c r="B380">
        <v>0</v>
      </c>
      <c r="C380" t="s">
        <v>1262</v>
      </c>
    </row>
    <row r="381" spans="2:3" x14ac:dyDescent="0.25">
      <c r="B381">
        <v>0</v>
      </c>
      <c r="C381" t="s">
        <v>1262</v>
      </c>
    </row>
    <row r="382" spans="2:3" x14ac:dyDescent="0.25">
      <c r="B382">
        <v>0</v>
      </c>
      <c r="C382" t="s">
        <v>1262</v>
      </c>
    </row>
    <row r="383" spans="2:3" x14ac:dyDescent="0.25">
      <c r="B383">
        <v>0</v>
      </c>
      <c r="C383" t="s">
        <v>1262</v>
      </c>
    </row>
    <row r="384" spans="2:3" x14ac:dyDescent="0.25">
      <c r="B384">
        <v>0</v>
      </c>
      <c r="C384" t="s">
        <v>1262</v>
      </c>
    </row>
    <row r="385" spans="2:3" x14ac:dyDescent="0.25">
      <c r="B385">
        <v>0</v>
      </c>
      <c r="C385" t="s">
        <v>1262</v>
      </c>
    </row>
    <row r="386" spans="2:3" x14ac:dyDescent="0.25">
      <c r="B386">
        <v>0</v>
      </c>
      <c r="C386" t="s">
        <v>1262</v>
      </c>
    </row>
    <row r="387" spans="2:3" x14ac:dyDescent="0.25">
      <c r="B387">
        <v>0</v>
      </c>
      <c r="C387" t="s">
        <v>1262</v>
      </c>
    </row>
    <row r="388" spans="2:3" x14ac:dyDescent="0.25">
      <c r="B388">
        <v>0</v>
      </c>
      <c r="C388" t="s">
        <v>1262</v>
      </c>
    </row>
    <row r="389" spans="2:3" x14ac:dyDescent="0.25">
      <c r="B389">
        <v>0</v>
      </c>
      <c r="C389" t="s">
        <v>1262</v>
      </c>
    </row>
    <row r="390" spans="2:3" x14ac:dyDescent="0.25">
      <c r="B390">
        <v>0</v>
      </c>
      <c r="C390" t="s">
        <v>1262</v>
      </c>
    </row>
    <row r="391" spans="2:3" x14ac:dyDescent="0.25">
      <c r="B391">
        <v>0</v>
      </c>
      <c r="C391" t="s">
        <v>1262</v>
      </c>
    </row>
    <row r="392" spans="2:3" x14ac:dyDescent="0.25">
      <c r="B392">
        <v>0</v>
      </c>
      <c r="C392" t="e">
        <v>#VALUE!</v>
      </c>
    </row>
    <row r="393" spans="2:3" x14ac:dyDescent="0.25">
      <c r="B393">
        <v>0</v>
      </c>
      <c r="C393" t="e">
        <v>#VALUE!</v>
      </c>
    </row>
    <row r="394" spans="2:3" x14ac:dyDescent="0.25">
      <c r="B394">
        <v>0</v>
      </c>
      <c r="C394" t="e">
        <v>#VALUE!</v>
      </c>
    </row>
    <row r="395" spans="2:3" x14ac:dyDescent="0.25">
      <c r="B395">
        <v>0</v>
      </c>
      <c r="C395" t="s">
        <v>1262</v>
      </c>
    </row>
    <row r="396" spans="2:3" x14ac:dyDescent="0.25">
      <c r="B396">
        <v>1</v>
      </c>
      <c r="C396" t="s">
        <v>1262</v>
      </c>
    </row>
    <row r="397" spans="2:3" x14ac:dyDescent="0.25">
      <c r="B397">
        <v>1</v>
      </c>
      <c r="C397" t="s">
        <v>1262</v>
      </c>
    </row>
    <row r="398" spans="2:3" x14ac:dyDescent="0.25">
      <c r="B398">
        <v>1</v>
      </c>
      <c r="C398" t="s">
        <v>1262</v>
      </c>
    </row>
    <row r="399" spans="2:3" x14ac:dyDescent="0.25">
      <c r="B399">
        <v>1</v>
      </c>
      <c r="C399" t="s">
        <v>1262</v>
      </c>
    </row>
    <row r="400" spans="2:3" x14ac:dyDescent="0.25">
      <c r="B400">
        <v>0</v>
      </c>
      <c r="C400" t="s">
        <v>1262</v>
      </c>
    </row>
    <row r="401" spans="2:3" x14ac:dyDescent="0.25">
      <c r="B401">
        <v>0</v>
      </c>
      <c r="C401" t="s">
        <v>1262</v>
      </c>
    </row>
    <row r="402" spans="2:3" x14ac:dyDescent="0.25">
      <c r="B402">
        <v>1</v>
      </c>
      <c r="C402">
        <v>47</v>
      </c>
    </row>
    <row r="403" spans="2:3" x14ac:dyDescent="0.25">
      <c r="B403">
        <v>0</v>
      </c>
      <c r="C403" t="s">
        <v>1262</v>
      </c>
    </row>
    <row r="404" spans="2:3" x14ac:dyDescent="0.25">
      <c r="B404">
        <v>1</v>
      </c>
      <c r="C404" t="s">
        <v>1262</v>
      </c>
    </row>
    <row r="405" spans="2:3" x14ac:dyDescent="0.25">
      <c r="B405">
        <v>0</v>
      </c>
      <c r="C405" t="s">
        <v>1262</v>
      </c>
    </row>
    <row r="406" spans="2:3" x14ac:dyDescent="0.25">
      <c r="B406">
        <v>0</v>
      </c>
      <c r="C406" t="s">
        <v>1262</v>
      </c>
    </row>
    <row r="407" spans="2:3" x14ac:dyDescent="0.25">
      <c r="B407">
        <v>0</v>
      </c>
      <c r="C407" t="s">
        <v>1262</v>
      </c>
    </row>
    <row r="408" spans="2:3" x14ac:dyDescent="0.25">
      <c r="B408">
        <v>0</v>
      </c>
      <c r="C408" t="s">
        <v>1262</v>
      </c>
    </row>
    <row r="409" spans="2:3" x14ac:dyDescent="0.25">
      <c r="B409">
        <v>0</v>
      </c>
      <c r="C409" t="s">
        <v>1262</v>
      </c>
    </row>
    <row r="410" spans="2:3" x14ac:dyDescent="0.25">
      <c r="B410">
        <v>0</v>
      </c>
      <c r="C410" t="s">
        <v>1262</v>
      </c>
    </row>
    <row r="411" spans="2:3" x14ac:dyDescent="0.25">
      <c r="B411">
        <v>0</v>
      </c>
      <c r="C411" t="s">
        <v>1262</v>
      </c>
    </row>
    <row r="412" spans="2:3" x14ac:dyDescent="0.25">
      <c r="B412">
        <v>1</v>
      </c>
      <c r="C412" t="s">
        <v>1262</v>
      </c>
    </row>
    <row r="413" spans="2:3" x14ac:dyDescent="0.25">
      <c r="B413">
        <v>1</v>
      </c>
      <c r="C413" t="s">
        <v>1262</v>
      </c>
    </row>
    <row r="414" spans="2:3" x14ac:dyDescent="0.25">
      <c r="B414">
        <v>0</v>
      </c>
      <c r="C414" t="s">
        <v>1262</v>
      </c>
    </row>
    <row r="415" spans="2:3" x14ac:dyDescent="0.25">
      <c r="B415">
        <v>0</v>
      </c>
      <c r="C415" t="s">
        <v>1262</v>
      </c>
    </row>
    <row r="416" spans="2:3" x14ac:dyDescent="0.25">
      <c r="B416">
        <v>0</v>
      </c>
      <c r="C416" t="s">
        <v>1262</v>
      </c>
    </row>
    <row r="417" spans="2:3" x14ac:dyDescent="0.25">
      <c r="B417">
        <v>1</v>
      </c>
      <c r="C417" t="s">
        <v>1262</v>
      </c>
    </row>
    <row r="418" spans="2:3" x14ac:dyDescent="0.25">
      <c r="B418">
        <v>0</v>
      </c>
      <c r="C418" t="s">
        <v>1262</v>
      </c>
    </row>
    <row r="419" spans="2:3" x14ac:dyDescent="0.25">
      <c r="B419">
        <v>0</v>
      </c>
      <c r="C419" t="s">
        <v>1262</v>
      </c>
    </row>
    <row r="420" spans="2:3" x14ac:dyDescent="0.25">
      <c r="B420">
        <v>0</v>
      </c>
      <c r="C420" t="s">
        <v>1262</v>
      </c>
    </row>
    <row r="421" spans="2:3" x14ac:dyDescent="0.25">
      <c r="B421">
        <v>0</v>
      </c>
      <c r="C421" t="s">
        <v>1262</v>
      </c>
    </row>
    <row r="422" spans="2:3" x14ac:dyDescent="0.25">
      <c r="B422">
        <v>1</v>
      </c>
      <c r="C422" t="s">
        <v>1262</v>
      </c>
    </row>
    <row r="423" spans="2:3" x14ac:dyDescent="0.25">
      <c r="B423">
        <v>0</v>
      </c>
      <c r="C423">
        <v>37</v>
      </c>
    </row>
    <row r="424" spans="2:3" x14ac:dyDescent="0.25">
      <c r="B424">
        <v>0</v>
      </c>
      <c r="C424" t="s">
        <v>1262</v>
      </c>
    </row>
    <row r="425" spans="2:3" x14ac:dyDescent="0.25">
      <c r="B425">
        <v>0</v>
      </c>
      <c r="C425" t="s">
        <v>1262</v>
      </c>
    </row>
    <row r="426" spans="2:3" x14ac:dyDescent="0.25">
      <c r="B426">
        <v>1</v>
      </c>
      <c r="C426" t="s">
        <v>1262</v>
      </c>
    </row>
    <row r="427" spans="2:3" x14ac:dyDescent="0.25">
      <c r="B427">
        <v>0</v>
      </c>
      <c r="C427" t="s">
        <v>1262</v>
      </c>
    </row>
    <row r="428" spans="2:3" x14ac:dyDescent="0.25">
      <c r="B428">
        <v>1</v>
      </c>
      <c r="C428" t="s">
        <v>1262</v>
      </c>
    </row>
    <row r="429" spans="2:3" x14ac:dyDescent="0.25">
      <c r="B429">
        <v>0</v>
      </c>
      <c r="C429" t="s">
        <v>1262</v>
      </c>
    </row>
    <row r="430" spans="2:3" x14ac:dyDescent="0.25">
      <c r="B430">
        <v>1</v>
      </c>
      <c r="C430" t="s">
        <v>1262</v>
      </c>
    </row>
    <row r="431" spans="2:3" x14ac:dyDescent="0.25">
      <c r="B431">
        <v>1</v>
      </c>
      <c r="C431" t="s">
        <v>1262</v>
      </c>
    </row>
    <row r="432" spans="2:3" x14ac:dyDescent="0.25">
      <c r="B432">
        <v>0</v>
      </c>
      <c r="C432" t="s">
        <v>1262</v>
      </c>
    </row>
    <row r="433" spans="2:3" x14ac:dyDescent="0.25">
      <c r="B433">
        <v>0</v>
      </c>
      <c r="C433" t="s">
        <v>1262</v>
      </c>
    </row>
    <row r="434" spans="2:3" x14ac:dyDescent="0.25">
      <c r="B434">
        <v>0</v>
      </c>
      <c r="C434" t="s">
        <v>1262</v>
      </c>
    </row>
    <row r="435" spans="2:3" x14ac:dyDescent="0.25">
      <c r="B435">
        <v>1</v>
      </c>
      <c r="C435">
        <v>54</v>
      </c>
    </row>
    <row r="436" spans="2:3" x14ac:dyDescent="0.25">
      <c r="B436">
        <v>0</v>
      </c>
      <c r="C436" t="s">
        <v>1262</v>
      </c>
    </row>
    <row r="437" spans="2:3" x14ac:dyDescent="0.25">
      <c r="B437">
        <v>1</v>
      </c>
      <c r="C437">
        <v>50</v>
      </c>
    </row>
    <row r="438" spans="2:3" x14ac:dyDescent="0.25">
      <c r="B438">
        <v>0</v>
      </c>
      <c r="C438" t="s">
        <v>1262</v>
      </c>
    </row>
    <row r="439" spans="2:3" x14ac:dyDescent="0.25">
      <c r="B439">
        <v>0</v>
      </c>
      <c r="C439" t="s">
        <v>1262</v>
      </c>
    </row>
    <row r="440" spans="2:3" x14ac:dyDescent="0.25">
      <c r="B440">
        <v>0</v>
      </c>
      <c r="C440" t="s">
        <v>1262</v>
      </c>
    </row>
    <row r="441" spans="2:3" x14ac:dyDescent="0.25">
      <c r="B441">
        <v>0</v>
      </c>
      <c r="C441" t="s">
        <v>1262</v>
      </c>
    </row>
    <row r="442" spans="2:3" x14ac:dyDescent="0.25">
      <c r="B442">
        <v>0</v>
      </c>
      <c r="C442" t="s">
        <v>1262</v>
      </c>
    </row>
    <row r="443" spans="2:3" x14ac:dyDescent="0.25">
      <c r="B443">
        <v>0</v>
      </c>
      <c r="C443" t="s">
        <v>1262</v>
      </c>
    </row>
    <row r="444" spans="2:3" x14ac:dyDescent="0.25">
      <c r="B444">
        <v>0</v>
      </c>
      <c r="C444" t="s">
        <v>1262</v>
      </c>
    </row>
    <row r="445" spans="2:3" x14ac:dyDescent="0.25">
      <c r="B445">
        <v>0</v>
      </c>
      <c r="C445" t="s">
        <v>1262</v>
      </c>
    </row>
    <row r="446" spans="2:3" x14ac:dyDescent="0.25">
      <c r="B446">
        <v>1</v>
      </c>
      <c r="C446">
        <v>50</v>
      </c>
    </row>
    <row r="447" spans="2:3" x14ac:dyDescent="0.25">
      <c r="B447">
        <v>0</v>
      </c>
      <c r="C447" t="s">
        <v>1262</v>
      </c>
    </row>
    <row r="448" spans="2:3" x14ac:dyDescent="0.25">
      <c r="B448">
        <v>0</v>
      </c>
      <c r="C448" t="s">
        <v>1262</v>
      </c>
    </row>
    <row r="449" spans="2:3" x14ac:dyDescent="0.25">
      <c r="B449">
        <v>0</v>
      </c>
      <c r="C449" t="s">
        <v>1262</v>
      </c>
    </row>
    <row r="450" spans="2:3" x14ac:dyDescent="0.25">
      <c r="B450">
        <v>0</v>
      </c>
      <c r="C450" t="s">
        <v>1262</v>
      </c>
    </row>
    <row r="451" spans="2:3" x14ac:dyDescent="0.25">
      <c r="B451">
        <v>0</v>
      </c>
      <c r="C451" t="s">
        <v>1262</v>
      </c>
    </row>
    <row r="452" spans="2:3" x14ac:dyDescent="0.25">
      <c r="B452">
        <v>1</v>
      </c>
      <c r="C452" t="s">
        <v>1262</v>
      </c>
    </row>
    <row r="453" spans="2:3" x14ac:dyDescent="0.25">
      <c r="B453">
        <v>0</v>
      </c>
      <c r="C453" t="s">
        <v>1262</v>
      </c>
    </row>
    <row r="454" spans="2:3" x14ac:dyDescent="0.25">
      <c r="B454">
        <v>0</v>
      </c>
      <c r="C454" t="s">
        <v>1262</v>
      </c>
    </row>
    <row r="455" spans="2:3" x14ac:dyDescent="0.25">
      <c r="B455">
        <v>1</v>
      </c>
      <c r="C455" t="s">
        <v>1262</v>
      </c>
    </row>
    <row r="456" spans="2:3" x14ac:dyDescent="0.25">
      <c r="B456">
        <v>0</v>
      </c>
      <c r="C456" t="s">
        <v>1262</v>
      </c>
    </row>
    <row r="457" spans="2:3" x14ac:dyDescent="0.25">
      <c r="B457">
        <v>0</v>
      </c>
      <c r="C457" t="s">
        <v>1262</v>
      </c>
    </row>
    <row r="458" spans="2:3" x14ac:dyDescent="0.25">
      <c r="B458">
        <v>0</v>
      </c>
      <c r="C458" t="s">
        <v>1262</v>
      </c>
    </row>
    <row r="459" spans="2:3" x14ac:dyDescent="0.25">
      <c r="B459">
        <v>0</v>
      </c>
      <c r="C459" t="s">
        <v>1262</v>
      </c>
    </row>
    <row r="460" spans="2:3" x14ac:dyDescent="0.25">
      <c r="B460">
        <v>0</v>
      </c>
      <c r="C460" t="s">
        <v>1262</v>
      </c>
    </row>
    <row r="461" spans="2:3" x14ac:dyDescent="0.25">
      <c r="B461">
        <v>0</v>
      </c>
      <c r="C461" t="s">
        <v>1262</v>
      </c>
    </row>
    <row r="462" spans="2:3" x14ac:dyDescent="0.25">
      <c r="B462">
        <v>0</v>
      </c>
      <c r="C462" t="s">
        <v>1262</v>
      </c>
    </row>
    <row r="463" spans="2:3" x14ac:dyDescent="0.25">
      <c r="B463">
        <v>0</v>
      </c>
      <c r="C463" t="s">
        <v>1262</v>
      </c>
    </row>
    <row r="464" spans="2:3" x14ac:dyDescent="0.25">
      <c r="B464">
        <v>0</v>
      </c>
      <c r="C464" t="s">
        <v>1262</v>
      </c>
    </row>
    <row r="465" spans="2:3" x14ac:dyDescent="0.25">
      <c r="B465">
        <v>1</v>
      </c>
      <c r="C465">
        <v>16</v>
      </c>
    </row>
    <row r="466" spans="2:3" x14ac:dyDescent="0.25">
      <c r="B466">
        <v>0</v>
      </c>
      <c r="C466" t="s">
        <v>1262</v>
      </c>
    </row>
    <row r="467" spans="2:3" x14ac:dyDescent="0.25">
      <c r="B467">
        <v>1</v>
      </c>
      <c r="C467" t="s">
        <v>1262</v>
      </c>
    </row>
    <row r="468" spans="2:3" x14ac:dyDescent="0.25">
      <c r="B468">
        <v>0</v>
      </c>
      <c r="C468" t="s">
        <v>1262</v>
      </c>
    </row>
    <row r="469" spans="2:3" x14ac:dyDescent="0.25">
      <c r="B469">
        <v>0</v>
      </c>
      <c r="C469" t="s">
        <v>1262</v>
      </c>
    </row>
    <row r="470" spans="2:3" x14ac:dyDescent="0.25">
      <c r="B470">
        <v>0</v>
      </c>
      <c r="C470" t="s">
        <v>1262</v>
      </c>
    </row>
    <row r="471" spans="2:3" x14ac:dyDescent="0.25">
      <c r="B471">
        <v>0</v>
      </c>
      <c r="C471" t="s">
        <v>1262</v>
      </c>
    </row>
    <row r="472" spans="2:3" x14ac:dyDescent="0.25">
      <c r="B472">
        <v>0</v>
      </c>
      <c r="C472" t="s">
        <v>1262</v>
      </c>
    </row>
    <row r="473" spans="2:3" x14ac:dyDescent="0.25">
      <c r="B473">
        <v>0</v>
      </c>
      <c r="C473" t="s">
        <v>1262</v>
      </c>
    </row>
    <row r="474" spans="2:3" x14ac:dyDescent="0.25">
      <c r="B474">
        <v>1</v>
      </c>
      <c r="C474" t="s">
        <v>1262</v>
      </c>
    </row>
    <row r="475" spans="2:3" x14ac:dyDescent="0.25">
      <c r="B475">
        <v>1</v>
      </c>
      <c r="C475" t="s">
        <v>1262</v>
      </c>
    </row>
    <row r="476" spans="2:3" x14ac:dyDescent="0.25">
      <c r="B476">
        <v>0</v>
      </c>
      <c r="C476" t="s">
        <v>1262</v>
      </c>
    </row>
    <row r="477" spans="2:3" x14ac:dyDescent="0.25">
      <c r="B477">
        <v>0</v>
      </c>
      <c r="C477" t="s">
        <v>1262</v>
      </c>
    </row>
    <row r="478" spans="2:3" x14ac:dyDescent="0.25">
      <c r="B478">
        <v>0</v>
      </c>
      <c r="C478" t="s">
        <v>1262</v>
      </c>
    </row>
    <row r="479" spans="2:3" x14ac:dyDescent="0.25">
      <c r="B479">
        <v>0</v>
      </c>
      <c r="C479" t="s">
        <v>1262</v>
      </c>
    </row>
    <row r="480" spans="2:3" x14ac:dyDescent="0.25">
      <c r="B480">
        <v>0</v>
      </c>
      <c r="C480" t="s">
        <v>1262</v>
      </c>
    </row>
    <row r="481" spans="2:3" x14ac:dyDescent="0.25">
      <c r="B481">
        <v>0</v>
      </c>
      <c r="C481" t="s">
        <v>1262</v>
      </c>
    </row>
    <row r="482" spans="2:3" x14ac:dyDescent="0.25">
      <c r="B482">
        <v>0</v>
      </c>
      <c r="C482" t="s">
        <v>1262</v>
      </c>
    </row>
    <row r="483" spans="2:3" x14ac:dyDescent="0.25">
      <c r="B483">
        <v>1</v>
      </c>
      <c r="C483" t="s">
        <v>1262</v>
      </c>
    </row>
    <row r="484" spans="2:3" x14ac:dyDescent="0.25">
      <c r="B484">
        <v>0</v>
      </c>
      <c r="C484" t="s">
        <v>1262</v>
      </c>
    </row>
    <row r="485" spans="2:3" x14ac:dyDescent="0.25">
      <c r="B485">
        <v>1</v>
      </c>
      <c r="C485" t="s">
        <v>1262</v>
      </c>
    </row>
    <row r="486" spans="2:3" x14ac:dyDescent="0.25">
      <c r="B486">
        <v>1</v>
      </c>
      <c r="C486" t="s">
        <v>1262</v>
      </c>
    </row>
    <row r="487" spans="2:3" x14ac:dyDescent="0.25">
      <c r="B487">
        <v>0</v>
      </c>
      <c r="C487" t="s">
        <v>1262</v>
      </c>
    </row>
    <row r="488" spans="2:3" x14ac:dyDescent="0.25">
      <c r="B488">
        <v>0</v>
      </c>
      <c r="C488" t="s">
        <v>1262</v>
      </c>
    </row>
    <row r="489" spans="2:3" x14ac:dyDescent="0.25">
      <c r="B489">
        <v>0</v>
      </c>
      <c r="C489" t="s">
        <v>1262</v>
      </c>
    </row>
    <row r="490" spans="2:3" x14ac:dyDescent="0.25">
      <c r="B490">
        <v>0</v>
      </c>
      <c r="C490" t="s">
        <v>1262</v>
      </c>
    </row>
    <row r="491" spans="2:3" x14ac:dyDescent="0.25">
      <c r="B491">
        <v>1</v>
      </c>
      <c r="C491" t="s">
        <v>1262</v>
      </c>
    </row>
    <row r="492" spans="2:3" x14ac:dyDescent="0.25">
      <c r="B492">
        <v>0</v>
      </c>
      <c r="C492" t="s">
        <v>1262</v>
      </c>
    </row>
    <row r="493" spans="2:3" x14ac:dyDescent="0.25">
      <c r="B493">
        <v>0</v>
      </c>
      <c r="C493" t="s">
        <v>1262</v>
      </c>
    </row>
    <row r="494" spans="2:3" x14ac:dyDescent="0.25">
      <c r="B494">
        <v>0</v>
      </c>
      <c r="C494" t="s">
        <v>1262</v>
      </c>
    </row>
    <row r="495" spans="2:3" x14ac:dyDescent="0.25">
      <c r="B495">
        <v>1</v>
      </c>
      <c r="C495" t="s">
        <v>1262</v>
      </c>
    </row>
    <row r="496" spans="2:3" x14ac:dyDescent="0.25">
      <c r="B496">
        <v>0</v>
      </c>
      <c r="C496" t="s">
        <v>1262</v>
      </c>
    </row>
    <row r="497" spans="2:3" x14ac:dyDescent="0.25">
      <c r="B497">
        <v>0</v>
      </c>
      <c r="C497" t="s">
        <v>1262</v>
      </c>
    </row>
    <row r="498" spans="2:3" x14ac:dyDescent="0.25">
      <c r="B498">
        <v>0</v>
      </c>
      <c r="C498" t="s">
        <v>1262</v>
      </c>
    </row>
    <row r="499" spans="2:3" x14ac:dyDescent="0.25">
      <c r="B499">
        <v>0</v>
      </c>
      <c r="C499" t="s">
        <v>1262</v>
      </c>
    </row>
    <row r="500" spans="2:3" x14ac:dyDescent="0.25">
      <c r="B500">
        <v>0</v>
      </c>
      <c r="C500" t="s">
        <v>1262</v>
      </c>
    </row>
    <row r="501" spans="2:3" x14ac:dyDescent="0.25">
      <c r="B501">
        <v>0</v>
      </c>
      <c r="C501" t="s">
        <v>1262</v>
      </c>
    </row>
    <row r="502" spans="2:3" x14ac:dyDescent="0.25">
      <c r="B502">
        <v>0</v>
      </c>
      <c r="C502" t="s">
        <v>1262</v>
      </c>
    </row>
    <row r="503" spans="2:3" x14ac:dyDescent="0.25">
      <c r="B503">
        <v>0</v>
      </c>
      <c r="C503" t="s">
        <v>1262</v>
      </c>
    </row>
    <row r="504" spans="2:3" x14ac:dyDescent="0.25">
      <c r="B504">
        <v>1</v>
      </c>
      <c r="C504" t="s">
        <v>1262</v>
      </c>
    </row>
    <row r="505" spans="2:3" x14ac:dyDescent="0.25">
      <c r="B505">
        <v>0</v>
      </c>
      <c r="C505" t="s">
        <v>1262</v>
      </c>
    </row>
    <row r="506" spans="2:3" x14ac:dyDescent="0.25">
      <c r="B506">
        <v>1</v>
      </c>
      <c r="C506" t="s">
        <v>1262</v>
      </c>
    </row>
    <row r="507" spans="2:3" x14ac:dyDescent="0.25">
      <c r="B507">
        <v>0</v>
      </c>
      <c r="C507" t="s">
        <v>1262</v>
      </c>
    </row>
    <row r="508" spans="2:3" x14ac:dyDescent="0.25">
      <c r="B508">
        <v>0</v>
      </c>
      <c r="C508" t="s">
        <v>1262</v>
      </c>
    </row>
    <row r="509" spans="2:3" x14ac:dyDescent="0.25">
      <c r="B509">
        <v>0</v>
      </c>
      <c r="C509" t="s">
        <v>1262</v>
      </c>
    </row>
    <row r="510" spans="2:3" x14ac:dyDescent="0.25">
      <c r="B510">
        <v>0</v>
      </c>
      <c r="C510" t="s">
        <v>1262</v>
      </c>
    </row>
    <row r="511" spans="2:3" x14ac:dyDescent="0.25">
      <c r="B511">
        <v>0</v>
      </c>
      <c r="C511" t="s">
        <v>1262</v>
      </c>
    </row>
    <row r="512" spans="2:3" x14ac:dyDescent="0.25">
      <c r="B512">
        <v>1</v>
      </c>
      <c r="C512" t="s">
        <v>1262</v>
      </c>
    </row>
    <row r="513" spans="2:3" x14ac:dyDescent="0.25">
      <c r="B513">
        <v>0</v>
      </c>
      <c r="C513" t="s">
        <v>1262</v>
      </c>
    </row>
    <row r="514" spans="2:3" x14ac:dyDescent="0.25">
      <c r="B514">
        <v>0</v>
      </c>
      <c r="C514" t="s">
        <v>1262</v>
      </c>
    </row>
    <row r="515" spans="2:3" x14ac:dyDescent="0.25">
      <c r="B515">
        <v>1</v>
      </c>
      <c r="C515" t="s">
        <v>1262</v>
      </c>
    </row>
    <row r="516" spans="2:3" x14ac:dyDescent="0.25">
      <c r="B516">
        <v>1</v>
      </c>
      <c r="C516" t="s">
        <v>1262</v>
      </c>
    </row>
    <row r="517" spans="2:3" x14ac:dyDescent="0.25">
      <c r="B517">
        <v>1</v>
      </c>
      <c r="C517" t="s">
        <v>1262</v>
      </c>
    </row>
    <row r="518" spans="2:3" x14ac:dyDescent="0.25">
      <c r="B518">
        <v>1</v>
      </c>
      <c r="C518" t="s">
        <v>1262</v>
      </c>
    </row>
    <row r="519" spans="2:3" x14ac:dyDescent="0.25">
      <c r="B519">
        <v>0</v>
      </c>
      <c r="C519" t="s">
        <v>1262</v>
      </c>
    </row>
    <row r="520" spans="2:3" x14ac:dyDescent="0.25">
      <c r="B520">
        <v>0</v>
      </c>
      <c r="C520" t="s">
        <v>1262</v>
      </c>
    </row>
    <row r="521" spans="2:3" x14ac:dyDescent="0.25">
      <c r="B521">
        <v>0</v>
      </c>
      <c r="C521" t="s">
        <v>1262</v>
      </c>
    </row>
    <row r="522" spans="2:3" x14ac:dyDescent="0.25">
      <c r="B522">
        <v>0</v>
      </c>
      <c r="C522" t="s">
        <v>1262</v>
      </c>
    </row>
    <row r="523" spans="2:3" x14ac:dyDescent="0.25">
      <c r="B523">
        <v>1</v>
      </c>
      <c r="C523" t="s">
        <v>1262</v>
      </c>
    </row>
    <row r="524" spans="2:3" x14ac:dyDescent="0.25">
      <c r="B524">
        <v>1</v>
      </c>
      <c r="C524" t="s">
        <v>1262</v>
      </c>
    </row>
    <row r="525" spans="2:3" x14ac:dyDescent="0.25">
      <c r="B525">
        <v>1</v>
      </c>
      <c r="C525" t="s">
        <v>1262</v>
      </c>
    </row>
    <row r="526" spans="2:3" x14ac:dyDescent="0.25">
      <c r="B526">
        <v>0</v>
      </c>
      <c r="C526" t="s">
        <v>1262</v>
      </c>
    </row>
    <row r="527" spans="2:3" x14ac:dyDescent="0.25">
      <c r="B527">
        <v>0</v>
      </c>
      <c r="C527" t="s">
        <v>1262</v>
      </c>
    </row>
    <row r="528" spans="2:3" x14ac:dyDescent="0.25">
      <c r="B528">
        <v>0</v>
      </c>
      <c r="C528" t="s">
        <v>1262</v>
      </c>
    </row>
    <row r="529" spans="2:3" x14ac:dyDescent="0.25">
      <c r="B529">
        <v>0</v>
      </c>
      <c r="C529" t="s">
        <v>1262</v>
      </c>
    </row>
    <row r="530" spans="2:3" x14ac:dyDescent="0.25">
      <c r="B530">
        <v>1</v>
      </c>
      <c r="C530" t="s">
        <v>1262</v>
      </c>
    </row>
    <row r="531" spans="2:3" x14ac:dyDescent="0.25">
      <c r="B531">
        <v>1</v>
      </c>
      <c r="C531" t="s">
        <v>1262</v>
      </c>
    </row>
    <row r="532" spans="2:3" x14ac:dyDescent="0.25">
      <c r="B532">
        <v>0</v>
      </c>
      <c r="C532" t="s">
        <v>1262</v>
      </c>
    </row>
    <row r="533" spans="2:3" x14ac:dyDescent="0.25">
      <c r="B533">
        <v>1</v>
      </c>
      <c r="C533">
        <v>33</v>
      </c>
    </row>
    <row r="534" spans="2:3" x14ac:dyDescent="0.25">
      <c r="B534">
        <v>0</v>
      </c>
      <c r="C534" t="s">
        <v>1262</v>
      </c>
    </row>
    <row r="535" spans="2:3" x14ac:dyDescent="0.25">
      <c r="B535">
        <v>1</v>
      </c>
      <c r="C535" t="s">
        <v>1262</v>
      </c>
    </row>
    <row r="536" spans="2:3" x14ac:dyDescent="0.25">
      <c r="B536">
        <v>1</v>
      </c>
      <c r="C536" t="s">
        <v>1262</v>
      </c>
    </row>
    <row r="537" spans="2:3" x14ac:dyDescent="0.25">
      <c r="B537">
        <v>0</v>
      </c>
      <c r="C537" t="s">
        <v>1262</v>
      </c>
    </row>
    <row r="538" spans="2:3" x14ac:dyDescent="0.25">
      <c r="B538">
        <v>0</v>
      </c>
      <c r="C538" t="s">
        <v>1262</v>
      </c>
    </row>
    <row r="539" spans="2:3" x14ac:dyDescent="0.25">
      <c r="B539">
        <v>0</v>
      </c>
      <c r="C539" t="s">
        <v>1262</v>
      </c>
    </row>
    <row r="540" spans="2:3" x14ac:dyDescent="0.25">
      <c r="B540">
        <v>0</v>
      </c>
      <c r="C540" t="s">
        <v>1262</v>
      </c>
    </row>
    <row r="541" spans="2:3" x14ac:dyDescent="0.25">
      <c r="B541">
        <v>0</v>
      </c>
      <c r="C541" t="s">
        <v>1262</v>
      </c>
    </row>
    <row r="542" spans="2:3" x14ac:dyDescent="0.25">
      <c r="B542">
        <v>1</v>
      </c>
      <c r="C542" t="s">
        <v>1262</v>
      </c>
    </row>
    <row r="543" spans="2:3" x14ac:dyDescent="0.25">
      <c r="B543">
        <v>1</v>
      </c>
      <c r="C543">
        <v>56</v>
      </c>
    </row>
    <row r="544" spans="2:3" x14ac:dyDescent="0.25">
      <c r="B544">
        <v>1</v>
      </c>
      <c r="C544" t="s">
        <v>1262</v>
      </c>
    </row>
    <row r="545" spans="2:3" x14ac:dyDescent="0.25">
      <c r="B545">
        <v>0</v>
      </c>
      <c r="C545" t="s">
        <v>1262</v>
      </c>
    </row>
    <row r="546" spans="2:3" x14ac:dyDescent="0.25">
      <c r="B546">
        <v>1</v>
      </c>
      <c r="C546" t="s">
        <v>1262</v>
      </c>
    </row>
    <row r="547" spans="2:3" x14ac:dyDescent="0.25">
      <c r="B547">
        <v>0</v>
      </c>
      <c r="C547" t="s">
        <v>1262</v>
      </c>
    </row>
    <row r="548" spans="2:3" x14ac:dyDescent="0.25">
      <c r="B548">
        <v>0</v>
      </c>
      <c r="C548" t="s">
        <v>1262</v>
      </c>
    </row>
    <row r="549" spans="2:3" x14ac:dyDescent="0.25">
      <c r="B549">
        <v>0</v>
      </c>
      <c r="C549" t="s">
        <v>1262</v>
      </c>
    </row>
    <row r="550" spans="2:3" x14ac:dyDescent="0.25">
      <c r="B550">
        <v>0</v>
      </c>
      <c r="C550" t="s">
        <v>1262</v>
      </c>
    </row>
    <row r="551" spans="2:3" x14ac:dyDescent="0.25">
      <c r="B551">
        <v>0</v>
      </c>
      <c r="C551" t="s">
        <v>1262</v>
      </c>
    </row>
    <row r="552" spans="2:3" x14ac:dyDescent="0.25">
      <c r="B552">
        <v>1</v>
      </c>
      <c r="C552" t="s">
        <v>1262</v>
      </c>
    </row>
    <row r="553" spans="2:3" x14ac:dyDescent="0.25">
      <c r="B553">
        <v>0</v>
      </c>
      <c r="C553" t="s">
        <v>1262</v>
      </c>
    </row>
    <row r="554" spans="2:3" x14ac:dyDescent="0.25">
      <c r="B554">
        <v>0</v>
      </c>
      <c r="C554" t="s">
        <v>1262</v>
      </c>
    </row>
    <row r="555" spans="2:3" x14ac:dyDescent="0.25">
      <c r="B555">
        <v>1</v>
      </c>
      <c r="C555" t="s">
        <v>1262</v>
      </c>
    </row>
    <row r="556" spans="2:3" x14ac:dyDescent="0.25">
      <c r="B556">
        <v>0</v>
      </c>
      <c r="C556" t="s">
        <v>1262</v>
      </c>
    </row>
    <row r="557" spans="2:3" x14ac:dyDescent="0.25">
      <c r="B557">
        <v>0</v>
      </c>
      <c r="C557" t="s">
        <v>1262</v>
      </c>
    </row>
    <row r="558" spans="2:3" x14ac:dyDescent="0.25">
      <c r="B558">
        <v>1</v>
      </c>
      <c r="C558" t="s">
        <v>1262</v>
      </c>
    </row>
    <row r="559" spans="2:3" x14ac:dyDescent="0.25">
      <c r="B559">
        <v>1</v>
      </c>
      <c r="C559" t="s">
        <v>1262</v>
      </c>
    </row>
    <row r="560" spans="2:3" x14ac:dyDescent="0.25">
      <c r="B560">
        <v>1</v>
      </c>
      <c r="C560" t="s">
        <v>1262</v>
      </c>
    </row>
    <row r="561" spans="2:3" x14ac:dyDescent="0.25">
      <c r="B561">
        <v>0</v>
      </c>
      <c r="C561" t="s">
        <v>1262</v>
      </c>
    </row>
    <row r="562" spans="2:3" x14ac:dyDescent="0.25">
      <c r="B562">
        <v>0</v>
      </c>
      <c r="C562" t="s">
        <v>1262</v>
      </c>
    </row>
    <row r="563" spans="2:3" x14ac:dyDescent="0.25">
      <c r="B563">
        <v>0</v>
      </c>
      <c r="C563" t="s">
        <v>1262</v>
      </c>
    </row>
    <row r="564" spans="2:3" x14ac:dyDescent="0.25">
      <c r="B564">
        <v>0</v>
      </c>
      <c r="C564" t="s">
        <v>1262</v>
      </c>
    </row>
    <row r="565" spans="2:3" x14ac:dyDescent="0.25">
      <c r="B565">
        <v>0</v>
      </c>
      <c r="C565" t="s">
        <v>1262</v>
      </c>
    </row>
    <row r="566" spans="2:3" x14ac:dyDescent="0.25">
      <c r="B566">
        <v>0</v>
      </c>
      <c r="C566" t="s">
        <v>1262</v>
      </c>
    </row>
    <row r="567" spans="2:3" x14ac:dyDescent="0.25">
      <c r="B567">
        <v>0</v>
      </c>
      <c r="C567" t="s">
        <v>1262</v>
      </c>
    </row>
    <row r="568" spans="2:3" x14ac:dyDescent="0.25">
      <c r="B568">
        <v>1</v>
      </c>
      <c r="C568" t="s">
        <v>1262</v>
      </c>
    </row>
    <row r="569" spans="2:3" x14ac:dyDescent="0.25">
      <c r="B569">
        <v>1</v>
      </c>
      <c r="C569" t="s">
        <v>1262</v>
      </c>
    </row>
    <row r="570" spans="2:3" x14ac:dyDescent="0.25">
      <c r="B570">
        <v>1</v>
      </c>
      <c r="C570" t="s">
        <v>1262</v>
      </c>
    </row>
    <row r="571" spans="2:3" x14ac:dyDescent="0.25">
      <c r="B571">
        <v>0</v>
      </c>
      <c r="C571" t="s">
        <v>1262</v>
      </c>
    </row>
    <row r="572" spans="2:3" x14ac:dyDescent="0.25">
      <c r="B572">
        <v>0</v>
      </c>
      <c r="C572" t="s">
        <v>1262</v>
      </c>
    </row>
    <row r="573" spans="2:3" x14ac:dyDescent="0.25">
      <c r="B573">
        <v>0</v>
      </c>
      <c r="C573" t="s">
        <v>1262</v>
      </c>
    </row>
    <row r="574" spans="2:3" x14ac:dyDescent="0.25">
      <c r="B574">
        <v>0</v>
      </c>
      <c r="C574" t="s">
        <v>1262</v>
      </c>
    </row>
    <row r="575" spans="2:3" x14ac:dyDescent="0.25">
      <c r="B575">
        <v>0</v>
      </c>
      <c r="C575" t="s">
        <v>1262</v>
      </c>
    </row>
    <row r="576" spans="2:3" x14ac:dyDescent="0.25">
      <c r="B576">
        <v>1</v>
      </c>
      <c r="C576" t="s">
        <v>1262</v>
      </c>
    </row>
    <row r="577" spans="2:3" x14ac:dyDescent="0.25">
      <c r="B577">
        <v>1</v>
      </c>
      <c r="C577" t="s">
        <v>1262</v>
      </c>
    </row>
    <row r="578" spans="2:3" x14ac:dyDescent="0.25">
      <c r="B578">
        <v>0</v>
      </c>
      <c r="C578" t="s">
        <v>1262</v>
      </c>
    </row>
    <row r="579" spans="2:3" x14ac:dyDescent="0.25">
      <c r="B579">
        <v>0</v>
      </c>
      <c r="C579" t="s">
        <v>1262</v>
      </c>
    </row>
    <row r="580" spans="2:3" x14ac:dyDescent="0.25">
      <c r="B580">
        <v>1</v>
      </c>
      <c r="C580" t="s">
        <v>1262</v>
      </c>
    </row>
    <row r="581" spans="2:3" x14ac:dyDescent="0.25">
      <c r="B581">
        <v>0</v>
      </c>
      <c r="C581" t="s">
        <v>1262</v>
      </c>
    </row>
    <row r="582" spans="2:3" x14ac:dyDescent="0.25">
      <c r="B582">
        <v>1</v>
      </c>
      <c r="C582" t="s">
        <v>1262</v>
      </c>
    </row>
    <row r="583" spans="2:3" x14ac:dyDescent="0.25">
      <c r="B583">
        <v>0</v>
      </c>
      <c r="C583" t="s">
        <v>1262</v>
      </c>
    </row>
    <row r="584" spans="2:3" x14ac:dyDescent="0.25">
      <c r="B584">
        <v>0</v>
      </c>
      <c r="C584" t="s">
        <v>1262</v>
      </c>
    </row>
    <row r="585" spans="2:3" x14ac:dyDescent="0.25">
      <c r="B585">
        <v>0</v>
      </c>
      <c r="C585" t="s">
        <v>1262</v>
      </c>
    </row>
    <row r="586" spans="2:3" x14ac:dyDescent="0.25">
      <c r="B586">
        <v>1</v>
      </c>
      <c r="C586" t="s">
        <v>1262</v>
      </c>
    </row>
    <row r="587" spans="2:3" x14ac:dyDescent="0.25">
      <c r="B587">
        <v>0</v>
      </c>
      <c r="C587" t="s">
        <v>1262</v>
      </c>
    </row>
    <row r="588" spans="2:3" x14ac:dyDescent="0.25">
      <c r="B588">
        <v>0</v>
      </c>
      <c r="C588" t="s">
        <v>1262</v>
      </c>
    </row>
    <row r="589" spans="2:3" x14ac:dyDescent="0.25">
      <c r="B589">
        <v>0</v>
      </c>
      <c r="C589" t="s">
        <v>1262</v>
      </c>
    </row>
    <row r="590" spans="2:3" x14ac:dyDescent="0.25">
      <c r="B590">
        <v>1</v>
      </c>
      <c r="C590" t="s">
        <v>1262</v>
      </c>
    </row>
    <row r="591" spans="2:3" x14ac:dyDescent="0.25">
      <c r="B591">
        <v>0</v>
      </c>
      <c r="C591" t="s">
        <v>1262</v>
      </c>
    </row>
    <row r="592" spans="2:3" x14ac:dyDescent="0.25">
      <c r="B592">
        <v>0</v>
      </c>
      <c r="C592" t="s">
        <v>1262</v>
      </c>
    </row>
    <row r="593" spans="2:3" x14ac:dyDescent="0.25">
      <c r="B593">
        <v>0</v>
      </c>
      <c r="C593" t="s">
        <v>1262</v>
      </c>
    </row>
    <row r="594" spans="2:3" x14ac:dyDescent="0.25">
      <c r="B594">
        <v>0</v>
      </c>
      <c r="C594" t="s">
        <v>1262</v>
      </c>
    </row>
    <row r="595" spans="2:3" x14ac:dyDescent="0.25">
      <c r="B595">
        <v>0</v>
      </c>
      <c r="C595" t="s">
        <v>1262</v>
      </c>
    </row>
    <row r="596" spans="2:3" x14ac:dyDescent="0.25">
      <c r="B596">
        <v>0</v>
      </c>
      <c r="C596" t="s">
        <v>1262</v>
      </c>
    </row>
    <row r="597" spans="2:3" x14ac:dyDescent="0.25">
      <c r="B597">
        <v>0</v>
      </c>
      <c r="C597" t="s">
        <v>1262</v>
      </c>
    </row>
    <row r="598" spans="2:3" x14ac:dyDescent="0.25">
      <c r="B598">
        <v>0</v>
      </c>
      <c r="C598" t="s">
        <v>1262</v>
      </c>
    </row>
    <row r="599" spans="2:3" x14ac:dyDescent="0.25">
      <c r="B599">
        <v>1</v>
      </c>
      <c r="C599" t="s">
        <v>1262</v>
      </c>
    </row>
    <row r="600" spans="2:3" x14ac:dyDescent="0.25">
      <c r="B600">
        <v>1</v>
      </c>
      <c r="C600" t="s">
        <v>1262</v>
      </c>
    </row>
    <row r="601" spans="2:3" x14ac:dyDescent="0.25">
      <c r="B601">
        <v>1</v>
      </c>
      <c r="C601" t="s">
        <v>1262</v>
      </c>
    </row>
    <row r="602" spans="2:3" x14ac:dyDescent="0.25">
      <c r="B602">
        <v>1</v>
      </c>
      <c r="C602" t="s">
        <v>1262</v>
      </c>
    </row>
    <row r="603" spans="2:3" x14ac:dyDescent="0.25">
      <c r="B603">
        <v>1</v>
      </c>
      <c r="C603" t="s">
        <v>1262</v>
      </c>
    </row>
    <row r="604" spans="2:3" x14ac:dyDescent="0.25">
      <c r="B604">
        <v>1</v>
      </c>
      <c r="C604" t="s">
        <v>1262</v>
      </c>
    </row>
    <row r="605" spans="2:3" x14ac:dyDescent="0.25">
      <c r="B605">
        <v>0</v>
      </c>
      <c r="C605" t="s">
        <v>1262</v>
      </c>
    </row>
    <row r="606" spans="2:3" x14ac:dyDescent="0.25">
      <c r="B606">
        <v>1</v>
      </c>
      <c r="C606" t="s">
        <v>1262</v>
      </c>
    </row>
    <row r="607" spans="2:3" x14ac:dyDescent="0.25">
      <c r="B607">
        <v>1</v>
      </c>
      <c r="C607" t="s">
        <v>1262</v>
      </c>
    </row>
    <row r="608" spans="2:3" x14ac:dyDescent="0.25">
      <c r="B608">
        <v>0</v>
      </c>
      <c r="C608" t="s">
        <v>1262</v>
      </c>
    </row>
    <row r="609" spans="2:3" x14ac:dyDescent="0.25">
      <c r="B609">
        <v>1</v>
      </c>
      <c r="C609" t="s">
        <v>1262</v>
      </c>
    </row>
    <row r="610" spans="2:3" x14ac:dyDescent="0.25">
      <c r="B610">
        <v>1</v>
      </c>
      <c r="C610" t="s">
        <v>1262</v>
      </c>
    </row>
    <row r="611" spans="2:3" x14ac:dyDescent="0.25">
      <c r="B611">
        <v>0</v>
      </c>
      <c r="C611" t="s">
        <v>1262</v>
      </c>
    </row>
    <row r="612" spans="2:3" x14ac:dyDescent="0.25">
      <c r="B612">
        <v>1</v>
      </c>
      <c r="C612" t="s">
        <v>1262</v>
      </c>
    </row>
    <row r="613" spans="2:3" x14ac:dyDescent="0.25">
      <c r="B613">
        <v>1</v>
      </c>
      <c r="C613" t="s">
        <v>1262</v>
      </c>
    </row>
    <row r="614" spans="2:3" x14ac:dyDescent="0.25">
      <c r="B614">
        <v>1</v>
      </c>
      <c r="C614" t="s">
        <v>1262</v>
      </c>
    </row>
    <row r="615" spans="2:3" x14ac:dyDescent="0.25">
      <c r="B615">
        <v>1</v>
      </c>
      <c r="C615" t="s">
        <v>1262</v>
      </c>
    </row>
    <row r="616" spans="2:3" x14ac:dyDescent="0.25">
      <c r="B616">
        <v>1</v>
      </c>
      <c r="C616" t="s">
        <v>1262</v>
      </c>
    </row>
    <row r="617" spans="2:3" x14ac:dyDescent="0.25">
      <c r="B617">
        <v>0</v>
      </c>
      <c r="C617" t="s">
        <v>1262</v>
      </c>
    </row>
    <row r="618" spans="2:3" x14ac:dyDescent="0.25">
      <c r="B618">
        <v>0</v>
      </c>
      <c r="C618" t="s">
        <v>1262</v>
      </c>
    </row>
    <row r="619" spans="2:3" x14ac:dyDescent="0.25">
      <c r="B619">
        <v>0</v>
      </c>
      <c r="C619" t="s">
        <v>1262</v>
      </c>
    </row>
    <row r="620" spans="2:3" x14ac:dyDescent="0.25">
      <c r="B620">
        <v>0</v>
      </c>
      <c r="C620" t="s">
        <v>1262</v>
      </c>
    </row>
    <row r="621" spans="2:3" x14ac:dyDescent="0.25">
      <c r="B621">
        <v>0</v>
      </c>
      <c r="C621" t="s">
        <v>1262</v>
      </c>
    </row>
    <row r="622" spans="2:3" x14ac:dyDescent="0.25">
      <c r="B622">
        <v>0</v>
      </c>
      <c r="C622" t="s">
        <v>1262</v>
      </c>
    </row>
    <row r="623" spans="2:3" x14ac:dyDescent="0.25">
      <c r="B623">
        <v>0</v>
      </c>
      <c r="C623" t="s">
        <v>1262</v>
      </c>
    </row>
    <row r="624" spans="2:3" x14ac:dyDescent="0.25">
      <c r="B624">
        <v>1</v>
      </c>
      <c r="C624" t="s">
        <v>1262</v>
      </c>
    </row>
    <row r="625" spans="2:3" x14ac:dyDescent="0.25">
      <c r="B625">
        <v>1</v>
      </c>
      <c r="C625" t="s">
        <v>1262</v>
      </c>
    </row>
    <row r="626" spans="2:3" x14ac:dyDescent="0.25">
      <c r="B626">
        <v>1</v>
      </c>
      <c r="C626" t="s">
        <v>1262</v>
      </c>
    </row>
    <row r="627" spans="2:3" x14ac:dyDescent="0.25">
      <c r="B627">
        <v>1</v>
      </c>
      <c r="C627">
        <v>123</v>
      </c>
    </row>
    <row r="628" spans="2:3" x14ac:dyDescent="0.25">
      <c r="B628">
        <v>0</v>
      </c>
      <c r="C628" t="s">
        <v>1262</v>
      </c>
    </row>
    <row r="629" spans="2:3" x14ac:dyDescent="0.25">
      <c r="B629">
        <v>0</v>
      </c>
      <c r="C629">
        <v>123</v>
      </c>
    </row>
    <row r="630" spans="2:3" x14ac:dyDescent="0.25">
      <c r="B630">
        <v>0</v>
      </c>
      <c r="C630" t="s">
        <v>1262</v>
      </c>
    </row>
    <row r="631" spans="2:3" x14ac:dyDescent="0.25">
      <c r="B631">
        <v>0</v>
      </c>
      <c r="C631" t="s">
        <v>1262</v>
      </c>
    </row>
    <row r="632" spans="2:3" x14ac:dyDescent="0.25">
      <c r="B632">
        <v>0</v>
      </c>
      <c r="C632" t="s">
        <v>1262</v>
      </c>
    </row>
    <row r="633" spans="2:3" x14ac:dyDescent="0.25">
      <c r="B633">
        <v>1</v>
      </c>
      <c r="C633" t="s">
        <v>1262</v>
      </c>
    </row>
    <row r="634" spans="2:3" x14ac:dyDescent="0.25">
      <c r="B634">
        <v>0</v>
      </c>
      <c r="C634" t="s">
        <v>1262</v>
      </c>
    </row>
    <row r="635" spans="2:3" x14ac:dyDescent="0.25">
      <c r="B635">
        <v>0</v>
      </c>
      <c r="C635" t="s">
        <v>1262</v>
      </c>
    </row>
    <row r="636" spans="2:3" x14ac:dyDescent="0.25">
      <c r="B636">
        <v>1</v>
      </c>
      <c r="C636" t="s">
        <v>1262</v>
      </c>
    </row>
    <row r="637" spans="2:3" x14ac:dyDescent="0.25">
      <c r="B637">
        <v>1</v>
      </c>
      <c r="C637" t="s">
        <v>1262</v>
      </c>
    </row>
    <row r="638" spans="2:3" x14ac:dyDescent="0.25">
      <c r="B638">
        <v>0</v>
      </c>
      <c r="C638">
        <v>30</v>
      </c>
    </row>
    <row r="639" spans="2:3" x14ac:dyDescent="0.25">
      <c r="B639">
        <v>1</v>
      </c>
      <c r="C639">
        <v>104</v>
      </c>
    </row>
    <row r="640" spans="2:3" x14ac:dyDescent="0.25">
      <c r="B640">
        <v>0</v>
      </c>
      <c r="C640" t="s">
        <v>1262</v>
      </c>
    </row>
    <row r="641" spans="2:3" x14ac:dyDescent="0.25">
      <c r="B641">
        <v>1</v>
      </c>
      <c r="C641">
        <v>103</v>
      </c>
    </row>
    <row r="642" spans="2:3" x14ac:dyDescent="0.25">
      <c r="B642">
        <v>0</v>
      </c>
      <c r="C642">
        <v>22</v>
      </c>
    </row>
    <row r="643" spans="2:3" x14ac:dyDescent="0.25">
      <c r="B643">
        <v>1</v>
      </c>
      <c r="C643">
        <v>22</v>
      </c>
    </row>
    <row r="644" spans="2:3" x14ac:dyDescent="0.25">
      <c r="B644">
        <v>0</v>
      </c>
      <c r="C644" t="s">
        <v>1262</v>
      </c>
    </row>
    <row r="645" spans="2:3" x14ac:dyDescent="0.25">
      <c r="B645">
        <v>0</v>
      </c>
      <c r="C645">
        <v>22</v>
      </c>
    </row>
    <row r="646" spans="2:3" x14ac:dyDescent="0.25">
      <c r="B646">
        <v>1</v>
      </c>
      <c r="C646" t="s">
        <v>1262</v>
      </c>
    </row>
    <row r="647" spans="2:3" x14ac:dyDescent="0.25">
      <c r="B647">
        <v>1</v>
      </c>
      <c r="C647" t="s">
        <v>1262</v>
      </c>
    </row>
    <row r="648" spans="2:3" x14ac:dyDescent="0.25">
      <c r="B648">
        <v>0</v>
      </c>
      <c r="C648" t="s">
        <v>1262</v>
      </c>
    </row>
    <row r="649" spans="2:3" x14ac:dyDescent="0.25">
      <c r="B649">
        <v>0</v>
      </c>
      <c r="C649">
        <v>30</v>
      </c>
    </row>
    <row r="650" spans="2:3" x14ac:dyDescent="0.25">
      <c r="B650">
        <v>0</v>
      </c>
      <c r="C650">
        <v>32</v>
      </c>
    </row>
    <row r="651" spans="2:3" x14ac:dyDescent="0.25">
      <c r="B651">
        <v>1</v>
      </c>
      <c r="C651">
        <v>96</v>
      </c>
    </row>
    <row r="652" spans="2:3" x14ac:dyDescent="0.25">
      <c r="B652">
        <v>1</v>
      </c>
      <c r="C652">
        <v>96</v>
      </c>
    </row>
    <row r="653" spans="2:3" x14ac:dyDescent="0.25">
      <c r="B653">
        <v>1</v>
      </c>
      <c r="C653">
        <v>96</v>
      </c>
    </row>
    <row r="654" spans="2:3" x14ac:dyDescent="0.25">
      <c r="B654">
        <v>1</v>
      </c>
      <c r="C654">
        <v>96</v>
      </c>
    </row>
    <row r="655" spans="2:3" x14ac:dyDescent="0.25">
      <c r="B655">
        <v>0</v>
      </c>
      <c r="C655">
        <v>87</v>
      </c>
    </row>
    <row r="656" spans="2:3" x14ac:dyDescent="0.25">
      <c r="B656">
        <v>0</v>
      </c>
      <c r="C656">
        <v>128</v>
      </c>
    </row>
    <row r="657" spans="2:3" x14ac:dyDescent="0.25">
      <c r="B657">
        <v>1</v>
      </c>
      <c r="C657">
        <v>33</v>
      </c>
    </row>
    <row r="658" spans="2:3" x14ac:dyDescent="0.25">
      <c r="B658">
        <v>1</v>
      </c>
      <c r="C658">
        <v>33</v>
      </c>
    </row>
    <row r="659" spans="2:3" x14ac:dyDescent="0.25">
      <c r="B659">
        <v>0</v>
      </c>
      <c r="C659" t="s">
        <v>1262</v>
      </c>
    </row>
    <row r="660" spans="2:3" x14ac:dyDescent="0.25">
      <c r="B660">
        <v>0</v>
      </c>
      <c r="C660" t="s">
        <v>1262</v>
      </c>
    </row>
    <row r="661" spans="2:3" x14ac:dyDescent="0.25">
      <c r="B661">
        <v>0</v>
      </c>
      <c r="C661">
        <v>19</v>
      </c>
    </row>
    <row r="662" spans="2:3" x14ac:dyDescent="0.25">
      <c r="B662">
        <v>1</v>
      </c>
      <c r="C662">
        <v>17</v>
      </c>
    </row>
    <row r="663" spans="2:3" x14ac:dyDescent="0.25">
      <c r="B663">
        <v>0</v>
      </c>
      <c r="C663">
        <v>38</v>
      </c>
    </row>
    <row r="664" spans="2:3" x14ac:dyDescent="0.25">
      <c r="B664">
        <v>0</v>
      </c>
      <c r="C664" t="s">
        <v>1262</v>
      </c>
    </row>
    <row r="665" spans="2:3" x14ac:dyDescent="0.25">
      <c r="B665">
        <v>0</v>
      </c>
      <c r="C665">
        <v>124</v>
      </c>
    </row>
    <row r="666" spans="2:3" x14ac:dyDescent="0.25">
      <c r="B666">
        <v>0</v>
      </c>
      <c r="C666">
        <v>124</v>
      </c>
    </row>
    <row r="667" spans="2:3" x14ac:dyDescent="0.25">
      <c r="B667">
        <v>0</v>
      </c>
      <c r="C667">
        <v>94</v>
      </c>
    </row>
    <row r="668" spans="2:3" x14ac:dyDescent="0.25">
      <c r="B668">
        <v>0</v>
      </c>
      <c r="C668">
        <v>102</v>
      </c>
    </row>
    <row r="669" spans="2:3" x14ac:dyDescent="0.25">
      <c r="B669">
        <v>1</v>
      </c>
      <c r="C669">
        <v>42</v>
      </c>
    </row>
    <row r="670" spans="2:3" x14ac:dyDescent="0.25">
      <c r="B670">
        <v>0</v>
      </c>
      <c r="C670" t="s">
        <v>1262</v>
      </c>
    </row>
    <row r="671" spans="2:3" x14ac:dyDescent="0.25">
      <c r="B671">
        <v>0</v>
      </c>
      <c r="C671">
        <v>36</v>
      </c>
    </row>
    <row r="672" spans="2:3" x14ac:dyDescent="0.25">
      <c r="B672">
        <v>1</v>
      </c>
      <c r="C672" t="s">
        <v>1262</v>
      </c>
    </row>
    <row r="673" spans="2:3" x14ac:dyDescent="0.25">
      <c r="B673">
        <v>1</v>
      </c>
      <c r="C673" t="s">
        <v>1262</v>
      </c>
    </row>
    <row r="674" spans="2:3" x14ac:dyDescent="0.25">
      <c r="B674">
        <v>0</v>
      </c>
      <c r="C674" t="s">
        <v>1262</v>
      </c>
    </row>
    <row r="675" spans="2:3" x14ac:dyDescent="0.25">
      <c r="B675">
        <v>0</v>
      </c>
      <c r="C675">
        <v>63</v>
      </c>
    </row>
    <row r="676" spans="2:3" x14ac:dyDescent="0.25">
      <c r="B676">
        <v>0</v>
      </c>
      <c r="C676">
        <v>19</v>
      </c>
    </row>
    <row r="677" spans="2:3" x14ac:dyDescent="0.25">
      <c r="B677">
        <v>1</v>
      </c>
      <c r="C677">
        <v>52</v>
      </c>
    </row>
    <row r="678" spans="2:3" x14ac:dyDescent="0.25">
      <c r="B678">
        <v>0</v>
      </c>
      <c r="C678">
        <v>14</v>
      </c>
    </row>
    <row r="679" spans="2:3" x14ac:dyDescent="0.25">
      <c r="B679">
        <v>0</v>
      </c>
      <c r="C679">
        <v>110</v>
      </c>
    </row>
    <row r="680" spans="2:3" x14ac:dyDescent="0.25">
      <c r="B680">
        <v>1</v>
      </c>
      <c r="C680" t="s">
        <v>1262</v>
      </c>
    </row>
    <row r="681" spans="2:3" x14ac:dyDescent="0.25">
      <c r="B681">
        <v>0</v>
      </c>
      <c r="C681">
        <v>67</v>
      </c>
    </row>
    <row r="682" spans="2:3" x14ac:dyDescent="0.25">
      <c r="B682">
        <v>1</v>
      </c>
      <c r="C682">
        <v>67</v>
      </c>
    </row>
    <row r="683" spans="2:3" x14ac:dyDescent="0.25">
      <c r="B683">
        <v>1</v>
      </c>
      <c r="C683" t="e">
        <v>#VALUE!</v>
      </c>
    </row>
    <row r="684" spans="2:3" x14ac:dyDescent="0.25">
      <c r="B684">
        <v>1</v>
      </c>
      <c r="C684">
        <v>68</v>
      </c>
    </row>
    <row r="685" spans="2:3" x14ac:dyDescent="0.25">
      <c r="B685">
        <v>1</v>
      </c>
      <c r="C685">
        <v>77</v>
      </c>
    </row>
    <row r="686" spans="2:3" x14ac:dyDescent="0.25">
      <c r="B686">
        <v>1</v>
      </c>
      <c r="C686">
        <v>79</v>
      </c>
    </row>
    <row r="687" spans="2:3" x14ac:dyDescent="0.25">
      <c r="B687">
        <v>1</v>
      </c>
      <c r="C687">
        <v>77</v>
      </c>
    </row>
    <row r="688" spans="2:3" x14ac:dyDescent="0.25">
      <c r="B688">
        <v>0</v>
      </c>
      <c r="C688" t="s">
        <v>1262</v>
      </c>
    </row>
    <row r="689" spans="2:3" x14ac:dyDescent="0.25">
      <c r="B689">
        <v>1</v>
      </c>
      <c r="C689" t="s">
        <v>1262</v>
      </c>
    </row>
    <row r="690" spans="2:3" x14ac:dyDescent="0.25">
      <c r="B690">
        <v>0</v>
      </c>
      <c r="C690" t="s">
        <v>1262</v>
      </c>
    </row>
    <row r="691" spans="2:3" x14ac:dyDescent="0.25">
      <c r="B691">
        <v>0</v>
      </c>
      <c r="C691" t="s">
        <v>1262</v>
      </c>
    </row>
    <row r="692" spans="2:3" x14ac:dyDescent="0.25">
      <c r="B692">
        <v>1</v>
      </c>
      <c r="C692" t="s">
        <v>1262</v>
      </c>
    </row>
    <row r="693" spans="2:3" x14ac:dyDescent="0.25">
      <c r="B693">
        <v>0</v>
      </c>
      <c r="C693" t="s">
        <v>1262</v>
      </c>
    </row>
    <row r="694" spans="2:3" x14ac:dyDescent="0.25">
      <c r="B694">
        <v>0</v>
      </c>
      <c r="C694" t="s">
        <v>1262</v>
      </c>
    </row>
    <row r="695" spans="2:3" x14ac:dyDescent="0.25">
      <c r="B695">
        <v>0</v>
      </c>
      <c r="C695">
        <v>83</v>
      </c>
    </row>
    <row r="696" spans="2:3" x14ac:dyDescent="0.25">
      <c r="B696">
        <v>1</v>
      </c>
      <c r="C696">
        <v>83</v>
      </c>
    </row>
    <row r="697" spans="2:3" x14ac:dyDescent="0.25">
      <c r="B697">
        <v>0</v>
      </c>
      <c r="C697">
        <v>46</v>
      </c>
    </row>
    <row r="698" spans="2:3" x14ac:dyDescent="0.25">
      <c r="B698">
        <v>1</v>
      </c>
      <c r="C698" t="s">
        <v>1262</v>
      </c>
    </row>
    <row r="699" spans="2:3" x14ac:dyDescent="0.25">
      <c r="B699">
        <v>0</v>
      </c>
      <c r="C699">
        <v>50</v>
      </c>
    </row>
    <row r="700" spans="2:3" x14ac:dyDescent="0.25">
      <c r="B700">
        <v>1</v>
      </c>
      <c r="C700" t="s">
        <v>1262</v>
      </c>
    </row>
    <row r="701" spans="2:3" x14ac:dyDescent="0.25">
      <c r="B701">
        <v>1</v>
      </c>
      <c r="C701" t="s">
        <v>1262</v>
      </c>
    </row>
    <row r="702" spans="2:3" x14ac:dyDescent="0.25">
      <c r="B702">
        <v>1</v>
      </c>
      <c r="C702" t="s">
        <v>1262</v>
      </c>
    </row>
    <row r="703" spans="2:3" x14ac:dyDescent="0.25">
      <c r="B703">
        <v>1</v>
      </c>
      <c r="C703" t="s">
        <v>1262</v>
      </c>
    </row>
    <row r="704" spans="2:3" x14ac:dyDescent="0.25">
      <c r="B704">
        <v>1</v>
      </c>
      <c r="C704" t="s">
        <v>1262</v>
      </c>
    </row>
    <row r="705" spans="2:3" x14ac:dyDescent="0.25">
      <c r="B705">
        <v>0</v>
      </c>
      <c r="C705" t="s">
        <v>1262</v>
      </c>
    </row>
    <row r="706" spans="2:3" x14ac:dyDescent="0.25">
      <c r="B706">
        <v>0</v>
      </c>
      <c r="C706">
        <v>26</v>
      </c>
    </row>
    <row r="707" spans="2:3" x14ac:dyDescent="0.25">
      <c r="B707">
        <v>1</v>
      </c>
      <c r="C707" t="s">
        <v>1262</v>
      </c>
    </row>
    <row r="708" spans="2:3" x14ac:dyDescent="0.25">
      <c r="B708">
        <v>1</v>
      </c>
      <c r="C708" t="s">
        <v>1262</v>
      </c>
    </row>
    <row r="709" spans="2:3" x14ac:dyDescent="0.25">
      <c r="B709">
        <v>0</v>
      </c>
      <c r="C709">
        <v>26</v>
      </c>
    </row>
    <row r="710" spans="2:3" x14ac:dyDescent="0.25">
      <c r="B710">
        <v>1</v>
      </c>
      <c r="C710">
        <v>101</v>
      </c>
    </row>
    <row r="711" spans="2:3" x14ac:dyDescent="0.25">
      <c r="B711">
        <v>1</v>
      </c>
      <c r="C711">
        <v>34</v>
      </c>
    </row>
    <row r="712" spans="2:3" x14ac:dyDescent="0.25">
      <c r="B712">
        <v>1</v>
      </c>
      <c r="C712" t="s">
        <v>1262</v>
      </c>
    </row>
    <row r="713" spans="2:3" x14ac:dyDescent="0.25">
      <c r="B713">
        <v>0</v>
      </c>
      <c r="C713" t="s">
        <v>1262</v>
      </c>
    </row>
    <row r="714" spans="2:3" x14ac:dyDescent="0.25">
      <c r="B714">
        <v>0</v>
      </c>
      <c r="C714" t="s">
        <v>1262</v>
      </c>
    </row>
    <row r="715" spans="2:3" x14ac:dyDescent="0.25">
      <c r="B715">
        <v>1</v>
      </c>
      <c r="C715" t="s">
        <v>1262</v>
      </c>
    </row>
    <row r="716" spans="2:3" x14ac:dyDescent="0.25">
      <c r="B716">
        <v>0</v>
      </c>
      <c r="C716" t="s">
        <v>1262</v>
      </c>
    </row>
    <row r="717" spans="2:3" x14ac:dyDescent="0.25">
      <c r="B717">
        <v>0</v>
      </c>
      <c r="C717" t="s">
        <v>1262</v>
      </c>
    </row>
    <row r="718" spans="2:3" x14ac:dyDescent="0.25">
      <c r="B718">
        <v>1</v>
      </c>
      <c r="C718" t="s">
        <v>1262</v>
      </c>
    </row>
    <row r="719" spans="2:3" x14ac:dyDescent="0.25">
      <c r="B719">
        <v>0</v>
      </c>
      <c r="C719" t="s">
        <v>1262</v>
      </c>
    </row>
    <row r="720" spans="2:3" x14ac:dyDescent="0.25">
      <c r="B720">
        <v>0</v>
      </c>
      <c r="C720" t="s">
        <v>1262</v>
      </c>
    </row>
    <row r="721" spans="2:3" x14ac:dyDescent="0.25">
      <c r="B721">
        <v>0</v>
      </c>
      <c r="C721" t="s">
        <v>1262</v>
      </c>
    </row>
    <row r="722" spans="2:3" x14ac:dyDescent="0.25">
      <c r="B722">
        <v>0</v>
      </c>
      <c r="C722" t="s">
        <v>1262</v>
      </c>
    </row>
    <row r="723" spans="2:3" x14ac:dyDescent="0.25">
      <c r="B723">
        <v>1</v>
      </c>
      <c r="C723" t="s">
        <v>1262</v>
      </c>
    </row>
    <row r="724" spans="2:3" x14ac:dyDescent="0.25">
      <c r="B724">
        <v>0</v>
      </c>
      <c r="C724" t="s">
        <v>1262</v>
      </c>
    </row>
    <row r="725" spans="2:3" x14ac:dyDescent="0.25">
      <c r="B725">
        <v>1</v>
      </c>
      <c r="C725" t="s">
        <v>1262</v>
      </c>
    </row>
    <row r="726" spans="2:3" x14ac:dyDescent="0.25">
      <c r="B726">
        <v>0</v>
      </c>
      <c r="C726" t="s">
        <v>1262</v>
      </c>
    </row>
    <row r="727" spans="2:3" x14ac:dyDescent="0.25">
      <c r="B727">
        <v>1</v>
      </c>
      <c r="C727" t="s">
        <v>1262</v>
      </c>
    </row>
    <row r="728" spans="2:3" x14ac:dyDescent="0.25">
      <c r="B728">
        <v>0</v>
      </c>
      <c r="C728" t="s">
        <v>1262</v>
      </c>
    </row>
    <row r="729" spans="2:3" x14ac:dyDescent="0.25">
      <c r="B729">
        <v>0</v>
      </c>
      <c r="C729" t="s">
        <v>1262</v>
      </c>
    </row>
    <row r="730" spans="2:3" x14ac:dyDescent="0.25">
      <c r="B730">
        <v>0</v>
      </c>
      <c r="C730" t="s">
        <v>1262</v>
      </c>
    </row>
    <row r="731" spans="2:3" x14ac:dyDescent="0.25">
      <c r="B731">
        <v>1</v>
      </c>
      <c r="C731" t="s">
        <v>1262</v>
      </c>
    </row>
    <row r="732" spans="2:3" x14ac:dyDescent="0.25">
      <c r="B732">
        <v>0</v>
      </c>
      <c r="C732" t="s">
        <v>1262</v>
      </c>
    </row>
    <row r="733" spans="2:3" x14ac:dyDescent="0.25">
      <c r="B733">
        <v>1</v>
      </c>
      <c r="C733" t="s">
        <v>1262</v>
      </c>
    </row>
    <row r="734" spans="2:3" x14ac:dyDescent="0.25">
      <c r="B734">
        <v>0</v>
      </c>
      <c r="C734" t="s">
        <v>1262</v>
      </c>
    </row>
    <row r="735" spans="2:3" x14ac:dyDescent="0.25">
      <c r="B735">
        <v>0</v>
      </c>
      <c r="C735" t="s">
        <v>1262</v>
      </c>
    </row>
    <row r="736" spans="2:3" x14ac:dyDescent="0.25">
      <c r="B736">
        <v>0</v>
      </c>
      <c r="C736" t="s">
        <v>1262</v>
      </c>
    </row>
    <row r="737" spans="2:3" x14ac:dyDescent="0.25">
      <c r="B737">
        <v>0</v>
      </c>
      <c r="C737" t="s">
        <v>1262</v>
      </c>
    </row>
    <row r="738" spans="2:3" x14ac:dyDescent="0.25">
      <c r="B738">
        <v>0</v>
      </c>
      <c r="C738" t="s">
        <v>1262</v>
      </c>
    </row>
    <row r="739" spans="2:3" x14ac:dyDescent="0.25">
      <c r="B739">
        <v>1</v>
      </c>
      <c r="C739" t="s">
        <v>1262</v>
      </c>
    </row>
    <row r="740" spans="2:3" x14ac:dyDescent="0.25">
      <c r="B740">
        <v>1</v>
      </c>
      <c r="C740" t="s">
        <v>1262</v>
      </c>
    </row>
    <row r="741" spans="2:3" x14ac:dyDescent="0.25">
      <c r="B741">
        <v>1</v>
      </c>
      <c r="C741" t="s">
        <v>1262</v>
      </c>
    </row>
    <row r="742" spans="2:3" x14ac:dyDescent="0.25">
      <c r="B742">
        <v>0</v>
      </c>
      <c r="C742" t="s">
        <v>1262</v>
      </c>
    </row>
    <row r="743" spans="2:3" x14ac:dyDescent="0.25">
      <c r="B743">
        <v>0</v>
      </c>
      <c r="C743" t="s">
        <v>1262</v>
      </c>
    </row>
    <row r="744" spans="2:3" x14ac:dyDescent="0.25">
      <c r="B744">
        <v>0</v>
      </c>
      <c r="C744" t="s">
        <v>1262</v>
      </c>
    </row>
    <row r="745" spans="2:3" x14ac:dyDescent="0.25">
      <c r="B745">
        <v>0</v>
      </c>
      <c r="C745" t="s">
        <v>1262</v>
      </c>
    </row>
    <row r="746" spans="2:3" x14ac:dyDescent="0.25">
      <c r="B746">
        <v>0</v>
      </c>
      <c r="C746" t="s">
        <v>1262</v>
      </c>
    </row>
    <row r="747" spans="2:3" x14ac:dyDescent="0.25">
      <c r="B747">
        <v>1</v>
      </c>
      <c r="C747" t="s">
        <v>1262</v>
      </c>
    </row>
    <row r="748" spans="2:3" x14ac:dyDescent="0.25">
      <c r="B748">
        <v>0</v>
      </c>
      <c r="C748" t="s">
        <v>1262</v>
      </c>
    </row>
    <row r="749" spans="2:3" x14ac:dyDescent="0.25">
      <c r="B749">
        <v>1</v>
      </c>
      <c r="C749" t="s">
        <v>1262</v>
      </c>
    </row>
    <row r="750" spans="2:3" x14ac:dyDescent="0.25">
      <c r="B750">
        <v>0</v>
      </c>
      <c r="C750" t="s">
        <v>1262</v>
      </c>
    </row>
    <row r="751" spans="2:3" x14ac:dyDescent="0.25">
      <c r="B751">
        <v>1</v>
      </c>
      <c r="C751" t="s">
        <v>1262</v>
      </c>
    </row>
    <row r="752" spans="2:3" x14ac:dyDescent="0.25">
      <c r="B752">
        <v>0</v>
      </c>
      <c r="C752" t="s">
        <v>1262</v>
      </c>
    </row>
    <row r="753" spans="2:3" x14ac:dyDescent="0.25">
      <c r="B753">
        <v>0</v>
      </c>
      <c r="C753" t="s">
        <v>1262</v>
      </c>
    </row>
    <row r="754" spans="2:3" x14ac:dyDescent="0.25">
      <c r="B754">
        <v>1</v>
      </c>
      <c r="C754" t="s">
        <v>1262</v>
      </c>
    </row>
    <row r="755" spans="2:3" x14ac:dyDescent="0.25">
      <c r="B755">
        <v>1</v>
      </c>
      <c r="C755" t="s">
        <v>1262</v>
      </c>
    </row>
    <row r="756" spans="2:3" x14ac:dyDescent="0.25">
      <c r="B756">
        <v>1</v>
      </c>
      <c r="C756">
        <v>101</v>
      </c>
    </row>
    <row r="757" spans="2:3" x14ac:dyDescent="0.25">
      <c r="B757">
        <v>1</v>
      </c>
      <c r="C757" t="s">
        <v>1262</v>
      </c>
    </row>
    <row r="758" spans="2:3" x14ac:dyDescent="0.25">
      <c r="B758">
        <v>1</v>
      </c>
      <c r="C758">
        <v>23</v>
      </c>
    </row>
    <row r="759" spans="2:3" x14ac:dyDescent="0.25">
      <c r="B759">
        <v>1</v>
      </c>
      <c r="C759" t="s">
        <v>1262</v>
      </c>
    </row>
    <row r="760" spans="2:3" x14ac:dyDescent="0.25">
      <c r="B760">
        <v>0</v>
      </c>
      <c r="C760" t="s">
        <v>1262</v>
      </c>
    </row>
    <row r="761" spans="2:3" x14ac:dyDescent="0.25">
      <c r="B761">
        <v>1</v>
      </c>
      <c r="C761" t="s">
        <v>1262</v>
      </c>
    </row>
    <row r="762" spans="2:3" x14ac:dyDescent="0.25">
      <c r="B762">
        <v>0</v>
      </c>
      <c r="C762" t="s">
        <v>1262</v>
      </c>
    </row>
    <row r="763" spans="2:3" x14ac:dyDescent="0.25">
      <c r="B763">
        <v>1</v>
      </c>
      <c r="C763" t="s">
        <v>1262</v>
      </c>
    </row>
    <row r="764" spans="2:3" x14ac:dyDescent="0.25">
      <c r="B764">
        <v>0</v>
      </c>
      <c r="C764" t="s">
        <v>1262</v>
      </c>
    </row>
    <row r="765" spans="2:3" x14ac:dyDescent="0.25">
      <c r="B765">
        <v>1</v>
      </c>
      <c r="C765" t="s">
        <v>1262</v>
      </c>
    </row>
    <row r="766" spans="2:3" x14ac:dyDescent="0.25">
      <c r="B766">
        <v>1</v>
      </c>
      <c r="C766" t="s">
        <v>1262</v>
      </c>
    </row>
    <row r="767" spans="2:3" x14ac:dyDescent="0.25">
      <c r="B767">
        <v>1</v>
      </c>
      <c r="C767" t="s">
        <v>1262</v>
      </c>
    </row>
    <row r="768" spans="2:3" x14ac:dyDescent="0.25">
      <c r="B768">
        <v>1</v>
      </c>
      <c r="C768" t="s">
        <v>1262</v>
      </c>
    </row>
    <row r="769" spans="2:3" x14ac:dyDescent="0.25">
      <c r="B769">
        <v>1</v>
      </c>
      <c r="C769" t="s">
        <v>1262</v>
      </c>
    </row>
    <row r="770" spans="2:3" x14ac:dyDescent="0.25">
      <c r="B770">
        <v>0</v>
      </c>
      <c r="C770" t="s">
        <v>1262</v>
      </c>
    </row>
    <row r="771" spans="2:3" x14ac:dyDescent="0.25">
      <c r="B771">
        <v>1</v>
      </c>
      <c r="C771" t="s">
        <v>1262</v>
      </c>
    </row>
    <row r="772" spans="2:3" x14ac:dyDescent="0.25">
      <c r="B772">
        <v>1</v>
      </c>
      <c r="C772" t="s">
        <v>1262</v>
      </c>
    </row>
    <row r="773" spans="2:3" x14ac:dyDescent="0.25">
      <c r="B773">
        <v>1</v>
      </c>
      <c r="C773" t="s">
        <v>1262</v>
      </c>
    </row>
    <row r="774" spans="2:3" x14ac:dyDescent="0.25">
      <c r="B774">
        <v>0</v>
      </c>
      <c r="C774" t="s">
        <v>1262</v>
      </c>
    </row>
    <row r="775" spans="2:3" x14ac:dyDescent="0.25">
      <c r="B775">
        <v>1</v>
      </c>
      <c r="C775">
        <v>126</v>
      </c>
    </row>
    <row r="776" spans="2:3" x14ac:dyDescent="0.25">
      <c r="B776">
        <v>0</v>
      </c>
      <c r="C776" t="s">
        <v>1262</v>
      </c>
    </row>
    <row r="777" spans="2:3" x14ac:dyDescent="0.25">
      <c r="B777">
        <v>1</v>
      </c>
      <c r="C777">
        <v>126</v>
      </c>
    </row>
    <row r="778" spans="2:3" x14ac:dyDescent="0.25">
      <c r="B778">
        <v>1</v>
      </c>
      <c r="C778" t="s">
        <v>1262</v>
      </c>
    </row>
    <row r="779" spans="2:3" x14ac:dyDescent="0.25">
      <c r="B779">
        <v>0</v>
      </c>
      <c r="C779" t="s">
        <v>1262</v>
      </c>
    </row>
    <row r="780" spans="2:3" x14ac:dyDescent="0.25">
      <c r="B780">
        <v>1</v>
      </c>
      <c r="C780">
        <v>106</v>
      </c>
    </row>
    <row r="781" spans="2:3" x14ac:dyDescent="0.25">
      <c r="B781">
        <v>0</v>
      </c>
      <c r="C781" t="s">
        <v>1262</v>
      </c>
    </row>
    <row r="782" spans="2:3" x14ac:dyDescent="0.25">
      <c r="B782">
        <v>0</v>
      </c>
      <c r="C782" t="s">
        <v>1262</v>
      </c>
    </row>
    <row r="783" spans="2:3" x14ac:dyDescent="0.25">
      <c r="B783">
        <v>1</v>
      </c>
      <c r="C783" t="s">
        <v>1262</v>
      </c>
    </row>
    <row r="784" spans="2:3" x14ac:dyDescent="0.25">
      <c r="B784">
        <v>0</v>
      </c>
      <c r="C784" t="s">
        <v>1262</v>
      </c>
    </row>
    <row r="785" spans="2:3" x14ac:dyDescent="0.25">
      <c r="B785">
        <v>1</v>
      </c>
      <c r="C785">
        <v>12</v>
      </c>
    </row>
    <row r="786" spans="2:3" x14ac:dyDescent="0.25">
      <c r="B786">
        <v>0</v>
      </c>
      <c r="C786" t="s">
        <v>1262</v>
      </c>
    </row>
    <row r="787" spans="2:3" x14ac:dyDescent="0.25">
      <c r="B787">
        <v>0</v>
      </c>
      <c r="C787">
        <v>23</v>
      </c>
    </row>
    <row r="788" spans="2:3" x14ac:dyDescent="0.25">
      <c r="B788">
        <v>1</v>
      </c>
      <c r="C788" t="s">
        <v>1262</v>
      </c>
    </row>
    <row r="789" spans="2:3" x14ac:dyDescent="0.25">
      <c r="B789">
        <v>0</v>
      </c>
      <c r="C789" t="s">
        <v>1262</v>
      </c>
    </row>
    <row r="790" spans="2:3" x14ac:dyDescent="0.25">
      <c r="B790">
        <v>0</v>
      </c>
      <c r="C790">
        <v>23</v>
      </c>
    </row>
    <row r="791" spans="2:3" x14ac:dyDescent="0.25">
      <c r="B791">
        <v>0</v>
      </c>
      <c r="C791" t="s">
        <v>1262</v>
      </c>
    </row>
    <row r="792" spans="2:3" x14ac:dyDescent="0.25">
      <c r="B792">
        <v>0</v>
      </c>
      <c r="C792" t="s">
        <v>1262</v>
      </c>
    </row>
    <row r="793" spans="2:3" x14ac:dyDescent="0.25">
      <c r="B793">
        <v>1</v>
      </c>
      <c r="C793">
        <v>23</v>
      </c>
    </row>
    <row r="794" spans="2:3" x14ac:dyDescent="0.25">
      <c r="B794">
        <v>1</v>
      </c>
      <c r="C794">
        <v>23</v>
      </c>
    </row>
    <row r="795" spans="2:3" x14ac:dyDescent="0.25">
      <c r="B795">
        <v>1</v>
      </c>
      <c r="C795">
        <v>52</v>
      </c>
    </row>
    <row r="796" spans="2:3" x14ac:dyDescent="0.25">
      <c r="B796">
        <v>1</v>
      </c>
      <c r="C796">
        <v>93</v>
      </c>
    </row>
    <row r="797" spans="2:3" x14ac:dyDescent="0.25">
      <c r="B797">
        <v>1</v>
      </c>
      <c r="C797">
        <v>93</v>
      </c>
    </row>
    <row r="798" spans="2:3" x14ac:dyDescent="0.25">
      <c r="B798">
        <v>1</v>
      </c>
      <c r="C798" t="s">
        <v>1262</v>
      </c>
    </row>
    <row r="799" spans="2:3" x14ac:dyDescent="0.25">
      <c r="B799">
        <v>0</v>
      </c>
      <c r="C799">
        <v>46</v>
      </c>
    </row>
    <row r="800" spans="2:3" x14ac:dyDescent="0.25">
      <c r="B800">
        <v>1</v>
      </c>
      <c r="C800">
        <v>20</v>
      </c>
    </row>
    <row r="801" spans="2:3" x14ac:dyDescent="0.25">
      <c r="B801">
        <v>0</v>
      </c>
      <c r="C801" t="s">
        <v>1262</v>
      </c>
    </row>
    <row r="802" spans="2:3" x14ac:dyDescent="0.25">
      <c r="B802">
        <v>1</v>
      </c>
      <c r="C802">
        <v>20</v>
      </c>
    </row>
    <row r="803" spans="2:3" x14ac:dyDescent="0.25">
      <c r="B803">
        <v>1</v>
      </c>
      <c r="C803">
        <v>17</v>
      </c>
    </row>
    <row r="804" spans="2:3" x14ac:dyDescent="0.25">
      <c r="B804">
        <v>1</v>
      </c>
      <c r="C804">
        <v>17</v>
      </c>
    </row>
    <row r="805" spans="2:3" x14ac:dyDescent="0.25">
      <c r="B805">
        <v>1</v>
      </c>
      <c r="C805">
        <v>21</v>
      </c>
    </row>
    <row r="806" spans="2:3" x14ac:dyDescent="0.25">
      <c r="B806">
        <v>0</v>
      </c>
      <c r="C806">
        <v>46</v>
      </c>
    </row>
    <row r="807" spans="2:3" x14ac:dyDescent="0.25">
      <c r="B807">
        <v>1</v>
      </c>
      <c r="C807">
        <v>45</v>
      </c>
    </row>
    <row r="808" spans="2:3" x14ac:dyDescent="0.25">
      <c r="B808">
        <v>0</v>
      </c>
      <c r="C808" t="s">
        <v>1262</v>
      </c>
    </row>
    <row r="809" spans="2:3" x14ac:dyDescent="0.25">
      <c r="B809">
        <v>0</v>
      </c>
      <c r="C809">
        <v>38</v>
      </c>
    </row>
    <row r="810" spans="2:3" x14ac:dyDescent="0.25">
      <c r="B810">
        <v>0</v>
      </c>
      <c r="C810">
        <v>44</v>
      </c>
    </row>
    <row r="811" spans="2:3" x14ac:dyDescent="0.25">
      <c r="B811">
        <v>0</v>
      </c>
      <c r="C811" t="s">
        <v>1262</v>
      </c>
    </row>
    <row r="812" spans="2:3" x14ac:dyDescent="0.25">
      <c r="B812">
        <v>1</v>
      </c>
      <c r="C812">
        <v>44</v>
      </c>
    </row>
    <row r="813" spans="2:3" x14ac:dyDescent="0.25">
      <c r="B813">
        <v>1</v>
      </c>
      <c r="C813" t="s">
        <v>1262</v>
      </c>
    </row>
    <row r="814" spans="2:3" x14ac:dyDescent="0.25">
      <c r="B814">
        <v>1</v>
      </c>
      <c r="C814" t="s">
        <v>1262</v>
      </c>
    </row>
    <row r="815" spans="2:3" x14ac:dyDescent="0.25">
      <c r="B815">
        <v>1</v>
      </c>
      <c r="C815">
        <v>11</v>
      </c>
    </row>
    <row r="816" spans="2:3" x14ac:dyDescent="0.25">
      <c r="B816">
        <v>1</v>
      </c>
      <c r="C816">
        <v>73</v>
      </c>
    </row>
    <row r="817" spans="2:3" x14ac:dyDescent="0.25">
      <c r="B817">
        <v>1</v>
      </c>
      <c r="C817" t="s">
        <v>1262</v>
      </c>
    </row>
    <row r="818" spans="2:3" x14ac:dyDescent="0.25">
      <c r="B818">
        <v>1</v>
      </c>
      <c r="C818">
        <v>69</v>
      </c>
    </row>
    <row r="819" spans="2:3" x14ac:dyDescent="0.25">
      <c r="B819">
        <v>1</v>
      </c>
      <c r="C819" t="s">
        <v>1262</v>
      </c>
    </row>
    <row r="820" spans="2:3" x14ac:dyDescent="0.25">
      <c r="B820">
        <v>0</v>
      </c>
      <c r="C820" t="s">
        <v>1262</v>
      </c>
    </row>
    <row r="821" spans="2:3" x14ac:dyDescent="0.25">
      <c r="B821">
        <v>0</v>
      </c>
      <c r="C821" t="s">
        <v>1262</v>
      </c>
    </row>
    <row r="822" spans="2:3" x14ac:dyDescent="0.25">
      <c r="B822">
        <v>0</v>
      </c>
      <c r="C822" t="s">
        <v>1262</v>
      </c>
    </row>
    <row r="823" spans="2:3" x14ac:dyDescent="0.25">
      <c r="B823">
        <v>1</v>
      </c>
      <c r="C823" t="s">
        <v>1262</v>
      </c>
    </row>
    <row r="824" spans="2:3" x14ac:dyDescent="0.25">
      <c r="B824">
        <v>1</v>
      </c>
      <c r="C824">
        <v>101</v>
      </c>
    </row>
    <row r="825" spans="2:3" x14ac:dyDescent="0.25">
      <c r="B825">
        <v>1</v>
      </c>
      <c r="C825">
        <v>19</v>
      </c>
    </row>
    <row r="826" spans="2:3" x14ac:dyDescent="0.25">
      <c r="B826">
        <v>1</v>
      </c>
      <c r="C826">
        <v>47</v>
      </c>
    </row>
    <row r="827" spans="2:3" x14ac:dyDescent="0.25">
      <c r="B827">
        <v>1</v>
      </c>
      <c r="C827" t="s">
        <v>1262</v>
      </c>
    </row>
    <row r="828" spans="2:3" x14ac:dyDescent="0.25">
      <c r="B828">
        <v>1</v>
      </c>
      <c r="C828">
        <v>35</v>
      </c>
    </row>
    <row r="829" spans="2:3" x14ac:dyDescent="0.25">
      <c r="B829">
        <v>1</v>
      </c>
      <c r="C829" t="s">
        <v>1262</v>
      </c>
    </row>
    <row r="830" spans="2:3" x14ac:dyDescent="0.25">
      <c r="B830">
        <v>1</v>
      </c>
      <c r="C830">
        <v>35</v>
      </c>
    </row>
    <row r="831" spans="2:3" x14ac:dyDescent="0.25">
      <c r="B831">
        <v>1</v>
      </c>
      <c r="C831" t="s">
        <v>1262</v>
      </c>
    </row>
    <row r="832" spans="2:3" x14ac:dyDescent="0.25">
      <c r="B832">
        <v>1</v>
      </c>
      <c r="C832" t="s">
        <v>1262</v>
      </c>
    </row>
    <row r="833" spans="2:3" x14ac:dyDescent="0.25">
      <c r="B833">
        <v>1</v>
      </c>
      <c r="C833" t="s">
        <v>1262</v>
      </c>
    </row>
    <row r="834" spans="2:3" x14ac:dyDescent="0.25">
      <c r="B834">
        <v>0</v>
      </c>
      <c r="C834" t="s">
        <v>1262</v>
      </c>
    </row>
    <row r="835" spans="2:3" x14ac:dyDescent="0.25">
      <c r="B835">
        <v>0</v>
      </c>
      <c r="C835" t="s">
        <v>1262</v>
      </c>
    </row>
    <row r="836" spans="2:3" x14ac:dyDescent="0.25">
      <c r="B836">
        <v>0</v>
      </c>
      <c r="C836" t="s">
        <v>1262</v>
      </c>
    </row>
    <row r="837" spans="2:3" x14ac:dyDescent="0.25">
      <c r="B837">
        <v>0</v>
      </c>
      <c r="C837" t="s">
        <v>1262</v>
      </c>
    </row>
    <row r="838" spans="2:3" x14ac:dyDescent="0.25">
      <c r="B838">
        <v>1</v>
      </c>
      <c r="C838" t="s">
        <v>1262</v>
      </c>
    </row>
    <row r="839" spans="2:3" x14ac:dyDescent="0.25">
      <c r="B839">
        <v>1</v>
      </c>
      <c r="C839" t="s">
        <v>1262</v>
      </c>
    </row>
    <row r="840" spans="2:3" x14ac:dyDescent="0.25">
      <c r="B840">
        <v>0</v>
      </c>
      <c r="C840" t="s">
        <v>1262</v>
      </c>
    </row>
    <row r="841" spans="2:3" x14ac:dyDescent="0.25">
      <c r="B841">
        <v>0</v>
      </c>
      <c r="C841" t="s">
        <v>1262</v>
      </c>
    </row>
    <row r="842" spans="2:3" x14ac:dyDescent="0.25">
      <c r="B842">
        <v>0</v>
      </c>
      <c r="C842" t="s">
        <v>1262</v>
      </c>
    </row>
    <row r="843" spans="2:3" x14ac:dyDescent="0.25">
      <c r="B843">
        <v>0</v>
      </c>
      <c r="C843" t="s">
        <v>1262</v>
      </c>
    </row>
    <row r="844" spans="2:3" x14ac:dyDescent="0.25">
      <c r="B844">
        <v>0</v>
      </c>
      <c r="C844" t="s">
        <v>1262</v>
      </c>
    </row>
    <row r="845" spans="2:3" x14ac:dyDescent="0.25">
      <c r="B845">
        <v>0</v>
      </c>
      <c r="C845" t="s">
        <v>1262</v>
      </c>
    </row>
    <row r="846" spans="2:3" x14ac:dyDescent="0.25">
      <c r="B846">
        <v>0</v>
      </c>
      <c r="C846" t="s">
        <v>1262</v>
      </c>
    </row>
    <row r="847" spans="2:3" x14ac:dyDescent="0.25">
      <c r="B847">
        <v>0</v>
      </c>
      <c r="C847" t="s">
        <v>1262</v>
      </c>
    </row>
    <row r="848" spans="2:3" x14ac:dyDescent="0.25">
      <c r="B848">
        <v>0</v>
      </c>
      <c r="C848" t="s">
        <v>1262</v>
      </c>
    </row>
    <row r="849" spans="2:3" x14ac:dyDescent="0.25">
      <c r="B849">
        <v>0</v>
      </c>
      <c r="C849" t="s">
        <v>1262</v>
      </c>
    </row>
    <row r="850" spans="2:3" x14ac:dyDescent="0.25">
      <c r="B850">
        <v>0</v>
      </c>
      <c r="C850" t="s">
        <v>1262</v>
      </c>
    </row>
    <row r="851" spans="2:3" x14ac:dyDescent="0.25">
      <c r="B851">
        <v>0</v>
      </c>
      <c r="C851" t="s">
        <v>1262</v>
      </c>
    </row>
    <row r="852" spans="2:3" x14ac:dyDescent="0.25">
      <c r="B852">
        <v>0</v>
      </c>
      <c r="C852" t="s">
        <v>1262</v>
      </c>
    </row>
    <row r="853" spans="2:3" x14ac:dyDescent="0.25">
      <c r="B853">
        <v>0</v>
      </c>
      <c r="C853">
        <v>58</v>
      </c>
    </row>
    <row r="854" spans="2:3" x14ac:dyDescent="0.25">
      <c r="B854">
        <v>0</v>
      </c>
      <c r="C854" t="s">
        <v>1262</v>
      </c>
    </row>
    <row r="855" spans="2:3" x14ac:dyDescent="0.25">
      <c r="B855">
        <v>0</v>
      </c>
      <c r="C855" t="s">
        <v>1262</v>
      </c>
    </row>
    <row r="856" spans="2:3" x14ac:dyDescent="0.25">
      <c r="B856">
        <v>1</v>
      </c>
      <c r="C856" t="s">
        <v>1262</v>
      </c>
    </row>
    <row r="857" spans="2:3" x14ac:dyDescent="0.25">
      <c r="B857">
        <v>0</v>
      </c>
      <c r="C857" t="s">
        <v>1262</v>
      </c>
    </row>
    <row r="858" spans="2:3" x14ac:dyDescent="0.25">
      <c r="B858">
        <v>0</v>
      </c>
      <c r="C858" t="s">
        <v>1262</v>
      </c>
    </row>
    <row r="859" spans="2:3" x14ac:dyDescent="0.25">
      <c r="B859">
        <v>0</v>
      </c>
      <c r="C859" t="s">
        <v>1262</v>
      </c>
    </row>
    <row r="860" spans="2:3" x14ac:dyDescent="0.25">
      <c r="B860">
        <v>1</v>
      </c>
      <c r="C860" t="s">
        <v>1262</v>
      </c>
    </row>
    <row r="861" spans="2:3" x14ac:dyDescent="0.25">
      <c r="B861">
        <v>0</v>
      </c>
      <c r="C861" t="s">
        <v>1262</v>
      </c>
    </row>
    <row r="862" spans="2:3" x14ac:dyDescent="0.25">
      <c r="B862">
        <v>0</v>
      </c>
      <c r="C862" t="s">
        <v>1262</v>
      </c>
    </row>
    <row r="863" spans="2:3" x14ac:dyDescent="0.25">
      <c r="B863">
        <v>0</v>
      </c>
      <c r="C863" t="s">
        <v>1262</v>
      </c>
    </row>
    <row r="864" spans="2:3" x14ac:dyDescent="0.25">
      <c r="B864">
        <v>0</v>
      </c>
      <c r="C864" t="s">
        <v>1262</v>
      </c>
    </row>
    <row r="865" spans="2:3" x14ac:dyDescent="0.25">
      <c r="B865">
        <v>0</v>
      </c>
      <c r="C865" t="s">
        <v>1262</v>
      </c>
    </row>
    <row r="866" spans="2:3" x14ac:dyDescent="0.25">
      <c r="B866">
        <v>0</v>
      </c>
      <c r="C866" t="s">
        <v>1262</v>
      </c>
    </row>
    <row r="867" spans="2:3" x14ac:dyDescent="0.25">
      <c r="B867">
        <v>0</v>
      </c>
      <c r="C867" t="s">
        <v>1262</v>
      </c>
    </row>
    <row r="868" spans="2:3" x14ac:dyDescent="0.25">
      <c r="B868">
        <v>0</v>
      </c>
      <c r="C868" t="s">
        <v>1262</v>
      </c>
    </row>
    <row r="869" spans="2:3" x14ac:dyDescent="0.25">
      <c r="B869">
        <v>0</v>
      </c>
      <c r="C869" t="s">
        <v>1262</v>
      </c>
    </row>
    <row r="870" spans="2:3" x14ac:dyDescent="0.25">
      <c r="B870">
        <v>0</v>
      </c>
      <c r="C870" t="s">
        <v>1262</v>
      </c>
    </row>
    <row r="871" spans="2:3" x14ac:dyDescent="0.25">
      <c r="B871">
        <v>0</v>
      </c>
      <c r="C871" t="s">
        <v>1262</v>
      </c>
    </row>
    <row r="872" spans="2:3" x14ac:dyDescent="0.25">
      <c r="B872">
        <v>1</v>
      </c>
      <c r="C872" t="s">
        <v>1262</v>
      </c>
    </row>
    <row r="873" spans="2:3" x14ac:dyDescent="0.25">
      <c r="B873">
        <v>1</v>
      </c>
      <c r="C873" t="s">
        <v>1262</v>
      </c>
    </row>
    <row r="874" spans="2:3" x14ac:dyDescent="0.25">
      <c r="B874">
        <v>1</v>
      </c>
      <c r="C874" t="s">
        <v>1262</v>
      </c>
    </row>
    <row r="875" spans="2:3" x14ac:dyDescent="0.25">
      <c r="B875">
        <v>1</v>
      </c>
      <c r="C875" t="s">
        <v>1262</v>
      </c>
    </row>
    <row r="876" spans="2:3" x14ac:dyDescent="0.25">
      <c r="B876">
        <v>1</v>
      </c>
      <c r="C876" t="s">
        <v>1262</v>
      </c>
    </row>
    <row r="877" spans="2:3" x14ac:dyDescent="0.25">
      <c r="B877">
        <v>0</v>
      </c>
      <c r="C877" t="s">
        <v>1262</v>
      </c>
    </row>
    <row r="878" spans="2:3" x14ac:dyDescent="0.25">
      <c r="B878">
        <v>0</v>
      </c>
      <c r="C878" t="s">
        <v>1262</v>
      </c>
    </row>
    <row r="879" spans="2:3" x14ac:dyDescent="0.25">
      <c r="B879">
        <v>1</v>
      </c>
      <c r="C879" t="s">
        <v>1262</v>
      </c>
    </row>
    <row r="880" spans="2:3" x14ac:dyDescent="0.25">
      <c r="B880">
        <v>0</v>
      </c>
      <c r="C880" t="s">
        <v>1262</v>
      </c>
    </row>
    <row r="881" spans="2:3" x14ac:dyDescent="0.25">
      <c r="B881">
        <v>0</v>
      </c>
      <c r="C881" t="s">
        <v>1262</v>
      </c>
    </row>
    <row r="882" spans="2:3" x14ac:dyDescent="0.25">
      <c r="B882">
        <v>1</v>
      </c>
      <c r="C882" t="s">
        <v>1262</v>
      </c>
    </row>
    <row r="883" spans="2:3" x14ac:dyDescent="0.25">
      <c r="B883">
        <v>1</v>
      </c>
      <c r="C883" t="s">
        <v>1262</v>
      </c>
    </row>
    <row r="884" spans="2:3" x14ac:dyDescent="0.25">
      <c r="B884">
        <v>1</v>
      </c>
      <c r="C884" t="s">
        <v>1262</v>
      </c>
    </row>
    <row r="885" spans="2:3" x14ac:dyDescent="0.25">
      <c r="B885">
        <v>1</v>
      </c>
      <c r="C885" t="s">
        <v>1262</v>
      </c>
    </row>
    <row r="886" spans="2:3" x14ac:dyDescent="0.25">
      <c r="B886">
        <v>0</v>
      </c>
      <c r="C886" t="s">
        <v>1262</v>
      </c>
    </row>
    <row r="887" spans="2:3" x14ac:dyDescent="0.25">
      <c r="B887">
        <v>1</v>
      </c>
      <c r="C887" t="s">
        <v>1262</v>
      </c>
    </row>
    <row r="888" spans="2:3" x14ac:dyDescent="0.25">
      <c r="B888">
        <v>1</v>
      </c>
      <c r="C888" t="s">
        <v>1262</v>
      </c>
    </row>
    <row r="889" spans="2:3" x14ac:dyDescent="0.25">
      <c r="B889">
        <v>0</v>
      </c>
      <c r="C889">
        <v>51</v>
      </c>
    </row>
    <row r="890" spans="2:3" x14ac:dyDescent="0.25">
      <c r="B890">
        <v>0</v>
      </c>
      <c r="C890" t="s">
        <v>1262</v>
      </c>
    </row>
    <row r="891" spans="2:3" x14ac:dyDescent="0.25">
      <c r="B891">
        <v>0</v>
      </c>
      <c r="C891" t="s">
        <v>1262</v>
      </c>
    </row>
    <row r="892" spans="2:3" x14ac:dyDescent="0.25">
      <c r="B892">
        <v>0</v>
      </c>
      <c r="C892" t="s">
        <v>1262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892"/>
  <sheetViews>
    <sheetView workbookViewId="0">
      <selection sqref="A1:N1048576"/>
    </sheetView>
  </sheetViews>
  <sheetFormatPr defaultRowHeight="15" x14ac:dyDescent="0.25"/>
  <cols>
    <col min="4" max="5" width="49.85546875" customWidth="1"/>
    <col min="14" max="14" width="11.140625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s="4" t="s">
        <v>1236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s="4" t="s">
        <v>11</v>
      </c>
      <c r="N1" t="s">
        <v>12</v>
      </c>
    </row>
    <row r="2" spans="1:14" x14ac:dyDescent="0.25">
      <c r="A2">
        <v>2</v>
      </c>
      <c r="B2">
        <v>1</v>
      </c>
      <c r="C2">
        <v>1</v>
      </c>
      <c r="D2" t="s">
        <v>13</v>
      </c>
      <c r="E2" s="4">
        <v>51</v>
      </c>
      <c r="F2" t="s">
        <v>14</v>
      </c>
      <c r="G2">
        <v>38</v>
      </c>
      <c r="H2">
        <v>1</v>
      </c>
      <c r="I2">
        <v>0</v>
      </c>
      <c r="J2" t="s">
        <v>15</v>
      </c>
      <c r="K2">
        <v>71.283299999999997</v>
      </c>
      <c r="L2" t="s">
        <v>16</v>
      </c>
      <c r="M2" s="4" t="s">
        <v>17</v>
      </c>
      <c r="N2" t="s">
        <v>17</v>
      </c>
    </row>
    <row r="3" spans="1:14" x14ac:dyDescent="0.25">
      <c r="A3">
        <v>4</v>
      </c>
      <c r="B3">
        <v>1</v>
      </c>
      <c r="C3">
        <v>1</v>
      </c>
      <c r="D3" t="s">
        <v>18</v>
      </c>
      <c r="E3" s="4">
        <v>44</v>
      </c>
      <c r="F3" t="s">
        <v>14</v>
      </c>
      <c r="G3">
        <v>35</v>
      </c>
      <c r="H3">
        <v>1</v>
      </c>
      <c r="I3">
        <v>0</v>
      </c>
      <c r="J3">
        <v>113803</v>
      </c>
      <c r="K3">
        <v>53.1</v>
      </c>
      <c r="L3" t="s">
        <v>19</v>
      </c>
      <c r="M3" s="4" t="s">
        <v>17</v>
      </c>
      <c r="N3" t="s">
        <v>20</v>
      </c>
    </row>
    <row r="4" spans="1:14" x14ac:dyDescent="0.25">
      <c r="A4">
        <v>558</v>
      </c>
      <c r="B4">
        <v>0</v>
      </c>
      <c r="C4">
        <v>1</v>
      </c>
      <c r="D4" t="s">
        <v>23</v>
      </c>
      <c r="E4" s="4">
        <v>19</v>
      </c>
      <c r="F4" t="s">
        <v>24</v>
      </c>
      <c r="H4">
        <v>0</v>
      </c>
      <c r="I4">
        <v>0</v>
      </c>
      <c r="J4" t="s">
        <v>25</v>
      </c>
      <c r="K4">
        <v>227.52500000000001</v>
      </c>
      <c r="M4" s="4" t="s">
        <v>1262</v>
      </c>
      <c r="N4" t="s">
        <v>17</v>
      </c>
    </row>
    <row r="5" spans="1:14" x14ac:dyDescent="0.25">
      <c r="A5">
        <v>7</v>
      </c>
      <c r="B5">
        <v>0</v>
      </c>
      <c r="C5">
        <v>1</v>
      </c>
      <c r="D5" t="s">
        <v>29</v>
      </c>
      <c r="E5" s="4">
        <v>23</v>
      </c>
      <c r="F5" t="s">
        <v>24</v>
      </c>
      <c r="G5">
        <v>54</v>
      </c>
      <c r="H5">
        <v>0</v>
      </c>
      <c r="I5">
        <v>0</v>
      </c>
      <c r="J5">
        <v>17463</v>
      </c>
      <c r="K5">
        <v>51.862499999999997</v>
      </c>
      <c r="L5" t="s">
        <v>30</v>
      </c>
      <c r="M5" s="4" t="s">
        <v>31</v>
      </c>
      <c r="N5" t="s">
        <v>20</v>
      </c>
    </row>
    <row r="6" spans="1:14" x14ac:dyDescent="0.25">
      <c r="A6">
        <v>12</v>
      </c>
      <c r="B6">
        <v>1</v>
      </c>
      <c r="C6">
        <v>1</v>
      </c>
      <c r="D6" t="s">
        <v>32</v>
      </c>
      <c r="E6" s="4">
        <v>24</v>
      </c>
      <c r="F6" t="s">
        <v>14</v>
      </c>
      <c r="G6">
        <v>58</v>
      </c>
      <c r="H6">
        <v>0</v>
      </c>
      <c r="I6">
        <v>0</v>
      </c>
      <c r="J6">
        <v>113783</v>
      </c>
      <c r="K6">
        <v>26.55</v>
      </c>
      <c r="L6" t="s">
        <v>33</v>
      </c>
      <c r="M6" s="4" t="s">
        <v>17</v>
      </c>
      <c r="N6" t="s">
        <v>20</v>
      </c>
    </row>
    <row r="7" spans="1:14" x14ac:dyDescent="0.25">
      <c r="A7">
        <v>528</v>
      </c>
      <c r="B7">
        <v>0</v>
      </c>
      <c r="C7">
        <v>1</v>
      </c>
      <c r="D7" t="s">
        <v>34</v>
      </c>
      <c r="E7" s="4">
        <v>18</v>
      </c>
      <c r="F7" t="s">
        <v>24</v>
      </c>
      <c r="H7">
        <v>0</v>
      </c>
      <c r="I7">
        <v>0</v>
      </c>
      <c r="J7" t="s">
        <v>35</v>
      </c>
      <c r="K7">
        <v>221.7792</v>
      </c>
      <c r="L7" t="s">
        <v>36</v>
      </c>
      <c r="M7" s="4" t="s">
        <v>17</v>
      </c>
      <c r="N7" t="s">
        <v>20</v>
      </c>
    </row>
    <row r="8" spans="1:14" x14ac:dyDescent="0.25">
      <c r="A8">
        <v>32</v>
      </c>
      <c r="B8">
        <v>1</v>
      </c>
      <c r="C8">
        <v>1</v>
      </c>
      <c r="D8" t="s">
        <v>37</v>
      </c>
      <c r="E8" s="4">
        <v>46</v>
      </c>
      <c r="F8" t="s">
        <v>14</v>
      </c>
      <c r="H8">
        <v>1</v>
      </c>
      <c r="I8">
        <v>0</v>
      </c>
      <c r="J8" t="s">
        <v>38</v>
      </c>
      <c r="K8">
        <v>146.52080000000001</v>
      </c>
      <c r="L8" t="s">
        <v>39</v>
      </c>
      <c r="M8" s="4" t="s">
        <v>40</v>
      </c>
      <c r="N8" t="s">
        <v>17</v>
      </c>
    </row>
    <row r="9" spans="1:14" x14ac:dyDescent="0.25">
      <c r="A9">
        <v>24</v>
      </c>
      <c r="B9">
        <v>1</v>
      </c>
      <c r="C9">
        <v>1</v>
      </c>
      <c r="D9" t="s">
        <v>41</v>
      </c>
      <c r="E9" s="4">
        <v>28</v>
      </c>
      <c r="F9" t="s">
        <v>24</v>
      </c>
      <c r="G9">
        <v>28</v>
      </c>
      <c r="H9">
        <v>0</v>
      </c>
      <c r="I9">
        <v>0</v>
      </c>
      <c r="J9">
        <v>113788</v>
      </c>
      <c r="K9">
        <v>35.5</v>
      </c>
      <c r="L9" t="s">
        <v>42</v>
      </c>
      <c r="M9" s="4" t="s">
        <v>43</v>
      </c>
      <c r="N9" t="s">
        <v>20</v>
      </c>
    </row>
    <row r="10" spans="1:14" x14ac:dyDescent="0.25">
      <c r="A10">
        <v>335</v>
      </c>
      <c r="B10">
        <v>1</v>
      </c>
      <c r="C10">
        <v>1</v>
      </c>
      <c r="D10" t="s">
        <v>44</v>
      </c>
      <c r="E10" s="4">
        <v>50</v>
      </c>
      <c r="F10" t="s">
        <v>14</v>
      </c>
      <c r="H10">
        <v>1</v>
      </c>
      <c r="I10">
        <v>0</v>
      </c>
      <c r="J10" t="s">
        <v>45</v>
      </c>
      <c r="K10">
        <v>133.65</v>
      </c>
      <c r="M10" s="4" t="s">
        <v>1262</v>
      </c>
      <c r="N10" t="s">
        <v>20</v>
      </c>
    </row>
    <row r="11" spans="1:14" x14ac:dyDescent="0.25">
      <c r="A11">
        <v>28</v>
      </c>
      <c r="B11">
        <v>0</v>
      </c>
      <c r="C11">
        <v>1</v>
      </c>
      <c r="D11" t="s">
        <v>46</v>
      </c>
      <c r="E11" s="4">
        <v>30</v>
      </c>
      <c r="F11" t="s">
        <v>24</v>
      </c>
      <c r="G11">
        <v>19</v>
      </c>
      <c r="H11">
        <v>3</v>
      </c>
      <c r="I11">
        <v>2</v>
      </c>
      <c r="J11">
        <v>19950</v>
      </c>
      <c r="K11">
        <v>263</v>
      </c>
      <c r="L11" t="s">
        <v>47</v>
      </c>
      <c r="M11" s="4" t="s">
        <v>17</v>
      </c>
      <c r="N11" t="s">
        <v>20</v>
      </c>
    </row>
    <row r="12" spans="1:14" x14ac:dyDescent="0.25">
      <c r="A12">
        <v>307</v>
      </c>
      <c r="B12">
        <v>1</v>
      </c>
      <c r="C12">
        <v>1</v>
      </c>
      <c r="D12" t="s">
        <v>48</v>
      </c>
      <c r="E12" s="4">
        <v>23</v>
      </c>
      <c r="F12" t="s">
        <v>14</v>
      </c>
      <c r="H12">
        <v>0</v>
      </c>
      <c r="I12">
        <v>0</v>
      </c>
      <c r="J12">
        <v>17421</v>
      </c>
      <c r="K12">
        <v>110.88330000000001</v>
      </c>
      <c r="M12" s="4" t="s">
        <v>1262</v>
      </c>
      <c r="N12" t="s">
        <v>17</v>
      </c>
    </row>
    <row r="13" spans="1:14" x14ac:dyDescent="0.25">
      <c r="A13">
        <v>850</v>
      </c>
      <c r="B13">
        <v>1</v>
      </c>
      <c r="C13">
        <v>1</v>
      </c>
      <c r="D13" t="s">
        <v>49</v>
      </c>
      <c r="E13" s="4">
        <v>44</v>
      </c>
      <c r="F13" t="s">
        <v>14</v>
      </c>
      <c r="H13">
        <v>1</v>
      </c>
      <c r="I13">
        <v>0</v>
      </c>
      <c r="J13">
        <v>17453</v>
      </c>
      <c r="K13">
        <v>89.104200000000006</v>
      </c>
      <c r="L13" t="s">
        <v>50</v>
      </c>
      <c r="M13" s="4" t="s">
        <v>17</v>
      </c>
      <c r="N13" t="s">
        <v>17</v>
      </c>
    </row>
    <row r="14" spans="1:14" x14ac:dyDescent="0.25">
      <c r="A14">
        <v>31</v>
      </c>
      <c r="B14">
        <v>0</v>
      </c>
      <c r="C14">
        <v>1</v>
      </c>
      <c r="D14" t="s">
        <v>51</v>
      </c>
      <c r="E14" s="4">
        <v>24</v>
      </c>
      <c r="F14" t="s">
        <v>24</v>
      </c>
      <c r="G14">
        <v>40</v>
      </c>
      <c r="H14">
        <v>0</v>
      </c>
      <c r="I14">
        <v>0</v>
      </c>
      <c r="J14" t="s">
        <v>52</v>
      </c>
      <c r="K14">
        <v>27.720800000000001</v>
      </c>
      <c r="M14" s="4" t="s">
        <v>1262</v>
      </c>
      <c r="N14" t="s">
        <v>17</v>
      </c>
    </row>
    <row r="15" spans="1:14" x14ac:dyDescent="0.25">
      <c r="A15">
        <v>376</v>
      </c>
      <c r="B15">
        <v>1</v>
      </c>
      <c r="C15">
        <v>1</v>
      </c>
      <c r="D15" t="s">
        <v>53</v>
      </c>
      <c r="E15" s="4">
        <v>37</v>
      </c>
      <c r="F15" t="s">
        <v>14</v>
      </c>
      <c r="H15">
        <v>1</v>
      </c>
      <c r="I15">
        <v>0</v>
      </c>
      <c r="J15" t="s">
        <v>54</v>
      </c>
      <c r="K15">
        <v>82.1708</v>
      </c>
      <c r="M15" s="4" t="s">
        <v>1262</v>
      </c>
      <c r="N15" t="s">
        <v>17</v>
      </c>
    </row>
    <row r="16" spans="1:14" x14ac:dyDescent="0.25">
      <c r="A16">
        <v>257</v>
      </c>
      <c r="B16">
        <v>1</v>
      </c>
      <c r="C16">
        <v>1</v>
      </c>
      <c r="D16" t="s">
        <v>55</v>
      </c>
      <c r="E16" s="4">
        <v>30</v>
      </c>
      <c r="F16" t="s">
        <v>14</v>
      </c>
      <c r="H16">
        <v>0</v>
      </c>
      <c r="I16">
        <v>0</v>
      </c>
      <c r="J16" t="s">
        <v>56</v>
      </c>
      <c r="K16">
        <v>79.2</v>
      </c>
      <c r="M16" s="4" t="s">
        <v>1262</v>
      </c>
      <c r="N16" t="s">
        <v>17</v>
      </c>
    </row>
    <row r="17" spans="1:14" x14ac:dyDescent="0.25">
      <c r="A17">
        <v>35</v>
      </c>
      <c r="B17">
        <v>0</v>
      </c>
      <c r="C17">
        <v>1</v>
      </c>
      <c r="D17" t="s">
        <v>57</v>
      </c>
      <c r="E17" s="4">
        <v>23</v>
      </c>
      <c r="F17" t="s">
        <v>24</v>
      </c>
      <c r="G17">
        <v>28</v>
      </c>
      <c r="H17">
        <v>1</v>
      </c>
      <c r="I17">
        <v>0</v>
      </c>
      <c r="J17" t="s">
        <v>54</v>
      </c>
      <c r="K17">
        <v>82.1708</v>
      </c>
      <c r="M17" s="4" t="s">
        <v>1262</v>
      </c>
      <c r="N17" t="s">
        <v>17</v>
      </c>
    </row>
    <row r="18" spans="1:14" x14ac:dyDescent="0.25">
      <c r="A18">
        <v>36</v>
      </c>
      <c r="B18">
        <v>0</v>
      </c>
      <c r="C18">
        <v>1</v>
      </c>
      <c r="D18" t="s">
        <v>58</v>
      </c>
      <c r="E18" s="4">
        <v>30</v>
      </c>
      <c r="F18" t="s">
        <v>24</v>
      </c>
      <c r="G18">
        <v>42</v>
      </c>
      <c r="H18">
        <v>1</v>
      </c>
      <c r="I18">
        <v>0</v>
      </c>
      <c r="J18">
        <v>113789</v>
      </c>
      <c r="K18">
        <v>52</v>
      </c>
      <c r="M18" s="4" t="s">
        <v>1262</v>
      </c>
      <c r="N18" t="s">
        <v>20</v>
      </c>
    </row>
    <row r="19" spans="1:14" x14ac:dyDescent="0.25">
      <c r="A19">
        <v>53</v>
      </c>
      <c r="B19">
        <v>1</v>
      </c>
      <c r="C19">
        <v>1</v>
      </c>
      <c r="D19" t="s">
        <v>59</v>
      </c>
      <c r="E19" s="4">
        <v>40</v>
      </c>
      <c r="F19" t="s">
        <v>14</v>
      </c>
      <c r="G19">
        <v>49</v>
      </c>
      <c r="H19">
        <v>1</v>
      </c>
      <c r="I19">
        <v>0</v>
      </c>
      <c r="J19" t="s">
        <v>60</v>
      </c>
      <c r="K19">
        <v>76.729200000000006</v>
      </c>
      <c r="L19" t="s">
        <v>61</v>
      </c>
      <c r="M19" s="4" t="s">
        <v>62</v>
      </c>
      <c r="N19" t="s">
        <v>17</v>
      </c>
    </row>
    <row r="20" spans="1:14" x14ac:dyDescent="0.25">
      <c r="A20">
        <v>55</v>
      </c>
      <c r="B20">
        <v>0</v>
      </c>
      <c r="C20">
        <v>1</v>
      </c>
      <c r="D20" t="s">
        <v>63</v>
      </c>
      <c r="E20" s="4">
        <v>30</v>
      </c>
      <c r="F20" t="s">
        <v>24</v>
      </c>
      <c r="G20">
        <v>65</v>
      </c>
      <c r="H20">
        <v>0</v>
      </c>
      <c r="I20">
        <v>1</v>
      </c>
      <c r="J20">
        <v>113509</v>
      </c>
      <c r="K20">
        <v>61.979199999999999</v>
      </c>
      <c r="L20" t="s">
        <v>64</v>
      </c>
      <c r="M20" s="4" t="s">
        <v>40</v>
      </c>
      <c r="N20" t="s">
        <v>17</v>
      </c>
    </row>
    <row r="21" spans="1:14" x14ac:dyDescent="0.25">
      <c r="A21">
        <v>62</v>
      </c>
      <c r="B21">
        <v>1</v>
      </c>
      <c r="C21">
        <v>1</v>
      </c>
      <c r="D21" t="s">
        <v>65</v>
      </c>
      <c r="E21" s="4">
        <v>19</v>
      </c>
      <c r="F21" t="s">
        <v>14</v>
      </c>
      <c r="G21">
        <v>38</v>
      </c>
      <c r="H21">
        <v>0</v>
      </c>
      <c r="I21">
        <v>0</v>
      </c>
      <c r="J21">
        <v>113572</v>
      </c>
      <c r="K21">
        <v>80</v>
      </c>
      <c r="L21" t="s">
        <v>66</v>
      </c>
      <c r="M21" s="4" t="s">
        <v>40</v>
      </c>
    </row>
    <row r="22" spans="1:14" x14ac:dyDescent="0.25">
      <c r="A22">
        <v>63</v>
      </c>
      <c r="B22">
        <v>0</v>
      </c>
      <c r="C22">
        <v>1</v>
      </c>
      <c r="D22" t="s">
        <v>67</v>
      </c>
      <c r="E22" s="4">
        <v>27</v>
      </c>
      <c r="F22" t="s">
        <v>24</v>
      </c>
      <c r="G22">
        <v>45</v>
      </c>
      <c r="H22">
        <v>1</v>
      </c>
      <c r="I22">
        <v>0</v>
      </c>
      <c r="J22">
        <v>36973</v>
      </c>
      <c r="K22">
        <v>83.474999999999994</v>
      </c>
      <c r="L22" t="s">
        <v>68</v>
      </c>
      <c r="M22" s="4" t="s">
        <v>17</v>
      </c>
      <c r="N22" t="s">
        <v>20</v>
      </c>
    </row>
    <row r="23" spans="1:14" x14ac:dyDescent="0.25">
      <c r="A23">
        <v>167</v>
      </c>
      <c r="B23">
        <v>1</v>
      </c>
      <c r="C23">
        <v>1</v>
      </c>
      <c r="D23" t="s">
        <v>69</v>
      </c>
      <c r="E23" s="4">
        <v>38</v>
      </c>
      <c r="F23" t="s">
        <v>14</v>
      </c>
      <c r="H23">
        <v>0</v>
      </c>
      <c r="I23">
        <v>1</v>
      </c>
      <c r="J23">
        <v>113505</v>
      </c>
      <c r="K23">
        <v>55</v>
      </c>
      <c r="L23" t="s">
        <v>70</v>
      </c>
      <c r="M23" s="4" t="s">
        <v>31</v>
      </c>
      <c r="N23" t="s">
        <v>20</v>
      </c>
    </row>
    <row r="24" spans="1:14" x14ac:dyDescent="0.25">
      <c r="A24">
        <v>670</v>
      </c>
      <c r="B24">
        <v>1</v>
      </c>
      <c r="C24">
        <v>1</v>
      </c>
      <c r="D24" t="s">
        <v>71</v>
      </c>
      <c r="E24" s="4">
        <v>49</v>
      </c>
      <c r="F24" t="s">
        <v>14</v>
      </c>
      <c r="H24">
        <v>1</v>
      </c>
      <c r="I24">
        <v>0</v>
      </c>
      <c r="J24">
        <v>19996</v>
      </c>
      <c r="K24">
        <v>52</v>
      </c>
      <c r="L24" t="s">
        <v>72</v>
      </c>
      <c r="M24" s="4" t="s">
        <v>17</v>
      </c>
      <c r="N24" t="s">
        <v>20</v>
      </c>
    </row>
    <row r="25" spans="1:14" x14ac:dyDescent="0.25">
      <c r="A25">
        <v>84</v>
      </c>
      <c r="B25">
        <v>0</v>
      </c>
      <c r="C25">
        <v>1</v>
      </c>
      <c r="D25" t="s">
        <v>73</v>
      </c>
      <c r="E25" s="4">
        <v>23</v>
      </c>
      <c r="F25" t="s">
        <v>24</v>
      </c>
      <c r="G25">
        <v>28</v>
      </c>
      <c r="H25">
        <v>0</v>
      </c>
      <c r="I25">
        <v>0</v>
      </c>
      <c r="J25">
        <v>113059</v>
      </c>
      <c r="K25">
        <v>47.1</v>
      </c>
      <c r="M25" s="4" t="s">
        <v>1262</v>
      </c>
      <c r="N25" t="s">
        <v>20</v>
      </c>
    </row>
    <row r="26" spans="1:14" x14ac:dyDescent="0.25">
      <c r="A26">
        <v>476</v>
      </c>
      <c r="B26">
        <v>0</v>
      </c>
      <c r="C26">
        <v>1</v>
      </c>
      <c r="D26" t="s">
        <v>74</v>
      </c>
      <c r="E26" s="4">
        <v>27</v>
      </c>
      <c r="F26" t="s">
        <v>24</v>
      </c>
      <c r="H26">
        <v>0</v>
      </c>
      <c r="I26">
        <v>0</v>
      </c>
      <c r="J26">
        <v>110465</v>
      </c>
      <c r="K26">
        <v>52</v>
      </c>
      <c r="L26" t="s">
        <v>75</v>
      </c>
      <c r="M26" s="4" t="s">
        <v>43</v>
      </c>
      <c r="N26" t="s">
        <v>20</v>
      </c>
    </row>
    <row r="27" spans="1:14" x14ac:dyDescent="0.25">
      <c r="A27">
        <v>89</v>
      </c>
      <c r="B27">
        <v>1</v>
      </c>
      <c r="C27">
        <v>1</v>
      </c>
      <c r="D27" t="s">
        <v>76</v>
      </c>
      <c r="E27" s="4">
        <v>26</v>
      </c>
      <c r="F27" t="s">
        <v>14</v>
      </c>
      <c r="G27">
        <v>23</v>
      </c>
      <c r="H27">
        <v>3</v>
      </c>
      <c r="I27">
        <v>2</v>
      </c>
      <c r="J27">
        <v>19950</v>
      </c>
      <c r="K27">
        <v>263</v>
      </c>
      <c r="L27" t="s">
        <v>47</v>
      </c>
      <c r="M27" s="4" t="s">
        <v>17</v>
      </c>
      <c r="N27" t="s">
        <v>20</v>
      </c>
    </row>
    <row r="28" spans="1:14" x14ac:dyDescent="0.25">
      <c r="A28">
        <v>93</v>
      </c>
      <c r="B28">
        <v>0</v>
      </c>
      <c r="C28">
        <v>1</v>
      </c>
      <c r="D28" t="s">
        <v>77</v>
      </c>
      <c r="E28" s="4">
        <v>27</v>
      </c>
      <c r="F28" t="s">
        <v>24</v>
      </c>
      <c r="G28">
        <v>46</v>
      </c>
      <c r="H28">
        <v>1</v>
      </c>
      <c r="I28">
        <v>0</v>
      </c>
      <c r="J28" t="s">
        <v>78</v>
      </c>
      <c r="K28">
        <v>61.174999999999997</v>
      </c>
      <c r="L28" t="s">
        <v>79</v>
      </c>
      <c r="M28" s="4" t="s">
        <v>31</v>
      </c>
      <c r="N28" t="s">
        <v>20</v>
      </c>
    </row>
    <row r="29" spans="1:14" x14ac:dyDescent="0.25">
      <c r="A29">
        <v>458</v>
      </c>
      <c r="B29">
        <v>1</v>
      </c>
      <c r="C29">
        <v>1</v>
      </c>
      <c r="D29" t="s">
        <v>81</v>
      </c>
      <c r="E29" s="4">
        <v>33</v>
      </c>
      <c r="F29" t="s">
        <v>14</v>
      </c>
      <c r="H29">
        <v>1</v>
      </c>
      <c r="I29">
        <v>0</v>
      </c>
      <c r="J29">
        <v>17464</v>
      </c>
      <c r="K29">
        <v>51.862499999999997</v>
      </c>
      <c r="L29" t="s">
        <v>82</v>
      </c>
      <c r="M29" s="4" t="s">
        <v>62</v>
      </c>
      <c r="N29" t="s">
        <v>20</v>
      </c>
    </row>
    <row r="30" spans="1:14" x14ac:dyDescent="0.25">
      <c r="A30">
        <v>97</v>
      </c>
      <c r="B30">
        <v>0</v>
      </c>
      <c r="C30">
        <v>1</v>
      </c>
      <c r="D30" t="s">
        <v>83</v>
      </c>
      <c r="E30" s="4">
        <v>25</v>
      </c>
      <c r="F30" t="s">
        <v>24</v>
      </c>
      <c r="G30">
        <v>71</v>
      </c>
      <c r="H30">
        <v>0</v>
      </c>
      <c r="I30">
        <v>0</v>
      </c>
      <c r="J30" t="s">
        <v>84</v>
      </c>
      <c r="K30">
        <v>34.654200000000003</v>
      </c>
      <c r="L30" t="s">
        <v>85</v>
      </c>
      <c r="M30" s="4" t="s">
        <v>43</v>
      </c>
      <c r="N30" t="s">
        <v>17</v>
      </c>
    </row>
    <row r="31" spans="1:14" x14ac:dyDescent="0.25">
      <c r="A31">
        <v>98</v>
      </c>
      <c r="B31">
        <v>1</v>
      </c>
      <c r="C31">
        <v>1</v>
      </c>
      <c r="D31" t="s">
        <v>86</v>
      </c>
      <c r="E31" s="4">
        <v>31</v>
      </c>
      <c r="F31" t="s">
        <v>24</v>
      </c>
      <c r="G31">
        <v>23</v>
      </c>
      <c r="H31">
        <v>0</v>
      </c>
      <c r="I31">
        <v>1</v>
      </c>
      <c r="J31" t="s">
        <v>87</v>
      </c>
      <c r="K31">
        <v>63.3583</v>
      </c>
      <c r="L31" t="s">
        <v>88</v>
      </c>
      <c r="M31" s="4" t="s">
        <v>62</v>
      </c>
      <c r="N31" t="s">
        <v>17</v>
      </c>
    </row>
    <row r="32" spans="1:14" x14ac:dyDescent="0.25">
      <c r="A32">
        <v>186</v>
      </c>
      <c r="B32">
        <v>0</v>
      </c>
      <c r="C32">
        <v>1</v>
      </c>
      <c r="D32" t="s">
        <v>89</v>
      </c>
      <c r="E32" s="4">
        <v>21</v>
      </c>
      <c r="F32" t="s">
        <v>24</v>
      </c>
      <c r="H32">
        <v>0</v>
      </c>
      <c r="I32">
        <v>0</v>
      </c>
      <c r="J32">
        <v>113767</v>
      </c>
      <c r="K32">
        <v>50</v>
      </c>
      <c r="L32" t="s">
        <v>90</v>
      </c>
      <c r="M32" s="4" t="s">
        <v>43</v>
      </c>
      <c r="N32" t="s">
        <v>20</v>
      </c>
    </row>
    <row r="33" spans="1:14" x14ac:dyDescent="0.25">
      <c r="A33">
        <v>103</v>
      </c>
      <c r="B33">
        <v>0</v>
      </c>
      <c r="C33">
        <v>1</v>
      </c>
      <c r="D33" t="s">
        <v>91</v>
      </c>
      <c r="E33" s="4">
        <v>25</v>
      </c>
      <c r="F33" t="s">
        <v>24</v>
      </c>
      <c r="G33">
        <v>21</v>
      </c>
      <c r="H33">
        <v>0</v>
      </c>
      <c r="I33">
        <v>1</v>
      </c>
      <c r="J33">
        <v>35281</v>
      </c>
      <c r="K33">
        <v>77.287499999999994</v>
      </c>
      <c r="L33" t="s">
        <v>92</v>
      </c>
      <c r="M33" s="4" t="s">
        <v>62</v>
      </c>
      <c r="N33" t="s">
        <v>20</v>
      </c>
    </row>
    <row r="34" spans="1:14" x14ac:dyDescent="0.25">
      <c r="A34">
        <v>603</v>
      </c>
      <c r="B34">
        <v>0</v>
      </c>
      <c r="C34">
        <v>1</v>
      </c>
      <c r="D34" t="s">
        <v>93</v>
      </c>
      <c r="E34" s="4">
        <v>25</v>
      </c>
      <c r="F34" t="s">
        <v>24</v>
      </c>
      <c r="H34">
        <v>0</v>
      </c>
      <c r="I34">
        <v>0</v>
      </c>
      <c r="J34">
        <v>113796</v>
      </c>
      <c r="K34">
        <v>42.4</v>
      </c>
      <c r="M34" s="4" t="s">
        <v>1262</v>
      </c>
      <c r="N34" t="s">
        <v>20</v>
      </c>
    </row>
    <row r="35" spans="1:14" x14ac:dyDescent="0.25">
      <c r="A35">
        <v>767</v>
      </c>
      <c r="B35">
        <v>0</v>
      </c>
      <c r="C35">
        <v>1</v>
      </c>
      <c r="D35" t="s">
        <v>94</v>
      </c>
      <c r="E35" s="4">
        <v>25</v>
      </c>
      <c r="F35" t="s">
        <v>24</v>
      </c>
      <c r="H35">
        <v>0</v>
      </c>
      <c r="I35">
        <v>0</v>
      </c>
      <c r="J35">
        <v>112379</v>
      </c>
      <c r="K35">
        <v>39.6</v>
      </c>
      <c r="M35" s="4" t="s">
        <v>1262</v>
      </c>
      <c r="N35" t="s">
        <v>17</v>
      </c>
    </row>
    <row r="36" spans="1:14" x14ac:dyDescent="0.25">
      <c r="A36">
        <v>111</v>
      </c>
      <c r="B36">
        <v>0</v>
      </c>
      <c r="C36">
        <v>1</v>
      </c>
      <c r="D36" t="s">
        <v>95</v>
      </c>
      <c r="E36" s="4">
        <v>30</v>
      </c>
      <c r="F36" t="s">
        <v>24</v>
      </c>
      <c r="G36">
        <v>47</v>
      </c>
      <c r="H36">
        <v>0</v>
      </c>
      <c r="I36">
        <v>0</v>
      </c>
      <c r="J36">
        <v>110465</v>
      </c>
      <c r="K36">
        <v>52</v>
      </c>
      <c r="L36" t="s">
        <v>96</v>
      </c>
      <c r="M36" s="4" t="s">
        <v>17</v>
      </c>
      <c r="N36" t="s">
        <v>20</v>
      </c>
    </row>
    <row r="37" spans="1:14" x14ac:dyDescent="0.25">
      <c r="A37">
        <v>119</v>
      </c>
      <c r="B37">
        <v>0</v>
      </c>
      <c r="C37">
        <v>1</v>
      </c>
      <c r="D37" t="s">
        <v>98</v>
      </c>
      <c r="E37" s="4">
        <v>24</v>
      </c>
      <c r="F37" t="s">
        <v>24</v>
      </c>
      <c r="G37">
        <v>24</v>
      </c>
      <c r="H37">
        <v>0</v>
      </c>
      <c r="I37">
        <v>1</v>
      </c>
      <c r="J37" t="s">
        <v>99</v>
      </c>
      <c r="K37">
        <v>247.52080000000001</v>
      </c>
      <c r="L37" t="s">
        <v>100</v>
      </c>
      <c r="M37" s="4" t="s">
        <v>40</v>
      </c>
      <c r="N37" t="s">
        <v>17</v>
      </c>
    </row>
    <row r="38" spans="1:14" x14ac:dyDescent="0.25">
      <c r="A38">
        <v>56</v>
      </c>
      <c r="B38">
        <v>1</v>
      </c>
      <c r="C38">
        <v>1</v>
      </c>
      <c r="D38" t="s">
        <v>101</v>
      </c>
      <c r="E38" s="4">
        <v>17</v>
      </c>
      <c r="F38" t="s">
        <v>24</v>
      </c>
      <c r="H38">
        <v>0</v>
      </c>
      <c r="I38">
        <v>0</v>
      </c>
      <c r="J38">
        <v>19947</v>
      </c>
      <c r="K38">
        <v>35.5</v>
      </c>
      <c r="L38" t="s">
        <v>102</v>
      </c>
      <c r="M38" s="4" t="s">
        <v>17</v>
      </c>
      <c r="N38" t="s">
        <v>20</v>
      </c>
    </row>
    <row r="39" spans="1:14" x14ac:dyDescent="0.25">
      <c r="A39">
        <v>125</v>
      </c>
      <c r="B39">
        <v>0</v>
      </c>
      <c r="C39">
        <v>1</v>
      </c>
      <c r="D39" t="s">
        <v>103</v>
      </c>
      <c r="E39" s="4">
        <v>27</v>
      </c>
      <c r="F39" t="s">
        <v>24</v>
      </c>
      <c r="G39">
        <v>54</v>
      </c>
      <c r="H39">
        <v>0</v>
      </c>
      <c r="I39">
        <v>1</v>
      </c>
      <c r="J39">
        <v>35281</v>
      </c>
      <c r="K39">
        <v>77.287499999999994</v>
      </c>
      <c r="L39" t="s">
        <v>92</v>
      </c>
      <c r="M39" s="4" t="s">
        <v>62</v>
      </c>
      <c r="N39" t="s">
        <v>20</v>
      </c>
    </row>
    <row r="40" spans="1:14" x14ac:dyDescent="0.25">
      <c r="A40">
        <v>352</v>
      </c>
      <c r="B40">
        <v>0</v>
      </c>
      <c r="C40">
        <v>1</v>
      </c>
      <c r="D40" t="s">
        <v>104</v>
      </c>
      <c r="E40" s="4">
        <v>38</v>
      </c>
      <c r="F40" t="s">
        <v>24</v>
      </c>
      <c r="H40">
        <v>0</v>
      </c>
      <c r="I40">
        <v>0</v>
      </c>
      <c r="J40">
        <v>113510</v>
      </c>
      <c r="K40">
        <v>35</v>
      </c>
      <c r="L40" t="s">
        <v>105</v>
      </c>
      <c r="M40" s="4" t="s">
        <v>17</v>
      </c>
      <c r="N40" t="s">
        <v>20</v>
      </c>
    </row>
    <row r="41" spans="1:14" x14ac:dyDescent="0.25">
      <c r="A41">
        <v>137</v>
      </c>
      <c r="B41">
        <v>1</v>
      </c>
      <c r="C41">
        <v>1</v>
      </c>
      <c r="D41" t="s">
        <v>106</v>
      </c>
      <c r="E41" s="4">
        <v>28</v>
      </c>
      <c r="F41" t="s">
        <v>14</v>
      </c>
      <c r="G41">
        <v>19</v>
      </c>
      <c r="H41">
        <v>0</v>
      </c>
      <c r="I41">
        <v>2</v>
      </c>
      <c r="J41">
        <v>11752</v>
      </c>
      <c r="K41">
        <v>26.283300000000001</v>
      </c>
      <c r="L41" t="s">
        <v>107</v>
      </c>
      <c r="M41" s="4" t="s">
        <v>62</v>
      </c>
      <c r="N41" t="s">
        <v>20</v>
      </c>
    </row>
    <row r="42" spans="1:14" x14ac:dyDescent="0.25">
      <c r="A42">
        <v>138</v>
      </c>
      <c r="B42">
        <v>0</v>
      </c>
      <c r="C42">
        <v>1</v>
      </c>
      <c r="D42" t="s">
        <v>108</v>
      </c>
      <c r="E42" s="4">
        <v>27</v>
      </c>
      <c r="F42" t="s">
        <v>24</v>
      </c>
      <c r="G42">
        <v>37</v>
      </c>
      <c r="H42">
        <v>1</v>
      </c>
      <c r="I42">
        <v>0</v>
      </c>
      <c r="J42">
        <v>113803</v>
      </c>
      <c r="K42">
        <v>53.1</v>
      </c>
      <c r="L42" t="s">
        <v>19</v>
      </c>
      <c r="M42" s="4" t="s">
        <v>17</v>
      </c>
      <c r="N42" t="s">
        <v>20</v>
      </c>
    </row>
    <row r="43" spans="1:14" x14ac:dyDescent="0.25">
      <c r="A43">
        <v>140</v>
      </c>
      <c r="B43">
        <v>0</v>
      </c>
      <c r="C43">
        <v>1</v>
      </c>
      <c r="D43" t="s">
        <v>109</v>
      </c>
      <c r="E43" s="4">
        <v>18</v>
      </c>
      <c r="F43" t="s">
        <v>24</v>
      </c>
      <c r="G43">
        <v>24</v>
      </c>
      <c r="H43">
        <v>0</v>
      </c>
      <c r="I43">
        <v>0</v>
      </c>
      <c r="J43" t="s">
        <v>110</v>
      </c>
      <c r="K43">
        <v>79.2</v>
      </c>
      <c r="L43" t="s">
        <v>111</v>
      </c>
      <c r="M43" s="4" t="s">
        <v>40</v>
      </c>
      <c r="N43" t="s">
        <v>17</v>
      </c>
    </row>
    <row r="44" spans="1:14" x14ac:dyDescent="0.25">
      <c r="A44">
        <v>271</v>
      </c>
      <c r="B44">
        <v>0</v>
      </c>
      <c r="C44">
        <v>1</v>
      </c>
      <c r="D44" t="s">
        <v>112</v>
      </c>
      <c r="E44" s="4">
        <v>21</v>
      </c>
      <c r="F44" t="s">
        <v>24</v>
      </c>
      <c r="H44">
        <v>0</v>
      </c>
      <c r="I44">
        <v>0</v>
      </c>
      <c r="J44">
        <v>113798</v>
      </c>
      <c r="K44">
        <v>31</v>
      </c>
      <c r="M44" s="4" t="s">
        <v>1262</v>
      </c>
      <c r="N44" t="s">
        <v>20</v>
      </c>
    </row>
    <row r="45" spans="1:14" x14ac:dyDescent="0.25">
      <c r="A45">
        <v>152</v>
      </c>
      <c r="B45">
        <v>1</v>
      </c>
      <c r="C45">
        <v>1</v>
      </c>
      <c r="D45" t="s">
        <v>113</v>
      </c>
      <c r="E45" s="4">
        <v>33</v>
      </c>
      <c r="F45" t="s">
        <v>14</v>
      </c>
      <c r="G45">
        <v>22</v>
      </c>
      <c r="H45">
        <v>1</v>
      </c>
      <c r="I45">
        <v>0</v>
      </c>
      <c r="J45">
        <v>113776</v>
      </c>
      <c r="K45">
        <v>66.599999999999994</v>
      </c>
      <c r="L45" t="s">
        <v>114</v>
      </c>
      <c r="M45" s="4" t="s">
        <v>17</v>
      </c>
      <c r="N45" t="s">
        <v>20</v>
      </c>
    </row>
    <row r="46" spans="1:14" x14ac:dyDescent="0.25">
      <c r="A46">
        <v>794</v>
      </c>
      <c r="B46">
        <v>0</v>
      </c>
      <c r="C46">
        <v>1</v>
      </c>
      <c r="D46" t="s">
        <v>115</v>
      </c>
      <c r="E46" s="4">
        <v>24</v>
      </c>
      <c r="F46" t="s">
        <v>24</v>
      </c>
      <c r="H46">
        <v>0</v>
      </c>
      <c r="I46">
        <v>0</v>
      </c>
      <c r="J46" t="s">
        <v>116</v>
      </c>
      <c r="K46">
        <v>30.695799999999998</v>
      </c>
      <c r="M46" s="4" t="s">
        <v>1262</v>
      </c>
      <c r="N46" t="s">
        <v>17</v>
      </c>
    </row>
    <row r="47" spans="1:14" x14ac:dyDescent="0.25">
      <c r="A47">
        <v>156</v>
      </c>
      <c r="B47">
        <v>0</v>
      </c>
      <c r="C47">
        <v>1</v>
      </c>
      <c r="D47" t="s">
        <v>117</v>
      </c>
      <c r="E47" s="4">
        <v>27</v>
      </c>
      <c r="F47" t="s">
        <v>24</v>
      </c>
      <c r="G47">
        <v>51</v>
      </c>
      <c r="H47">
        <v>0</v>
      </c>
      <c r="I47">
        <v>1</v>
      </c>
      <c r="J47" t="s">
        <v>118</v>
      </c>
      <c r="K47">
        <v>61.379199999999997</v>
      </c>
      <c r="M47" s="4" t="s">
        <v>1262</v>
      </c>
      <c r="N47" t="s">
        <v>17</v>
      </c>
    </row>
    <row r="48" spans="1:14" x14ac:dyDescent="0.25">
      <c r="A48">
        <v>299</v>
      </c>
      <c r="B48">
        <v>1</v>
      </c>
      <c r="C48">
        <v>1</v>
      </c>
      <c r="D48" t="s">
        <v>119</v>
      </c>
      <c r="E48" s="4">
        <v>21</v>
      </c>
      <c r="F48" t="s">
        <v>24</v>
      </c>
      <c r="H48">
        <v>0</v>
      </c>
      <c r="I48">
        <v>0</v>
      </c>
      <c r="J48">
        <v>19988</v>
      </c>
      <c r="K48">
        <v>30.5</v>
      </c>
      <c r="L48" t="s">
        <v>120</v>
      </c>
      <c r="M48" s="4" t="s">
        <v>17</v>
      </c>
      <c r="N48" t="s">
        <v>20</v>
      </c>
    </row>
    <row r="49" spans="1:14" x14ac:dyDescent="0.25">
      <c r="A49">
        <v>741</v>
      </c>
      <c r="B49">
        <v>1</v>
      </c>
      <c r="C49">
        <v>1</v>
      </c>
      <c r="D49" t="s">
        <v>122</v>
      </c>
      <c r="E49" s="4">
        <v>27</v>
      </c>
      <c r="F49" t="s">
        <v>24</v>
      </c>
      <c r="H49">
        <v>0</v>
      </c>
      <c r="I49">
        <v>0</v>
      </c>
      <c r="J49">
        <v>16988</v>
      </c>
      <c r="K49">
        <v>30</v>
      </c>
      <c r="L49" t="s">
        <v>123</v>
      </c>
      <c r="M49" s="4" t="s">
        <v>62</v>
      </c>
      <c r="N49" t="s">
        <v>20</v>
      </c>
    </row>
    <row r="50" spans="1:14" x14ac:dyDescent="0.25">
      <c r="A50">
        <v>840</v>
      </c>
      <c r="B50">
        <v>1</v>
      </c>
      <c r="C50">
        <v>1</v>
      </c>
      <c r="D50" t="s">
        <v>124</v>
      </c>
      <c r="E50" s="4">
        <v>20</v>
      </c>
      <c r="F50" t="s">
        <v>24</v>
      </c>
      <c r="H50">
        <v>0</v>
      </c>
      <c r="I50">
        <v>0</v>
      </c>
      <c r="J50">
        <v>11774</v>
      </c>
      <c r="K50">
        <v>29.7</v>
      </c>
      <c r="L50" t="s">
        <v>125</v>
      </c>
      <c r="M50" s="4" t="s">
        <v>17</v>
      </c>
      <c r="N50" t="s">
        <v>17</v>
      </c>
    </row>
    <row r="51" spans="1:14" x14ac:dyDescent="0.25">
      <c r="A51">
        <v>65</v>
      </c>
      <c r="B51">
        <v>0</v>
      </c>
      <c r="C51">
        <v>1</v>
      </c>
      <c r="D51" t="s">
        <v>126</v>
      </c>
      <c r="E51" s="4">
        <v>21</v>
      </c>
      <c r="F51" t="s">
        <v>24</v>
      </c>
      <c r="H51">
        <v>0</v>
      </c>
      <c r="I51">
        <v>0</v>
      </c>
      <c r="J51" t="s">
        <v>127</v>
      </c>
      <c r="K51">
        <v>27.720800000000001</v>
      </c>
      <c r="M51" s="4" t="s">
        <v>1262</v>
      </c>
      <c r="N51" t="s">
        <v>17</v>
      </c>
    </row>
    <row r="52" spans="1:14" x14ac:dyDescent="0.25">
      <c r="A52">
        <v>171</v>
      </c>
      <c r="B52">
        <v>0</v>
      </c>
      <c r="C52">
        <v>1</v>
      </c>
      <c r="D52" t="s">
        <v>128</v>
      </c>
      <c r="E52" s="4">
        <v>25</v>
      </c>
      <c r="F52" t="s">
        <v>24</v>
      </c>
      <c r="G52">
        <v>61</v>
      </c>
      <c r="H52">
        <v>0</v>
      </c>
      <c r="I52">
        <v>0</v>
      </c>
      <c r="J52">
        <v>111240</v>
      </c>
      <c r="K52">
        <v>33.5</v>
      </c>
      <c r="L52" t="s">
        <v>129</v>
      </c>
      <c r="M52" s="4" t="s">
        <v>40</v>
      </c>
      <c r="N52" t="s">
        <v>20</v>
      </c>
    </row>
    <row r="53" spans="1:14" x14ac:dyDescent="0.25">
      <c r="A53">
        <v>175</v>
      </c>
      <c r="B53">
        <v>0</v>
      </c>
      <c r="C53">
        <v>1</v>
      </c>
      <c r="D53" t="s">
        <v>130</v>
      </c>
      <c r="E53" s="4">
        <v>23</v>
      </c>
      <c r="F53" t="s">
        <v>24</v>
      </c>
      <c r="G53">
        <v>56</v>
      </c>
      <c r="H53">
        <v>0</v>
      </c>
      <c r="I53">
        <v>0</v>
      </c>
      <c r="J53">
        <v>17764</v>
      </c>
      <c r="K53">
        <v>30.695799999999998</v>
      </c>
      <c r="L53" t="s">
        <v>131</v>
      </c>
      <c r="M53" s="4" t="s">
        <v>43</v>
      </c>
      <c r="N53" t="s">
        <v>17</v>
      </c>
    </row>
    <row r="54" spans="1:14" x14ac:dyDescent="0.25">
      <c r="A54">
        <v>296</v>
      </c>
      <c r="B54">
        <v>0</v>
      </c>
      <c r="C54">
        <v>1</v>
      </c>
      <c r="D54" t="s">
        <v>132</v>
      </c>
      <c r="E54" s="4">
        <v>17</v>
      </c>
      <c r="F54" t="s">
        <v>24</v>
      </c>
      <c r="H54">
        <v>0</v>
      </c>
      <c r="I54">
        <v>0</v>
      </c>
      <c r="J54" t="s">
        <v>133</v>
      </c>
      <c r="K54">
        <v>27.720800000000001</v>
      </c>
      <c r="M54" s="4" t="s">
        <v>1262</v>
      </c>
      <c r="N54" t="s">
        <v>17</v>
      </c>
    </row>
    <row r="55" spans="1:14" x14ac:dyDescent="0.25">
      <c r="A55">
        <v>178</v>
      </c>
      <c r="B55">
        <v>0</v>
      </c>
      <c r="C55">
        <v>1</v>
      </c>
      <c r="D55" t="s">
        <v>134</v>
      </c>
      <c r="E55" s="4">
        <v>26</v>
      </c>
      <c r="F55" t="s">
        <v>14</v>
      </c>
      <c r="G55">
        <v>50</v>
      </c>
      <c r="H55">
        <v>0</v>
      </c>
      <c r="I55">
        <v>0</v>
      </c>
      <c r="J55" t="s">
        <v>135</v>
      </c>
      <c r="K55">
        <v>28.712499999999999</v>
      </c>
      <c r="L55" t="s">
        <v>136</v>
      </c>
      <c r="M55" s="4" t="s">
        <v>17</v>
      </c>
      <c r="N55" t="s">
        <v>17</v>
      </c>
    </row>
    <row r="56" spans="1:14" x14ac:dyDescent="0.25">
      <c r="A56">
        <v>712</v>
      </c>
      <c r="B56">
        <v>0</v>
      </c>
      <c r="C56">
        <v>1</v>
      </c>
      <c r="D56" t="s">
        <v>137</v>
      </c>
      <c r="E56" s="4">
        <v>18</v>
      </c>
      <c r="F56" t="s">
        <v>24</v>
      </c>
      <c r="H56">
        <v>0</v>
      </c>
      <c r="I56">
        <v>0</v>
      </c>
      <c r="J56">
        <v>113028</v>
      </c>
      <c r="K56">
        <v>26.55</v>
      </c>
      <c r="L56" t="s">
        <v>138</v>
      </c>
      <c r="M56" s="4" t="s">
        <v>17</v>
      </c>
      <c r="N56" t="s">
        <v>20</v>
      </c>
    </row>
    <row r="57" spans="1:14" x14ac:dyDescent="0.25">
      <c r="A57">
        <v>508</v>
      </c>
      <c r="B57">
        <v>1</v>
      </c>
      <c r="C57">
        <v>1</v>
      </c>
      <c r="D57" t="s">
        <v>139</v>
      </c>
      <c r="E57" s="4">
        <v>45</v>
      </c>
      <c r="F57" t="s">
        <v>24</v>
      </c>
      <c r="H57">
        <v>0</v>
      </c>
      <c r="I57">
        <v>0</v>
      </c>
      <c r="J57">
        <v>111427</v>
      </c>
      <c r="K57">
        <v>26.55</v>
      </c>
      <c r="M57" s="4" t="s">
        <v>1262</v>
      </c>
      <c r="N57" t="s">
        <v>20</v>
      </c>
    </row>
    <row r="58" spans="1:14" x14ac:dyDescent="0.25">
      <c r="A58">
        <v>285</v>
      </c>
      <c r="B58">
        <v>0</v>
      </c>
      <c r="C58">
        <v>1</v>
      </c>
      <c r="D58" t="s">
        <v>140</v>
      </c>
      <c r="E58" s="4">
        <v>26</v>
      </c>
      <c r="F58" t="s">
        <v>24</v>
      </c>
      <c r="H58">
        <v>0</v>
      </c>
      <c r="I58">
        <v>0</v>
      </c>
      <c r="J58">
        <v>113056</v>
      </c>
      <c r="K58">
        <v>26</v>
      </c>
      <c r="L58" t="s">
        <v>141</v>
      </c>
      <c r="M58" s="4" t="s">
        <v>43</v>
      </c>
      <c r="N58" t="s">
        <v>20</v>
      </c>
    </row>
    <row r="59" spans="1:14" x14ac:dyDescent="0.25">
      <c r="A59">
        <v>169</v>
      </c>
      <c r="B59">
        <v>0</v>
      </c>
      <c r="C59">
        <v>1</v>
      </c>
      <c r="D59" t="s">
        <v>142</v>
      </c>
      <c r="E59" s="4">
        <v>19</v>
      </c>
      <c r="F59" t="s">
        <v>24</v>
      </c>
      <c r="H59">
        <v>0</v>
      </c>
      <c r="I59">
        <v>0</v>
      </c>
      <c r="J59" t="s">
        <v>143</v>
      </c>
      <c r="K59">
        <v>25.925000000000001</v>
      </c>
      <c r="M59" s="4" t="s">
        <v>1262</v>
      </c>
      <c r="N59" t="s">
        <v>20</v>
      </c>
    </row>
    <row r="60" spans="1:14" x14ac:dyDescent="0.25">
      <c r="A60">
        <v>188</v>
      </c>
      <c r="B60">
        <v>1</v>
      </c>
      <c r="C60">
        <v>1</v>
      </c>
      <c r="D60" t="s">
        <v>144</v>
      </c>
      <c r="E60" s="4">
        <v>45</v>
      </c>
      <c r="F60" t="s">
        <v>24</v>
      </c>
      <c r="G60">
        <v>45</v>
      </c>
      <c r="H60">
        <v>0</v>
      </c>
      <c r="I60">
        <v>0</v>
      </c>
      <c r="J60">
        <v>111428</v>
      </c>
      <c r="K60">
        <v>26.55</v>
      </c>
      <c r="M60" s="4" t="s">
        <v>1262</v>
      </c>
      <c r="N60" t="s">
        <v>20</v>
      </c>
    </row>
    <row r="61" spans="1:14" x14ac:dyDescent="0.25">
      <c r="A61">
        <v>195</v>
      </c>
      <c r="B61">
        <v>1</v>
      </c>
      <c r="C61">
        <v>1</v>
      </c>
      <c r="D61" t="s">
        <v>145</v>
      </c>
      <c r="E61" s="4">
        <v>41</v>
      </c>
      <c r="F61" t="s">
        <v>14</v>
      </c>
      <c r="G61">
        <v>44</v>
      </c>
      <c r="H61">
        <v>0</v>
      </c>
      <c r="I61">
        <v>0</v>
      </c>
      <c r="J61" t="s">
        <v>146</v>
      </c>
      <c r="K61">
        <v>27.720800000000001</v>
      </c>
      <c r="L61" t="s">
        <v>147</v>
      </c>
      <c r="M61" s="4" t="s">
        <v>40</v>
      </c>
      <c r="N61" t="s">
        <v>17</v>
      </c>
    </row>
    <row r="62" spans="1:14" x14ac:dyDescent="0.25">
      <c r="A62">
        <v>196</v>
      </c>
      <c r="B62">
        <v>1</v>
      </c>
      <c r="C62">
        <v>1</v>
      </c>
      <c r="D62" t="s">
        <v>148</v>
      </c>
      <c r="E62" s="4">
        <v>20</v>
      </c>
      <c r="F62" t="s">
        <v>14</v>
      </c>
      <c r="G62">
        <v>58</v>
      </c>
      <c r="H62">
        <v>0</v>
      </c>
      <c r="I62">
        <v>0</v>
      </c>
      <c r="J62" t="s">
        <v>38</v>
      </c>
      <c r="K62">
        <v>146.52080000000001</v>
      </c>
      <c r="L62" t="s">
        <v>149</v>
      </c>
      <c r="M62" s="4" t="s">
        <v>40</v>
      </c>
      <c r="N62" t="s">
        <v>17</v>
      </c>
    </row>
    <row r="63" spans="1:14" x14ac:dyDescent="0.25">
      <c r="A63">
        <v>210</v>
      </c>
      <c r="B63">
        <v>1</v>
      </c>
      <c r="C63">
        <v>1</v>
      </c>
      <c r="D63" t="s">
        <v>150</v>
      </c>
      <c r="E63" s="4">
        <v>16</v>
      </c>
      <c r="F63" t="s">
        <v>24</v>
      </c>
      <c r="G63">
        <v>40</v>
      </c>
      <c r="H63">
        <v>0</v>
      </c>
      <c r="I63">
        <v>0</v>
      </c>
      <c r="J63">
        <v>112277</v>
      </c>
      <c r="K63">
        <v>31</v>
      </c>
      <c r="L63" t="s">
        <v>151</v>
      </c>
      <c r="M63" s="4" t="s">
        <v>43</v>
      </c>
      <c r="N63" t="s">
        <v>17</v>
      </c>
    </row>
    <row r="64" spans="1:14" x14ac:dyDescent="0.25">
      <c r="A64">
        <v>216</v>
      </c>
      <c r="B64">
        <v>1</v>
      </c>
      <c r="C64">
        <v>1</v>
      </c>
      <c r="D64" t="s">
        <v>152</v>
      </c>
      <c r="E64" s="4">
        <v>23</v>
      </c>
      <c r="F64" t="s">
        <v>14</v>
      </c>
      <c r="G64">
        <v>31</v>
      </c>
      <c r="H64">
        <v>1</v>
      </c>
      <c r="I64">
        <v>0</v>
      </c>
      <c r="J64">
        <v>35273</v>
      </c>
      <c r="K64">
        <v>113.27500000000001</v>
      </c>
      <c r="L64" t="s">
        <v>153</v>
      </c>
      <c r="M64" s="4" t="s">
        <v>62</v>
      </c>
      <c r="N64" t="s">
        <v>17</v>
      </c>
    </row>
    <row r="65" spans="1:14" x14ac:dyDescent="0.25">
      <c r="A65">
        <v>219</v>
      </c>
      <c r="B65">
        <v>1</v>
      </c>
      <c r="C65">
        <v>1</v>
      </c>
      <c r="D65" t="s">
        <v>154</v>
      </c>
      <c r="E65" s="4">
        <v>21</v>
      </c>
      <c r="F65" t="s">
        <v>14</v>
      </c>
      <c r="G65">
        <v>32</v>
      </c>
      <c r="H65">
        <v>0</v>
      </c>
      <c r="I65">
        <v>0</v>
      </c>
      <c r="J65">
        <v>11813</v>
      </c>
      <c r="K65">
        <v>76.291700000000006</v>
      </c>
      <c r="L65" t="s">
        <v>155</v>
      </c>
      <c r="M65" s="4" t="s">
        <v>62</v>
      </c>
      <c r="N65" t="s">
        <v>17</v>
      </c>
    </row>
    <row r="66" spans="1:14" x14ac:dyDescent="0.25">
      <c r="A66">
        <v>225</v>
      </c>
      <c r="B66">
        <v>1</v>
      </c>
      <c r="C66">
        <v>1</v>
      </c>
      <c r="D66" t="s">
        <v>156</v>
      </c>
      <c r="E66" s="4">
        <v>28</v>
      </c>
      <c r="F66" t="s">
        <v>24</v>
      </c>
      <c r="G66">
        <v>38</v>
      </c>
      <c r="H66">
        <v>1</v>
      </c>
      <c r="I66">
        <v>0</v>
      </c>
      <c r="J66">
        <v>19943</v>
      </c>
      <c r="K66">
        <v>90</v>
      </c>
      <c r="L66" t="s">
        <v>157</v>
      </c>
      <c r="M66" s="4" t="s">
        <v>17</v>
      </c>
      <c r="N66" t="s">
        <v>20</v>
      </c>
    </row>
    <row r="67" spans="1:14" x14ac:dyDescent="0.25">
      <c r="A67">
        <v>231</v>
      </c>
      <c r="B67">
        <v>1</v>
      </c>
      <c r="C67">
        <v>1</v>
      </c>
      <c r="D67" t="s">
        <v>158</v>
      </c>
      <c r="E67" s="4">
        <v>44</v>
      </c>
      <c r="F67" t="s">
        <v>14</v>
      </c>
      <c r="G67">
        <v>35</v>
      </c>
      <c r="H67">
        <v>1</v>
      </c>
      <c r="I67">
        <v>0</v>
      </c>
      <c r="J67">
        <v>36973</v>
      </c>
      <c r="K67">
        <v>83.474999999999994</v>
      </c>
      <c r="L67" t="s">
        <v>68</v>
      </c>
      <c r="M67" s="4" t="s">
        <v>17</v>
      </c>
      <c r="N67" t="s">
        <v>20</v>
      </c>
    </row>
    <row r="68" spans="1:14" x14ac:dyDescent="0.25">
      <c r="A68">
        <v>246</v>
      </c>
      <c r="B68">
        <v>0</v>
      </c>
      <c r="C68">
        <v>1</v>
      </c>
      <c r="D68" t="s">
        <v>159</v>
      </c>
      <c r="E68" s="4">
        <v>27</v>
      </c>
      <c r="F68" t="s">
        <v>24</v>
      </c>
      <c r="G68">
        <v>44</v>
      </c>
      <c r="H68">
        <v>2</v>
      </c>
      <c r="I68">
        <v>0</v>
      </c>
      <c r="J68">
        <v>19928</v>
      </c>
      <c r="K68">
        <v>90</v>
      </c>
      <c r="L68" t="s">
        <v>160</v>
      </c>
      <c r="M68" s="4" t="s">
        <v>17</v>
      </c>
      <c r="N68" t="s">
        <v>161</v>
      </c>
    </row>
    <row r="69" spans="1:14" x14ac:dyDescent="0.25">
      <c r="A69">
        <v>249</v>
      </c>
      <c r="B69">
        <v>1</v>
      </c>
      <c r="C69">
        <v>1</v>
      </c>
      <c r="D69" t="s">
        <v>162</v>
      </c>
      <c r="E69" s="4">
        <v>29</v>
      </c>
      <c r="F69" t="s">
        <v>24</v>
      </c>
      <c r="G69">
        <v>37</v>
      </c>
      <c r="H69">
        <v>1</v>
      </c>
      <c r="I69">
        <v>1</v>
      </c>
      <c r="J69">
        <v>11751</v>
      </c>
      <c r="K69">
        <v>52.554200000000002</v>
      </c>
      <c r="L69" t="s">
        <v>163</v>
      </c>
      <c r="M69" s="4" t="s">
        <v>62</v>
      </c>
      <c r="N69" t="s">
        <v>20</v>
      </c>
    </row>
    <row r="70" spans="1:14" x14ac:dyDescent="0.25">
      <c r="A70">
        <v>253</v>
      </c>
      <c r="B70">
        <v>0</v>
      </c>
      <c r="C70">
        <v>1</v>
      </c>
      <c r="D70" t="s">
        <v>164</v>
      </c>
      <c r="E70" s="4">
        <v>25</v>
      </c>
      <c r="F70" t="s">
        <v>24</v>
      </c>
      <c r="G70">
        <v>62</v>
      </c>
      <c r="H70">
        <v>0</v>
      </c>
      <c r="I70">
        <v>0</v>
      </c>
      <c r="J70">
        <v>113514</v>
      </c>
      <c r="K70">
        <v>26.55</v>
      </c>
      <c r="L70" t="s">
        <v>165</v>
      </c>
      <c r="M70" s="4" t="s">
        <v>17</v>
      </c>
      <c r="N70" t="s">
        <v>20</v>
      </c>
    </row>
    <row r="71" spans="1:14" x14ac:dyDescent="0.25">
      <c r="A71">
        <v>258</v>
      </c>
      <c r="B71">
        <v>1</v>
      </c>
      <c r="C71">
        <v>1</v>
      </c>
      <c r="D71" t="s">
        <v>166</v>
      </c>
      <c r="E71" s="4">
        <v>20</v>
      </c>
      <c r="F71" t="s">
        <v>14</v>
      </c>
      <c r="G71">
        <v>30</v>
      </c>
      <c r="H71">
        <v>0</v>
      </c>
      <c r="I71">
        <v>0</v>
      </c>
      <c r="J71">
        <v>110152</v>
      </c>
      <c r="K71">
        <v>86.5</v>
      </c>
      <c r="L71" t="s">
        <v>167</v>
      </c>
      <c r="M71" s="4" t="s">
        <v>40</v>
      </c>
      <c r="N71" t="s">
        <v>20</v>
      </c>
    </row>
    <row r="72" spans="1:14" x14ac:dyDescent="0.25">
      <c r="A72">
        <v>259</v>
      </c>
      <c r="B72">
        <v>1</v>
      </c>
      <c r="C72">
        <v>1</v>
      </c>
      <c r="D72" t="s">
        <v>168</v>
      </c>
      <c r="E72" s="4">
        <v>16</v>
      </c>
      <c r="F72" t="s">
        <v>14</v>
      </c>
      <c r="G72">
        <v>35</v>
      </c>
      <c r="H72">
        <v>0</v>
      </c>
      <c r="I72">
        <v>0</v>
      </c>
      <c r="J72" t="s">
        <v>169</v>
      </c>
      <c r="K72">
        <v>512.32920000000001</v>
      </c>
      <c r="M72" s="4" t="s">
        <v>1262</v>
      </c>
      <c r="N72" t="s">
        <v>17</v>
      </c>
    </row>
    <row r="73" spans="1:14" x14ac:dyDescent="0.25">
      <c r="A73">
        <v>263</v>
      </c>
      <c r="B73">
        <v>0</v>
      </c>
      <c r="C73">
        <v>1</v>
      </c>
      <c r="D73" t="s">
        <v>170</v>
      </c>
      <c r="E73" s="4">
        <v>17</v>
      </c>
      <c r="F73" t="s">
        <v>24</v>
      </c>
      <c r="G73">
        <v>52</v>
      </c>
      <c r="H73">
        <v>1</v>
      </c>
      <c r="I73">
        <v>1</v>
      </c>
      <c r="J73">
        <v>110413</v>
      </c>
      <c r="K73">
        <v>79.650000000000006</v>
      </c>
      <c r="L73" t="s">
        <v>171</v>
      </c>
      <c r="M73" s="4" t="s">
        <v>31</v>
      </c>
      <c r="N73" t="s">
        <v>20</v>
      </c>
    </row>
    <row r="74" spans="1:14" x14ac:dyDescent="0.25">
      <c r="A74">
        <v>264</v>
      </c>
      <c r="B74">
        <v>0</v>
      </c>
      <c r="C74">
        <v>1</v>
      </c>
      <c r="D74" t="s">
        <v>172</v>
      </c>
      <c r="E74" s="4">
        <v>21</v>
      </c>
      <c r="F74" t="s">
        <v>24</v>
      </c>
      <c r="G74">
        <v>40</v>
      </c>
      <c r="H74">
        <v>0</v>
      </c>
      <c r="I74">
        <v>0</v>
      </c>
      <c r="J74">
        <v>112059</v>
      </c>
      <c r="K74">
        <v>0</v>
      </c>
      <c r="L74" t="s">
        <v>173</v>
      </c>
      <c r="M74" s="4" t="s">
        <v>40</v>
      </c>
      <c r="N74" t="s">
        <v>20</v>
      </c>
    </row>
    <row r="75" spans="1:14" x14ac:dyDescent="0.25">
      <c r="A75">
        <v>269</v>
      </c>
      <c r="B75">
        <v>1</v>
      </c>
      <c r="C75">
        <v>1</v>
      </c>
      <c r="D75" t="s">
        <v>174</v>
      </c>
      <c r="E75" s="4">
        <v>45</v>
      </c>
      <c r="F75" t="s">
        <v>14</v>
      </c>
      <c r="G75">
        <v>58</v>
      </c>
      <c r="H75">
        <v>0</v>
      </c>
      <c r="I75">
        <v>1</v>
      </c>
      <c r="J75" t="s">
        <v>175</v>
      </c>
      <c r="K75">
        <v>153.46250000000001</v>
      </c>
      <c r="L75" t="s">
        <v>176</v>
      </c>
      <c r="M75" s="4" t="s">
        <v>17</v>
      </c>
      <c r="N75" t="s">
        <v>20</v>
      </c>
    </row>
    <row r="76" spans="1:14" x14ac:dyDescent="0.25">
      <c r="A76">
        <v>270</v>
      </c>
      <c r="B76">
        <v>1</v>
      </c>
      <c r="C76">
        <v>1</v>
      </c>
      <c r="D76" t="s">
        <v>177</v>
      </c>
      <c r="E76" s="4">
        <v>22</v>
      </c>
      <c r="F76" t="s">
        <v>14</v>
      </c>
      <c r="G76">
        <v>35</v>
      </c>
      <c r="H76">
        <v>0</v>
      </c>
      <c r="I76">
        <v>0</v>
      </c>
      <c r="J76" t="s">
        <v>178</v>
      </c>
      <c r="K76">
        <v>135.63329999999999</v>
      </c>
      <c r="L76" t="s">
        <v>179</v>
      </c>
      <c r="M76" s="4" t="s">
        <v>17</v>
      </c>
      <c r="N76" t="s">
        <v>20</v>
      </c>
    </row>
    <row r="77" spans="1:14" x14ac:dyDescent="0.25">
      <c r="A77">
        <v>274</v>
      </c>
      <c r="B77">
        <v>0</v>
      </c>
      <c r="C77">
        <v>1</v>
      </c>
      <c r="D77" t="s">
        <v>180</v>
      </c>
      <c r="E77" s="4">
        <v>21</v>
      </c>
      <c r="F77" t="s">
        <v>24</v>
      </c>
      <c r="G77">
        <v>37</v>
      </c>
      <c r="H77">
        <v>0</v>
      </c>
      <c r="I77">
        <v>1</v>
      </c>
      <c r="J77" t="s">
        <v>181</v>
      </c>
      <c r="K77">
        <v>29.7</v>
      </c>
      <c r="L77" t="s">
        <v>182</v>
      </c>
      <c r="M77" s="4" t="s">
        <v>17</v>
      </c>
      <c r="N77" t="s">
        <v>17</v>
      </c>
    </row>
    <row r="78" spans="1:14" x14ac:dyDescent="0.25">
      <c r="A78">
        <v>276</v>
      </c>
      <c r="B78">
        <v>1</v>
      </c>
      <c r="C78">
        <v>1</v>
      </c>
      <c r="D78" t="s">
        <v>183</v>
      </c>
      <c r="E78" s="4">
        <v>33</v>
      </c>
      <c r="F78" t="s">
        <v>14</v>
      </c>
      <c r="G78">
        <v>63</v>
      </c>
      <c r="H78">
        <v>1</v>
      </c>
      <c r="I78">
        <v>0</v>
      </c>
      <c r="J78">
        <v>13502</v>
      </c>
      <c r="K78">
        <v>77.958299999999994</v>
      </c>
      <c r="L78" t="s">
        <v>184</v>
      </c>
      <c r="M78" s="4" t="s">
        <v>62</v>
      </c>
      <c r="N78" t="s">
        <v>20</v>
      </c>
    </row>
    <row r="79" spans="1:14" x14ac:dyDescent="0.25">
      <c r="A79">
        <v>291</v>
      </c>
      <c r="B79">
        <v>1</v>
      </c>
      <c r="C79">
        <v>1</v>
      </c>
      <c r="D79" t="s">
        <v>186</v>
      </c>
      <c r="E79" s="4">
        <v>28</v>
      </c>
      <c r="F79" t="s">
        <v>14</v>
      </c>
      <c r="G79">
        <v>26</v>
      </c>
      <c r="H79">
        <v>0</v>
      </c>
      <c r="I79">
        <v>0</v>
      </c>
      <c r="J79">
        <v>19877</v>
      </c>
      <c r="K79">
        <v>78.849999999999994</v>
      </c>
      <c r="M79" s="4" t="s">
        <v>1262</v>
      </c>
      <c r="N79" t="s">
        <v>20</v>
      </c>
    </row>
    <row r="80" spans="1:14" x14ac:dyDescent="0.25">
      <c r="A80">
        <v>292</v>
      </c>
      <c r="B80">
        <v>1</v>
      </c>
      <c r="C80">
        <v>1</v>
      </c>
      <c r="D80" t="s">
        <v>188</v>
      </c>
      <c r="E80" s="4">
        <v>39</v>
      </c>
      <c r="F80" t="s">
        <v>14</v>
      </c>
      <c r="G80">
        <v>19</v>
      </c>
      <c r="H80">
        <v>1</v>
      </c>
      <c r="I80">
        <v>0</v>
      </c>
      <c r="J80">
        <v>11967</v>
      </c>
      <c r="K80">
        <v>91.0792</v>
      </c>
      <c r="L80" t="s">
        <v>189</v>
      </c>
      <c r="M80" s="4" t="s">
        <v>40</v>
      </c>
      <c r="N80" t="s">
        <v>17</v>
      </c>
    </row>
    <row r="81" spans="1:14" x14ac:dyDescent="0.25">
      <c r="A81">
        <v>298</v>
      </c>
      <c r="B81">
        <v>0</v>
      </c>
      <c r="C81">
        <v>1</v>
      </c>
      <c r="D81" t="s">
        <v>191</v>
      </c>
      <c r="E81" s="4">
        <v>28</v>
      </c>
      <c r="F81" t="s">
        <v>14</v>
      </c>
      <c r="G81">
        <v>2</v>
      </c>
      <c r="H81">
        <v>1</v>
      </c>
      <c r="I81">
        <v>2</v>
      </c>
      <c r="J81">
        <v>113781</v>
      </c>
      <c r="K81">
        <v>151.55000000000001</v>
      </c>
      <c r="L81" t="s">
        <v>192</v>
      </c>
      <c r="M81" s="4" t="s">
        <v>17</v>
      </c>
      <c r="N81" t="s">
        <v>20</v>
      </c>
    </row>
    <row r="82" spans="1:14" x14ac:dyDescent="0.25">
      <c r="A82">
        <v>300</v>
      </c>
      <c r="B82">
        <v>1</v>
      </c>
      <c r="C82">
        <v>1</v>
      </c>
      <c r="D82" t="s">
        <v>193</v>
      </c>
      <c r="E82" s="4">
        <v>47</v>
      </c>
      <c r="F82" t="s">
        <v>14</v>
      </c>
      <c r="G82">
        <v>50</v>
      </c>
      <c r="H82">
        <v>0</v>
      </c>
      <c r="I82">
        <v>1</v>
      </c>
      <c r="J82" t="s">
        <v>99</v>
      </c>
      <c r="K82">
        <v>247.52080000000001</v>
      </c>
      <c r="L82" t="s">
        <v>100</v>
      </c>
      <c r="M82" s="4" t="s">
        <v>40</v>
      </c>
      <c r="N82" t="s">
        <v>17</v>
      </c>
    </row>
    <row r="83" spans="1:14" x14ac:dyDescent="0.25">
      <c r="A83">
        <v>306</v>
      </c>
      <c r="B83">
        <v>1</v>
      </c>
      <c r="C83">
        <v>1</v>
      </c>
      <c r="D83" t="s">
        <v>194</v>
      </c>
      <c r="E83" s="4">
        <v>30</v>
      </c>
      <c r="F83" t="s">
        <v>24</v>
      </c>
      <c r="G83">
        <v>0.92</v>
      </c>
      <c r="H83">
        <v>1</v>
      </c>
      <c r="I83">
        <v>2</v>
      </c>
      <c r="J83">
        <v>113781</v>
      </c>
      <c r="K83">
        <v>151.55000000000001</v>
      </c>
      <c r="L83" t="s">
        <v>192</v>
      </c>
      <c r="M83" s="4" t="s">
        <v>17</v>
      </c>
      <c r="N83" t="s">
        <v>20</v>
      </c>
    </row>
    <row r="84" spans="1:14" x14ac:dyDescent="0.25">
      <c r="A84">
        <v>308</v>
      </c>
      <c r="B84">
        <v>1</v>
      </c>
      <c r="C84">
        <v>1</v>
      </c>
      <c r="D84" t="s">
        <v>195</v>
      </c>
      <c r="E84" s="4">
        <v>82</v>
      </c>
      <c r="F84" t="s">
        <v>14</v>
      </c>
      <c r="G84">
        <v>17</v>
      </c>
      <c r="H84">
        <v>1</v>
      </c>
      <c r="I84">
        <v>0</v>
      </c>
      <c r="J84" t="s">
        <v>196</v>
      </c>
      <c r="K84">
        <v>108.9</v>
      </c>
      <c r="L84" t="s">
        <v>197</v>
      </c>
      <c r="M84" s="4" t="s">
        <v>17</v>
      </c>
      <c r="N84" t="s">
        <v>17</v>
      </c>
    </row>
    <row r="85" spans="1:14" x14ac:dyDescent="0.25">
      <c r="A85">
        <v>310</v>
      </c>
      <c r="B85">
        <v>1</v>
      </c>
      <c r="C85">
        <v>1</v>
      </c>
      <c r="D85" t="s">
        <v>198</v>
      </c>
      <c r="E85" s="4">
        <v>30</v>
      </c>
      <c r="F85" t="s">
        <v>14</v>
      </c>
      <c r="G85">
        <v>30</v>
      </c>
      <c r="H85">
        <v>0</v>
      </c>
      <c r="I85">
        <v>0</v>
      </c>
      <c r="J85" t="s">
        <v>199</v>
      </c>
      <c r="K85">
        <v>56.929200000000002</v>
      </c>
      <c r="L85" t="s">
        <v>200</v>
      </c>
      <c r="M85" s="4" t="s">
        <v>31</v>
      </c>
      <c r="N85" t="s">
        <v>17</v>
      </c>
    </row>
    <row r="86" spans="1:14" x14ac:dyDescent="0.25">
      <c r="A86">
        <v>311</v>
      </c>
      <c r="B86">
        <v>1</v>
      </c>
      <c r="C86">
        <v>1</v>
      </c>
      <c r="D86" t="s">
        <v>201</v>
      </c>
      <c r="E86" s="4">
        <v>30</v>
      </c>
      <c r="F86" t="s">
        <v>14</v>
      </c>
      <c r="G86">
        <v>24</v>
      </c>
      <c r="H86">
        <v>0</v>
      </c>
      <c r="I86">
        <v>0</v>
      </c>
      <c r="J86">
        <v>11767</v>
      </c>
      <c r="K86">
        <v>83.158299999999997</v>
      </c>
      <c r="L86" t="s">
        <v>202</v>
      </c>
      <c r="M86" s="4" t="s">
        <v>17</v>
      </c>
      <c r="N86" t="s">
        <v>17</v>
      </c>
    </row>
    <row r="87" spans="1:14" x14ac:dyDescent="0.25">
      <c r="A87">
        <v>312</v>
      </c>
      <c r="B87">
        <v>1</v>
      </c>
      <c r="C87">
        <v>1</v>
      </c>
      <c r="D87" t="s">
        <v>203</v>
      </c>
      <c r="E87" s="4">
        <v>26</v>
      </c>
      <c r="F87" t="s">
        <v>14</v>
      </c>
      <c r="G87">
        <v>18</v>
      </c>
      <c r="H87">
        <v>2</v>
      </c>
      <c r="I87">
        <v>2</v>
      </c>
      <c r="J87" t="s">
        <v>204</v>
      </c>
      <c r="K87">
        <v>262.375</v>
      </c>
      <c r="L87" t="s">
        <v>205</v>
      </c>
      <c r="M87" s="4" t="s">
        <v>40</v>
      </c>
      <c r="N87" t="s">
        <v>17</v>
      </c>
    </row>
    <row r="88" spans="1:14" x14ac:dyDescent="0.25">
      <c r="A88">
        <v>319</v>
      </c>
      <c r="B88">
        <v>1</v>
      </c>
      <c r="C88">
        <v>1</v>
      </c>
      <c r="D88" t="s">
        <v>206</v>
      </c>
      <c r="E88" s="4">
        <v>24</v>
      </c>
      <c r="F88" t="s">
        <v>14</v>
      </c>
      <c r="G88">
        <v>31</v>
      </c>
      <c r="H88">
        <v>0</v>
      </c>
      <c r="I88">
        <v>2</v>
      </c>
      <c r="J88">
        <v>36928</v>
      </c>
      <c r="K88">
        <v>164.86670000000001</v>
      </c>
      <c r="L88" t="s">
        <v>207</v>
      </c>
      <c r="M88" s="4" t="s">
        <v>17</v>
      </c>
      <c r="N88" t="s">
        <v>20</v>
      </c>
    </row>
    <row r="89" spans="1:14" x14ac:dyDescent="0.25">
      <c r="A89">
        <v>320</v>
      </c>
      <c r="B89">
        <v>1</v>
      </c>
      <c r="C89">
        <v>1</v>
      </c>
      <c r="D89" t="s">
        <v>208</v>
      </c>
      <c r="E89" s="4">
        <v>56</v>
      </c>
      <c r="F89" t="s">
        <v>14</v>
      </c>
      <c r="G89">
        <v>40</v>
      </c>
      <c r="H89">
        <v>1</v>
      </c>
      <c r="I89">
        <v>1</v>
      </c>
      <c r="J89">
        <v>16966</v>
      </c>
      <c r="K89">
        <v>134.5</v>
      </c>
      <c r="L89" t="s">
        <v>209</v>
      </c>
      <c r="M89" s="4" t="s">
        <v>31</v>
      </c>
      <c r="N89" t="s">
        <v>17</v>
      </c>
    </row>
    <row r="90" spans="1:14" x14ac:dyDescent="0.25">
      <c r="A90">
        <v>326</v>
      </c>
      <c r="B90">
        <v>1</v>
      </c>
      <c r="C90">
        <v>1</v>
      </c>
      <c r="D90" t="s">
        <v>210</v>
      </c>
      <c r="E90" s="4">
        <v>24</v>
      </c>
      <c r="F90" t="s">
        <v>14</v>
      </c>
      <c r="G90">
        <v>36</v>
      </c>
      <c r="H90">
        <v>0</v>
      </c>
      <c r="I90">
        <v>0</v>
      </c>
      <c r="J90" t="s">
        <v>178</v>
      </c>
      <c r="K90">
        <v>135.63329999999999</v>
      </c>
      <c r="L90" t="s">
        <v>211</v>
      </c>
      <c r="M90" s="4" t="s">
        <v>17</v>
      </c>
      <c r="N90" t="s">
        <v>17</v>
      </c>
    </row>
    <row r="91" spans="1:14" x14ac:dyDescent="0.25">
      <c r="A91">
        <v>330</v>
      </c>
      <c r="B91">
        <v>1</v>
      </c>
      <c r="C91">
        <v>1</v>
      </c>
      <c r="D91" t="s">
        <v>212</v>
      </c>
      <c r="E91" s="4">
        <v>28</v>
      </c>
      <c r="F91" t="s">
        <v>14</v>
      </c>
      <c r="G91">
        <v>16</v>
      </c>
      <c r="H91">
        <v>0</v>
      </c>
      <c r="I91">
        <v>1</v>
      </c>
      <c r="J91">
        <v>111361</v>
      </c>
      <c r="K91">
        <v>57.979199999999999</v>
      </c>
      <c r="L91" t="s">
        <v>213</v>
      </c>
      <c r="M91" s="4" t="s">
        <v>40</v>
      </c>
      <c r="N91" t="s">
        <v>17</v>
      </c>
    </row>
    <row r="92" spans="1:14" x14ac:dyDescent="0.25">
      <c r="A92">
        <v>332</v>
      </c>
      <c r="B92">
        <v>0</v>
      </c>
      <c r="C92">
        <v>1</v>
      </c>
      <c r="D92" t="s">
        <v>214</v>
      </c>
      <c r="E92" s="4">
        <v>19</v>
      </c>
      <c r="F92" t="s">
        <v>24</v>
      </c>
      <c r="G92">
        <v>45.5</v>
      </c>
      <c r="H92">
        <v>0</v>
      </c>
      <c r="I92">
        <v>0</v>
      </c>
      <c r="J92">
        <v>113043</v>
      </c>
      <c r="K92">
        <v>28.5</v>
      </c>
      <c r="L92" t="s">
        <v>138</v>
      </c>
      <c r="M92" s="4" t="s">
        <v>17</v>
      </c>
      <c r="N92" t="s">
        <v>20</v>
      </c>
    </row>
    <row r="93" spans="1:14" x14ac:dyDescent="0.25">
      <c r="A93">
        <v>333</v>
      </c>
      <c r="B93">
        <v>0</v>
      </c>
      <c r="C93">
        <v>1</v>
      </c>
      <c r="D93" t="s">
        <v>215</v>
      </c>
      <c r="E93" s="4">
        <v>25</v>
      </c>
      <c r="F93" t="s">
        <v>24</v>
      </c>
      <c r="G93">
        <v>38</v>
      </c>
      <c r="H93">
        <v>0</v>
      </c>
      <c r="I93">
        <v>1</v>
      </c>
      <c r="J93" t="s">
        <v>175</v>
      </c>
      <c r="K93">
        <v>153.46250000000001</v>
      </c>
      <c r="L93" t="s">
        <v>216</v>
      </c>
      <c r="M93" s="4" t="s">
        <v>17</v>
      </c>
      <c r="N93" t="s">
        <v>20</v>
      </c>
    </row>
    <row r="94" spans="1:14" x14ac:dyDescent="0.25">
      <c r="A94">
        <v>337</v>
      </c>
      <c r="B94">
        <v>0</v>
      </c>
      <c r="C94">
        <v>1</v>
      </c>
      <c r="D94" t="s">
        <v>217</v>
      </c>
      <c r="E94" s="4">
        <v>25</v>
      </c>
      <c r="F94" t="s">
        <v>24</v>
      </c>
      <c r="G94">
        <v>29</v>
      </c>
      <c r="H94">
        <v>1</v>
      </c>
      <c r="I94">
        <v>0</v>
      </c>
      <c r="J94">
        <v>113776</v>
      </c>
      <c r="K94">
        <v>66.599999999999994</v>
      </c>
      <c r="L94" t="s">
        <v>114</v>
      </c>
      <c r="M94" s="4" t="s">
        <v>17</v>
      </c>
      <c r="N94" t="s">
        <v>20</v>
      </c>
    </row>
    <row r="95" spans="1:14" x14ac:dyDescent="0.25">
      <c r="A95">
        <v>338</v>
      </c>
      <c r="B95">
        <v>1</v>
      </c>
      <c r="C95">
        <v>1</v>
      </c>
      <c r="D95" t="s">
        <v>218</v>
      </c>
      <c r="E95" s="4">
        <v>31</v>
      </c>
      <c r="F95" t="s">
        <v>14</v>
      </c>
      <c r="G95">
        <v>41</v>
      </c>
      <c r="H95">
        <v>0</v>
      </c>
      <c r="I95">
        <v>0</v>
      </c>
      <c r="J95">
        <v>16966</v>
      </c>
      <c r="K95">
        <v>134.5</v>
      </c>
      <c r="L95" t="s">
        <v>219</v>
      </c>
      <c r="M95" s="4" t="s">
        <v>31</v>
      </c>
      <c r="N95" t="s">
        <v>17</v>
      </c>
    </row>
    <row r="96" spans="1:14" x14ac:dyDescent="0.25">
      <c r="A96">
        <v>340</v>
      </c>
      <c r="B96">
        <v>0</v>
      </c>
      <c r="C96">
        <v>1</v>
      </c>
      <c r="D96" t="s">
        <v>220</v>
      </c>
      <c r="E96" s="4">
        <v>28</v>
      </c>
      <c r="F96" t="s">
        <v>24</v>
      </c>
      <c r="G96">
        <v>45</v>
      </c>
      <c r="H96">
        <v>0</v>
      </c>
      <c r="I96">
        <v>0</v>
      </c>
      <c r="J96">
        <v>113784</v>
      </c>
      <c r="K96">
        <v>35.5</v>
      </c>
      <c r="L96" t="s">
        <v>190</v>
      </c>
      <c r="M96" s="4" t="s">
        <v>190</v>
      </c>
      <c r="N96" t="s">
        <v>20</v>
      </c>
    </row>
    <row r="97" spans="1:14" x14ac:dyDescent="0.25">
      <c r="A97">
        <v>342</v>
      </c>
      <c r="B97">
        <v>1</v>
      </c>
      <c r="C97">
        <v>1</v>
      </c>
      <c r="D97" t="s">
        <v>221</v>
      </c>
      <c r="E97" s="4">
        <v>30</v>
      </c>
      <c r="F97" t="s">
        <v>14</v>
      </c>
      <c r="G97">
        <v>24</v>
      </c>
      <c r="H97">
        <v>3</v>
      </c>
      <c r="I97">
        <v>2</v>
      </c>
      <c r="J97">
        <v>19950</v>
      </c>
      <c r="K97">
        <v>263</v>
      </c>
      <c r="L97" t="s">
        <v>47</v>
      </c>
      <c r="M97" s="4" t="s">
        <v>17</v>
      </c>
      <c r="N97" t="s">
        <v>20</v>
      </c>
    </row>
    <row r="98" spans="1:14" x14ac:dyDescent="0.25">
      <c r="A98">
        <v>357</v>
      </c>
      <c r="B98">
        <v>1</v>
      </c>
      <c r="C98">
        <v>1</v>
      </c>
      <c r="D98" t="s">
        <v>222</v>
      </c>
      <c r="E98" s="4">
        <v>27</v>
      </c>
      <c r="F98" t="s">
        <v>14</v>
      </c>
      <c r="G98">
        <v>22</v>
      </c>
      <c r="H98">
        <v>0</v>
      </c>
      <c r="I98">
        <v>1</v>
      </c>
      <c r="J98">
        <v>113505</v>
      </c>
      <c r="K98">
        <v>55</v>
      </c>
      <c r="L98" t="s">
        <v>70</v>
      </c>
      <c r="M98" s="4" t="s">
        <v>31</v>
      </c>
      <c r="N98" t="s">
        <v>20</v>
      </c>
    </row>
    <row r="99" spans="1:14" x14ac:dyDescent="0.25">
      <c r="A99">
        <v>367</v>
      </c>
      <c r="B99">
        <v>1</v>
      </c>
      <c r="C99">
        <v>1</v>
      </c>
      <c r="D99" t="s">
        <v>223</v>
      </c>
      <c r="E99" s="4">
        <v>48</v>
      </c>
      <c r="F99" t="s">
        <v>14</v>
      </c>
      <c r="G99">
        <v>60</v>
      </c>
      <c r="H99">
        <v>1</v>
      </c>
      <c r="I99">
        <v>0</v>
      </c>
      <c r="J99">
        <v>110813</v>
      </c>
      <c r="K99">
        <v>75.25</v>
      </c>
      <c r="L99" t="s">
        <v>224</v>
      </c>
      <c r="M99" s="4" t="s">
        <v>62</v>
      </c>
      <c r="N99" t="s">
        <v>17</v>
      </c>
    </row>
    <row r="100" spans="1:14" x14ac:dyDescent="0.25">
      <c r="A100">
        <v>370</v>
      </c>
      <c r="B100">
        <v>1</v>
      </c>
      <c r="C100">
        <v>1</v>
      </c>
      <c r="D100" t="s">
        <v>225</v>
      </c>
      <c r="E100" s="4">
        <v>29</v>
      </c>
      <c r="F100" t="s">
        <v>14</v>
      </c>
      <c r="G100">
        <v>24</v>
      </c>
      <c r="H100">
        <v>0</v>
      </c>
      <c r="I100">
        <v>0</v>
      </c>
      <c r="J100" t="s">
        <v>226</v>
      </c>
      <c r="K100">
        <v>69.3</v>
      </c>
      <c r="L100" t="s">
        <v>227</v>
      </c>
      <c r="M100" s="4" t="s">
        <v>40</v>
      </c>
      <c r="N100" t="s">
        <v>17</v>
      </c>
    </row>
    <row r="101" spans="1:14" x14ac:dyDescent="0.25">
      <c r="A101">
        <v>371</v>
      </c>
      <c r="B101">
        <v>1</v>
      </c>
      <c r="C101">
        <v>1</v>
      </c>
      <c r="D101" t="s">
        <v>228</v>
      </c>
      <c r="E101" s="4">
        <v>27</v>
      </c>
      <c r="F101" t="s">
        <v>24</v>
      </c>
      <c r="G101">
        <v>25</v>
      </c>
      <c r="H101">
        <v>1</v>
      </c>
      <c r="I101">
        <v>0</v>
      </c>
      <c r="J101">
        <v>11765</v>
      </c>
      <c r="K101">
        <v>55.441699999999997</v>
      </c>
      <c r="L101" t="s">
        <v>229</v>
      </c>
      <c r="M101" s="4" t="s">
        <v>31</v>
      </c>
      <c r="N101" t="s">
        <v>17</v>
      </c>
    </row>
    <row r="102" spans="1:14" x14ac:dyDescent="0.25">
      <c r="A102">
        <v>374</v>
      </c>
      <c r="B102">
        <v>0</v>
      </c>
      <c r="C102">
        <v>1</v>
      </c>
      <c r="D102" t="s">
        <v>230</v>
      </c>
      <c r="E102" s="4">
        <v>19</v>
      </c>
      <c r="F102" t="s">
        <v>24</v>
      </c>
      <c r="G102">
        <v>22</v>
      </c>
      <c r="H102">
        <v>0</v>
      </c>
      <c r="I102">
        <v>0</v>
      </c>
      <c r="J102" t="s">
        <v>178</v>
      </c>
      <c r="K102">
        <v>135.63329999999999</v>
      </c>
      <c r="M102" s="4" t="s">
        <v>1262</v>
      </c>
      <c r="N102" t="s">
        <v>17</v>
      </c>
    </row>
    <row r="103" spans="1:14" x14ac:dyDescent="0.25">
      <c r="A103">
        <v>378</v>
      </c>
      <c r="B103">
        <v>0</v>
      </c>
      <c r="C103">
        <v>1</v>
      </c>
      <c r="D103" t="s">
        <v>231</v>
      </c>
      <c r="E103" s="4">
        <v>25</v>
      </c>
      <c r="F103" t="s">
        <v>24</v>
      </c>
      <c r="G103">
        <v>27</v>
      </c>
      <c r="H103">
        <v>0</v>
      </c>
      <c r="I103">
        <v>2</v>
      </c>
      <c r="J103">
        <v>113503</v>
      </c>
      <c r="K103">
        <v>211.5</v>
      </c>
      <c r="L103" t="s">
        <v>232</v>
      </c>
      <c r="M103" s="4" t="s">
        <v>17</v>
      </c>
      <c r="N103" t="s">
        <v>17</v>
      </c>
    </row>
    <row r="104" spans="1:14" x14ac:dyDescent="0.25">
      <c r="A104">
        <v>381</v>
      </c>
      <c r="B104">
        <v>1</v>
      </c>
      <c r="C104">
        <v>1</v>
      </c>
      <c r="D104" t="s">
        <v>233</v>
      </c>
      <c r="E104" s="4">
        <v>21</v>
      </c>
      <c r="F104" t="s">
        <v>14</v>
      </c>
      <c r="G104">
        <v>42</v>
      </c>
      <c r="H104">
        <v>0</v>
      </c>
      <c r="I104">
        <v>0</v>
      </c>
      <c r="J104" t="s">
        <v>25</v>
      </c>
      <c r="K104">
        <v>227.52500000000001</v>
      </c>
      <c r="M104" s="4" t="s">
        <v>1262</v>
      </c>
      <c r="N104" t="s">
        <v>17</v>
      </c>
    </row>
    <row r="105" spans="1:14" x14ac:dyDescent="0.25">
      <c r="A105">
        <v>384</v>
      </c>
      <c r="B105">
        <v>1</v>
      </c>
      <c r="C105">
        <v>1</v>
      </c>
      <c r="D105" t="s">
        <v>234</v>
      </c>
      <c r="E105" s="4">
        <v>51</v>
      </c>
      <c r="F105" t="s">
        <v>14</v>
      </c>
      <c r="G105">
        <v>35</v>
      </c>
      <c r="H105">
        <v>1</v>
      </c>
      <c r="I105">
        <v>0</v>
      </c>
      <c r="J105">
        <v>113789</v>
      </c>
      <c r="K105">
        <v>52</v>
      </c>
      <c r="M105" s="4" t="s">
        <v>1262</v>
      </c>
      <c r="N105" t="s">
        <v>20</v>
      </c>
    </row>
    <row r="106" spans="1:14" x14ac:dyDescent="0.25">
      <c r="A106">
        <v>391</v>
      </c>
      <c r="B106">
        <v>1</v>
      </c>
      <c r="C106">
        <v>1</v>
      </c>
      <c r="D106" t="s">
        <v>235</v>
      </c>
      <c r="E106" s="4">
        <v>26</v>
      </c>
      <c r="F106" t="s">
        <v>24</v>
      </c>
      <c r="G106">
        <v>36</v>
      </c>
      <c r="H106">
        <v>1</v>
      </c>
      <c r="I106">
        <v>2</v>
      </c>
      <c r="J106">
        <v>113760</v>
      </c>
      <c r="K106">
        <v>120</v>
      </c>
      <c r="L106" t="s">
        <v>236</v>
      </c>
      <c r="M106" s="4" t="s">
        <v>40</v>
      </c>
      <c r="N106" t="s">
        <v>20</v>
      </c>
    </row>
    <row r="107" spans="1:14" x14ac:dyDescent="0.25">
      <c r="A107">
        <v>394</v>
      </c>
      <c r="B107">
        <v>1</v>
      </c>
      <c r="C107">
        <v>1</v>
      </c>
      <c r="D107" t="s">
        <v>237</v>
      </c>
      <c r="E107" s="4">
        <v>22</v>
      </c>
      <c r="F107" t="s">
        <v>14</v>
      </c>
      <c r="G107">
        <v>23</v>
      </c>
      <c r="H107">
        <v>1</v>
      </c>
      <c r="I107">
        <v>0</v>
      </c>
      <c r="J107">
        <v>35273</v>
      </c>
      <c r="K107">
        <v>113.27500000000001</v>
      </c>
      <c r="L107" t="s">
        <v>153</v>
      </c>
      <c r="M107" s="4" t="s">
        <v>62</v>
      </c>
      <c r="N107" t="s">
        <v>17</v>
      </c>
    </row>
    <row r="108" spans="1:14" x14ac:dyDescent="0.25">
      <c r="A108">
        <v>413</v>
      </c>
      <c r="B108">
        <v>1</v>
      </c>
      <c r="C108">
        <v>1</v>
      </c>
      <c r="D108" t="s">
        <v>238</v>
      </c>
      <c r="E108" s="4">
        <v>22</v>
      </c>
      <c r="F108" t="s">
        <v>14</v>
      </c>
      <c r="G108">
        <v>33</v>
      </c>
      <c r="H108">
        <v>1</v>
      </c>
      <c r="I108">
        <v>0</v>
      </c>
      <c r="J108">
        <v>19928</v>
      </c>
      <c r="K108">
        <v>90</v>
      </c>
      <c r="L108" t="s">
        <v>160</v>
      </c>
      <c r="M108" s="4" t="s">
        <v>17</v>
      </c>
      <c r="N108" t="s">
        <v>161</v>
      </c>
    </row>
    <row r="109" spans="1:14" x14ac:dyDescent="0.25">
      <c r="A109">
        <v>431</v>
      </c>
      <c r="B109">
        <v>1</v>
      </c>
      <c r="C109">
        <v>1</v>
      </c>
      <c r="D109" t="s">
        <v>239</v>
      </c>
      <c r="E109" s="4">
        <v>41</v>
      </c>
      <c r="F109" t="s">
        <v>24</v>
      </c>
      <c r="G109">
        <v>28</v>
      </c>
      <c r="H109">
        <v>0</v>
      </c>
      <c r="I109">
        <v>0</v>
      </c>
      <c r="J109">
        <v>110564</v>
      </c>
      <c r="K109">
        <v>26.55</v>
      </c>
      <c r="L109" t="s">
        <v>102</v>
      </c>
      <c r="M109" s="4" t="s">
        <v>17</v>
      </c>
      <c r="N109" t="s">
        <v>20</v>
      </c>
    </row>
    <row r="110" spans="1:14" x14ac:dyDescent="0.25">
      <c r="A110">
        <v>435</v>
      </c>
      <c r="B110">
        <v>0</v>
      </c>
      <c r="C110">
        <v>1</v>
      </c>
      <c r="D110" t="s">
        <v>240</v>
      </c>
      <c r="E110" s="4">
        <v>25</v>
      </c>
      <c r="F110" t="s">
        <v>24</v>
      </c>
      <c r="G110">
        <v>50</v>
      </c>
      <c r="H110">
        <v>1</v>
      </c>
      <c r="I110">
        <v>0</v>
      </c>
      <c r="J110">
        <v>13507</v>
      </c>
      <c r="K110">
        <v>55.9</v>
      </c>
      <c r="L110" t="s">
        <v>241</v>
      </c>
      <c r="M110" s="4" t="s">
        <v>31</v>
      </c>
      <c r="N110" t="s">
        <v>20</v>
      </c>
    </row>
    <row r="111" spans="1:14" x14ac:dyDescent="0.25">
      <c r="A111">
        <v>436</v>
      </c>
      <c r="B111">
        <v>1</v>
      </c>
      <c r="C111">
        <v>1</v>
      </c>
      <c r="D111" t="s">
        <v>242</v>
      </c>
      <c r="E111" s="4">
        <v>25</v>
      </c>
      <c r="F111" t="s">
        <v>14</v>
      </c>
      <c r="G111">
        <v>14</v>
      </c>
      <c r="H111">
        <v>1</v>
      </c>
      <c r="I111">
        <v>2</v>
      </c>
      <c r="J111">
        <v>113760</v>
      </c>
      <c r="K111">
        <v>120</v>
      </c>
      <c r="L111" t="s">
        <v>236</v>
      </c>
      <c r="M111" s="4" t="s">
        <v>40</v>
      </c>
      <c r="N111" t="s">
        <v>20</v>
      </c>
    </row>
    <row r="112" spans="1:14" x14ac:dyDescent="0.25">
      <c r="A112">
        <v>439</v>
      </c>
      <c r="B112">
        <v>0</v>
      </c>
      <c r="C112">
        <v>1</v>
      </c>
      <c r="D112" t="s">
        <v>243</v>
      </c>
      <c r="E112" s="4">
        <v>17</v>
      </c>
      <c r="F112" t="s">
        <v>24</v>
      </c>
      <c r="G112">
        <v>64</v>
      </c>
      <c r="H112">
        <v>1</v>
      </c>
      <c r="I112">
        <v>4</v>
      </c>
      <c r="J112">
        <v>19950</v>
      </c>
      <c r="K112">
        <v>263</v>
      </c>
      <c r="L112" t="s">
        <v>47</v>
      </c>
      <c r="M112" s="4" t="s">
        <v>17</v>
      </c>
      <c r="N112" t="s">
        <v>20</v>
      </c>
    </row>
    <row r="113" spans="1:14" x14ac:dyDescent="0.25">
      <c r="A113">
        <v>446</v>
      </c>
      <c r="B113">
        <v>1</v>
      </c>
      <c r="C113">
        <v>1</v>
      </c>
      <c r="D113" t="s">
        <v>244</v>
      </c>
      <c r="E113" s="4">
        <v>25</v>
      </c>
      <c r="F113" t="s">
        <v>24</v>
      </c>
      <c r="G113">
        <v>4</v>
      </c>
      <c r="H113">
        <v>0</v>
      </c>
      <c r="I113">
        <v>2</v>
      </c>
      <c r="J113">
        <v>33638</v>
      </c>
      <c r="K113">
        <v>81.8583</v>
      </c>
      <c r="L113" t="s">
        <v>245</v>
      </c>
      <c r="M113" s="4" t="s">
        <v>43</v>
      </c>
      <c r="N113" t="s">
        <v>20</v>
      </c>
    </row>
    <row r="114" spans="1:14" x14ac:dyDescent="0.25">
      <c r="A114">
        <v>448</v>
      </c>
      <c r="B114">
        <v>1</v>
      </c>
      <c r="C114">
        <v>1</v>
      </c>
      <c r="D114" t="s">
        <v>246</v>
      </c>
      <c r="E114" s="4">
        <v>27</v>
      </c>
      <c r="F114" t="s">
        <v>24</v>
      </c>
      <c r="G114">
        <v>34</v>
      </c>
      <c r="H114">
        <v>0</v>
      </c>
      <c r="I114">
        <v>0</v>
      </c>
      <c r="J114">
        <v>113794</v>
      </c>
      <c r="K114">
        <v>26.55</v>
      </c>
      <c r="M114" s="4" t="s">
        <v>1262</v>
      </c>
      <c r="N114" t="s">
        <v>20</v>
      </c>
    </row>
    <row r="115" spans="1:14" x14ac:dyDescent="0.25">
      <c r="A115">
        <v>450</v>
      </c>
      <c r="B115">
        <v>1</v>
      </c>
      <c r="C115">
        <v>1</v>
      </c>
      <c r="D115" t="s">
        <v>247</v>
      </c>
      <c r="E115" s="4">
        <v>30</v>
      </c>
      <c r="F115" t="s">
        <v>24</v>
      </c>
      <c r="G115">
        <v>52</v>
      </c>
      <c r="H115">
        <v>0</v>
      </c>
      <c r="I115">
        <v>0</v>
      </c>
      <c r="J115">
        <v>113786</v>
      </c>
      <c r="K115">
        <v>30.5</v>
      </c>
      <c r="L115" t="s">
        <v>248</v>
      </c>
      <c r="M115" s="4" t="s">
        <v>17</v>
      </c>
      <c r="N115" t="s">
        <v>20</v>
      </c>
    </row>
    <row r="116" spans="1:14" x14ac:dyDescent="0.25">
      <c r="A116">
        <v>453</v>
      </c>
      <c r="B116">
        <v>0</v>
      </c>
      <c r="C116">
        <v>1</v>
      </c>
      <c r="D116" t="s">
        <v>249</v>
      </c>
      <c r="E116" s="4">
        <v>31</v>
      </c>
      <c r="F116" t="s">
        <v>24</v>
      </c>
      <c r="G116">
        <v>30</v>
      </c>
      <c r="H116">
        <v>0</v>
      </c>
      <c r="I116">
        <v>0</v>
      </c>
      <c r="J116">
        <v>113051</v>
      </c>
      <c r="K116">
        <v>27.75</v>
      </c>
      <c r="L116" t="s">
        <v>250</v>
      </c>
      <c r="M116" s="4" t="s">
        <v>17</v>
      </c>
      <c r="N116" t="s">
        <v>17</v>
      </c>
    </row>
    <row r="117" spans="1:14" x14ac:dyDescent="0.25">
      <c r="A117">
        <v>454</v>
      </c>
      <c r="B117">
        <v>1</v>
      </c>
      <c r="C117">
        <v>1</v>
      </c>
      <c r="D117" t="s">
        <v>251</v>
      </c>
      <c r="E117" s="4">
        <v>24</v>
      </c>
      <c r="F117" t="s">
        <v>24</v>
      </c>
      <c r="G117">
        <v>49</v>
      </c>
      <c r="H117">
        <v>1</v>
      </c>
      <c r="I117">
        <v>0</v>
      </c>
      <c r="J117">
        <v>17453</v>
      </c>
      <c r="K117">
        <v>89.104200000000006</v>
      </c>
      <c r="L117" t="s">
        <v>50</v>
      </c>
      <c r="M117" s="4" t="s">
        <v>17</v>
      </c>
      <c r="N117" t="s">
        <v>17</v>
      </c>
    </row>
    <row r="118" spans="1:14" x14ac:dyDescent="0.25">
      <c r="A118">
        <v>457</v>
      </c>
      <c r="B118">
        <v>0</v>
      </c>
      <c r="C118">
        <v>1</v>
      </c>
      <c r="D118" t="s">
        <v>252</v>
      </c>
      <c r="E118" s="4">
        <v>25</v>
      </c>
      <c r="F118" t="s">
        <v>24</v>
      </c>
      <c r="G118">
        <v>65</v>
      </c>
      <c r="H118">
        <v>0</v>
      </c>
      <c r="I118">
        <v>0</v>
      </c>
      <c r="J118">
        <v>13509</v>
      </c>
      <c r="K118">
        <v>26.55</v>
      </c>
      <c r="L118" t="s">
        <v>253</v>
      </c>
      <c r="M118" s="4" t="s">
        <v>31</v>
      </c>
      <c r="N118" t="s">
        <v>20</v>
      </c>
    </row>
    <row r="119" spans="1:14" x14ac:dyDescent="0.25">
      <c r="A119">
        <v>461</v>
      </c>
      <c r="B119">
        <v>1</v>
      </c>
      <c r="C119">
        <v>1</v>
      </c>
      <c r="D119" t="s">
        <v>254</v>
      </c>
      <c r="E119" s="4">
        <v>19</v>
      </c>
      <c r="F119" t="s">
        <v>24</v>
      </c>
      <c r="G119">
        <v>48</v>
      </c>
      <c r="H119">
        <v>0</v>
      </c>
      <c r="I119">
        <v>0</v>
      </c>
      <c r="J119">
        <v>19952</v>
      </c>
      <c r="K119">
        <v>26.55</v>
      </c>
      <c r="L119" t="s">
        <v>255</v>
      </c>
      <c r="M119" s="4" t="s">
        <v>31</v>
      </c>
      <c r="N119" t="s">
        <v>20</v>
      </c>
    </row>
    <row r="120" spans="1:14" x14ac:dyDescent="0.25">
      <c r="A120">
        <v>463</v>
      </c>
      <c r="B120">
        <v>0</v>
      </c>
      <c r="C120">
        <v>1</v>
      </c>
      <c r="D120" t="s">
        <v>256</v>
      </c>
      <c r="E120" s="4">
        <v>17</v>
      </c>
      <c r="F120" t="s">
        <v>24</v>
      </c>
      <c r="G120">
        <v>47</v>
      </c>
      <c r="H120">
        <v>0</v>
      </c>
      <c r="I120">
        <v>0</v>
      </c>
      <c r="J120">
        <v>111320</v>
      </c>
      <c r="K120">
        <v>38.5</v>
      </c>
      <c r="L120" t="s">
        <v>257</v>
      </c>
      <c r="M120" s="4" t="s">
        <v>31</v>
      </c>
      <c r="N120" t="s">
        <v>20</v>
      </c>
    </row>
    <row r="121" spans="1:14" x14ac:dyDescent="0.25">
      <c r="A121">
        <v>468</v>
      </c>
      <c r="B121">
        <v>0</v>
      </c>
      <c r="C121">
        <v>1</v>
      </c>
      <c r="D121" t="s">
        <v>258</v>
      </c>
      <c r="E121" s="4">
        <v>26</v>
      </c>
      <c r="F121" t="s">
        <v>24</v>
      </c>
      <c r="G121">
        <v>56</v>
      </c>
      <c r="H121">
        <v>0</v>
      </c>
      <c r="I121">
        <v>0</v>
      </c>
      <c r="J121">
        <v>113792</v>
      </c>
      <c r="K121">
        <v>26.55</v>
      </c>
      <c r="M121" s="4" t="s">
        <v>1262</v>
      </c>
      <c r="N121" t="s">
        <v>20</v>
      </c>
    </row>
    <row r="122" spans="1:14" x14ac:dyDescent="0.25">
      <c r="A122">
        <v>485</v>
      </c>
      <c r="B122">
        <v>1</v>
      </c>
      <c r="C122">
        <v>1</v>
      </c>
      <c r="D122" t="s">
        <v>259</v>
      </c>
      <c r="E122" s="4">
        <v>23</v>
      </c>
      <c r="F122" t="s">
        <v>24</v>
      </c>
      <c r="G122">
        <v>25</v>
      </c>
      <c r="H122">
        <v>1</v>
      </c>
      <c r="I122">
        <v>0</v>
      </c>
      <c r="J122">
        <v>11967</v>
      </c>
      <c r="K122">
        <v>91.0792</v>
      </c>
      <c r="L122" t="s">
        <v>189</v>
      </c>
      <c r="M122" s="4" t="s">
        <v>40</v>
      </c>
      <c r="N122" t="s">
        <v>17</v>
      </c>
    </row>
    <row r="123" spans="1:14" x14ac:dyDescent="0.25">
      <c r="A123">
        <v>487</v>
      </c>
      <c r="B123">
        <v>1</v>
      </c>
      <c r="C123">
        <v>1</v>
      </c>
      <c r="D123" t="s">
        <v>260</v>
      </c>
      <c r="E123" s="4">
        <v>47</v>
      </c>
      <c r="F123" t="s">
        <v>14</v>
      </c>
      <c r="G123">
        <v>35</v>
      </c>
      <c r="H123">
        <v>1</v>
      </c>
      <c r="I123">
        <v>0</v>
      </c>
      <c r="J123">
        <v>19943</v>
      </c>
      <c r="K123">
        <v>90</v>
      </c>
      <c r="L123" t="s">
        <v>157</v>
      </c>
      <c r="M123" s="4" t="s">
        <v>17</v>
      </c>
      <c r="N123" t="s">
        <v>20</v>
      </c>
    </row>
    <row r="124" spans="1:14" x14ac:dyDescent="0.25">
      <c r="A124">
        <v>488</v>
      </c>
      <c r="B124">
        <v>0</v>
      </c>
      <c r="C124">
        <v>1</v>
      </c>
      <c r="D124" t="s">
        <v>261</v>
      </c>
      <c r="E124" s="4">
        <v>23</v>
      </c>
      <c r="F124" t="s">
        <v>24</v>
      </c>
      <c r="G124">
        <v>58</v>
      </c>
      <c r="H124">
        <v>0</v>
      </c>
      <c r="I124">
        <v>0</v>
      </c>
      <c r="J124">
        <v>11771</v>
      </c>
      <c r="K124">
        <v>29.7</v>
      </c>
      <c r="L124" t="s">
        <v>262</v>
      </c>
      <c r="M124" s="4" t="s">
        <v>40</v>
      </c>
      <c r="N124" t="s">
        <v>17</v>
      </c>
    </row>
    <row r="125" spans="1:14" x14ac:dyDescent="0.25">
      <c r="A125">
        <v>493</v>
      </c>
      <c r="B125">
        <v>0</v>
      </c>
      <c r="C125">
        <v>1</v>
      </c>
      <c r="D125" t="s">
        <v>263</v>
      </c>
      <c r="E125" s="4">
        <v>26</v>
      </c>
      <c r="F125" t="s">
        <v>24</v>
      </c>
      <c r="G125">
        <v>55</v>
      </c>
      <c r="H125">
        <v>0</v>
      </c>
      <c r="I125">
        <v>0</v>
      </c>
      <c r="J125">
        <v>113787</v>
      </c>
      <c r="K125">
        <v>30.5</v>
      </c>
      <c r="L125" t="s">
        <v>264</v>
      </c>
      <c r="M125" s="4" t="s">
        <v>17</v>
      </c>
      <c r="N125" t="s">
        <v>20</v>
      </c>
    </row>
    <row r="126" spans="1:14" x14ac:dyDescent="0.25">
      <c r="A126">
        <v>494</v>
      </c>
      <c r="B126">
        <v>0</v>
      </c>
      <c r="C126">
        <v>1</v>
      </c>
      <c r="D126" t="s">
        <v>265</v>
      </c>
      <c r="E126" s="4">
        <v>23</v>
      </c>
      <c r="F126" t="s">
        <v>24</v>
      </c>
      <c r="G126">
        <v>71</v>
      </c>
      <c r="H126">
        <v>0</v>
      </c>
      <c r="I126">
        <v>0</v>
      </c>
      <c r="J126" t="s">
        <v>266</v>
      </c>
      <c r="K126">
        <v>49.504199999999997</v>
      </c>
      <c r="M126" s="4" t="s">
        <v>1262</v>
      </c>
      <c r="N126" t="s">
        <v>17</v>
      </c>
    </row>
    <row r="127" spans="1:14" x14ac:dyDescent="0.25">
      <c r="A127">
        <v>497</v>
      </c>
      <c r="B127">
        <v>1</v>
      </c>
      <c r="C127">
        <v>1</v>
      </c>
      <c r="D127" t="s">
        <v>267</v>
      </c>
      <c r="E127" s="4">
        <v>30</v>
      </c>
      <c r="F127" t="s">
        <v>14</v>
      </c>
      <c r="G127">
        <v>54</v>
      </c>
      <c r="H127">
        <v>1</v>
      </c>
      <c r="I127">
        <v>0</v>
      </c>
      <c r="J127">
        <v>36947</v>
      </c>
      <c r="K127">
        <v>78.2667</v>
      </c>
      <c r="L127" t="s">
        <v>268</v>
      </c>
      <c r="M127" s="4" t="s">
        <v>62</v>
      </c>
      <c r="N127" t="s">
        <v>17</v>
      </c>
    </row>
    <row r="128" spans="1:14" x14ac:dyDescent="0.25">
      <c r="A128">
        <v>499</v>
      </c>
      <c r="B128">
        <v>0</v>
      </c>
      <c r="C128">
        <v>1</v>
      </c>
      <c r="D128" t="s">
        <v>269</v>
      </c>
      <c r="E128" s="4">
        <v>47</v>
      </c>
      <c r="F128" t="s">
        <v>14</v>
      </c>
      <c r="G128">
        <v>25</v>
      </c>
      <c r="H128">
        <v>1</v>
      </c>
      <c r="I128">
        <v>2</v>
      </c>
      <c r="J128">
        <v>113781</v>
      </c>
      <c r="K128">
        <v>151.55000000000001</v>
      </c>
      <c r="L128" t="s">
        <v>192</v>
      </c>
      <c r="M128" s="4" t="s">
        <v>17</v>
      </c>
      <c r="N128" t="s">
        <v>20</v>
      </c>
    </row>
    <row r="129" spans="1:14" x14ac:dyDescent="0.25">
      <c r="A129">
        <v>505</v>
      </c>
      <c r="B129">
        <v>1</v>
      </c>
      <c r="C129">
        <v>1</v>
      </c>
      <c r="D129" t="s">
        <v>270</v>
      </c>
      <c r="E129" s="4">
        <v>21</v>
      </c>
      <c r="F129" t="s">
        <v>14</v>
      </c>
      <c r="G129">
        <v>16</v>
      </c>
      <c r="H129">
        <v>0</v>
      </c>
      <c r="I129">
        <v>0</v>
      </c>
      <c r="J129">
        <v>110152</v>
      </c>
      <c r="K129">
        <v>86.5</v>
      </c>
      <c r="L129" t="s">
        <v>271</v>
      </c>
      <c r="M129" s="4" t="s">
        <v>40</v>
      </c>
      <c r="N129" t="s">
        <v>20</v>
      </c>
    </row>
    <row r="130" spans="1:14" x14ac:dyDescent="0.25">
      <c r="A130">
        <v>506</v>
      </c>
      <c r="B130">
        <v>0</v>
      </c>
      <c r="C130">
        <v>1</v>
      </c>
      <c r="D130" t="s">
        <v>272</v>
      </c>
      <c r="E130" s="4">
        <v>42</v>
      </c>
      <c r="F130" t="s">
        <v>24</v>
      </c>
      <c r="G130">
        <v>18</v>
      </c>
      <c r="H130">
        <v>1</v>
      </c>
      <c r="I130">
        <v>0</v>
      </c>
      <c r="J130" t="s">
        <v>196</v>
      </c>
      <c r="K130">
        <v>108.9</v>
      </c>
      <c r="L130" t="s">
        <v>197</v>
      </c>
      <c r="M130" s="4" t="s">
        <v>17</v>
      </c>
      <c r="N130" t="s">
        <v>17</v>
      </c>
    </row>
    <row r="131" spans="1:14" x14ac:dyDescent="0.25">
      <c r="A131">
        <v>513</v>
      </c>
      <c r="B131">
        <v>1</v>
      </c>
      <c r="C131">
        <v>1</v>
      </c>
      <c r="D131" t="s">
        <v>273</v>
      </c>
      <c r="E131" s="4">
        <v>25</v>
      </c>
      <c r="F131" t="s">
        <v>24</v>
      </c>
      <c r="G131">
        <v>36</v>
      </c>
      <c r="H131">
        <v>0</v>
      </c>
      <c r="I131">
        <v>0</v>
      </c>
      <c r="J131" t="s">
        <v>274</v>
      </c>
      <c r="K131">
        <v>26.287500000000001</v>
      </c>
      <c r="L131" t="s">
        <v>275</v>
      </c>
      <c r="M131" s="4" t="s">
        <v>31</v>
      </c>
      <c r="N131" t="s">
        <v>20</v>
      </c>
    </row>
    <row r="132" spans="1:14" x14ac:dyDescent="0.25">
      <c r="A132">
        <v>514</v>
      </c>
      <c r="B132">
        <v>1</v>
      </c>
      <c r="C132">
        <v>1</v>
      </c>
      <c r="D132" t="s">
        <v>276</v>
      </c>
      <c r="E132" s="4">
        <v>46</v>
      </c>
      <c r="F132" t="s">
        <v>14</v>
      </c>
      <c r="G132">
        <v>54</v>
      </c>
      <c r="H132">
        <v>1</v>
      </c>
      <c r="I132">
        <v>0</v>
      </c>
      <c r="J132" t="s">
        <v>277</v>
      </c>
      <c r="K132">
        <v>59.4</v>
      </c>
      <c r="M132" s="4" t="s">
        <v>1262</v>
      </c>
      <c r="N132" t="s">
        <v>17</v>
      </c>
    </row>
    <row r="133" spans="1:14" x14ac:dyDescent="0.25">
      <c r="A133">
        <v>516</v>
      </c>
      <c r="B133">
        <v>0</v>
      </c>
      <c r="C133">
        <v>1</v>
      </c>
      <c r="D133" t="s">
        <v>278</v>
      </c>
      <c r="E133" s="4">
        <v>28</v>
      </c>
      <c r="F133" t="s">
        <v>24</v>
      </c>
      <c r="G133">
        <v>47</v>
      </c>
      <c r="H133">
        <v>0</v>
      </c>
      <c r="I133">
        <v>0</v>
      </c>
      <c r="J133">
        <v>36967</v>
      </c>
      <c r="K133">
        <v>34.020800000000001</v>
      </c>
      <c r="L133" t="s">
        <v>279</v>
      </c>
      <c r="M133" s="4" t="s">
        <v>62</v>
      </c>
      <c r="N133" t="s">
        <v>20</v>
      </c>
    </row>
    <row r="134" spans="1:14" x14ac:dyDescent="0.25">
      <c r="A134">
        <v>521</v>
      </c>
      <c r="B134">
        <v>1</v>
      </c>
      <c r="C134">
        <v>1</v>
      </c>
      <c r="D134" t="s">
        <v>280</v>
      </c>
      <c r="E134" s="4">
        <v>21</v>
      </c>
      <c r="F134" t="s">
        <v>14</v>
      </c>
      <c r="G134">
        <v>30</v>
      </c>
      <c r="H134">
        <v>0</v>
      </c>
      <c r="I134">
        <v>0</v>
      </c>
      <c r="J134">
        <v>12749</v>
      </c>
      <c r="K134">
        <v>93.5</v>
      </c>
      <c r="L134" t="s">
        <v>281</v>
      </c>
      <c r="M134" s="4" t="s">
        <v>40</v>
      </c>
      <c r="N134" t="s">
        <v>20</v>
      </c>
    </row>
    <row r="135" spans="1:14" x14ac:dyDescent="0.25">
      <c r="A135">
        <v>524</v>
      </c>
      <c r="B135">
        <v>1</v>
      </c>
      <c r="C135">
        <v>1</v>
      </c>
      <c r="D135" t="s">
        <v>282</v>
      </c>
      <c r="E135" s="4">
        <v>47</v>
      </c>
      <c r="F135" t="s">
        <v>14</v>
      </c>
      <c r="G135">
        <v>44</v>
      </c>
      <c r="H135">
        <v>0</v>
      </c>
      <c r="I135">
        <v>1</v>
      </c>
      <c r="J135">
        <v>111361</v>
      </c>
      <c r="K135">
        <v>57.979199999999999</v>
      </c>
      <c r="L135" t="s">
        <v>213</v>
      </c>
      <c r="M135" s="4" t="s">
        <v>40</v>
      </c>
      <c r="N135" t="s">
        <v>17</v>
      </c>
    </row>
    <row r="136" spans="1:14" x14ac:dyDescent="0.25">
      <c r="A136">
        <v>537</v>
      </c>
      <c r="B136">
        <v>0</v>
      </c>
      <c r="C136">
        <v>1</v>
      </c>
      <c r="D136" t="s">
        <v>283</v>
      </c>
      <c r="E136" s="4">
        <v>33</v>
      </c>
      <c r="F136" t="s">
        <v>24</v>
      </c>
      <c r="G136">
        <v>45</v>
      </c>
      <c r="H136">
        <v>0</v>
      </c>
      <c r="I136">
        <v>0</v>
      </c>
      <c r="J136">
        <v>113050</v>
      </c>
      <c r="K136">
        <v>26.55</v>
      </c>
      <c r="L136" t="s">
        <v>284</v>
      </c>
      <c r="M136" s="4" t="s">
        <v>40</v>
      </c>
      <c r="N136" t="s">
        <v>20</v>
      </c>
    </row>
    <row r="137" spans="1:14" x14ac:dyDescent="0.25">
      <c r="A137">
        <v>538</v>
      </c>
      <c r="B137">
        <v>1</v>
      </c>
      <c r="C137">
        <v>1</v>
      </c>
      <c r="D137" t="s">
        <v>285</v>
      </c>
      <c r="E137" s="4">
        <v>19</v>
      </c>
      <c r="F137" t="s">
        <v>14</v>
      </c>
      <c r="G137">
        <v>30</v>
      </c>
      <c r="H137">
        <v>0</v>
      </c>
      <c r="I137">
        <v>0</v>
      </c>
      <c r="J137" t="s">
        <v>286</v>
      </c>
      <c r="K137">
        <v>106.425</v>
      </c>
      <c r="M137" s="4" t="s">
        <v>1262</v>
      </c>
      <c r="N137" t="s">
        <v>17</v>
      </c>
    </row>
    <row r="138" spans="1:14" x14ac:dyDescent="0.25">
      <c r="A138">
        <v>540</v>
      </c>
      <c r="B138">
        <v>1</v>
      </c>
      <c r="C138">
        <v>1</v>
      </c>
      <c r="D138" t="s">
        <v>287</v>
      </c>
      <c r="E138" s="4">
        <v>34</v>
      </c>
      <c r="F138" t="s">
        <v>14</v>
      </c>
      <c r="G138">
        <v>22</v>
      </c>
      <c r="H138">
        <v>0</v>
      </c>
      <c r="I138">
        <v>2</v>
      </c>
      <c r="J138">
        <v>13568</v>
      </c>
      <c r="K138">
        <v>49.5</v>
      </c>
      <c r="L138" t="s">
        <v>288</v>
      </c>
      <c r="M138" s="4" t="s">
        <v>40</v>
      </c>
      <c r="N138" t="s">
        <v>17</v>
      </c>
    </row>
    <row r="139" spans="1:14" x14ac:dyDescent="0.25">
      <c r="A139">
        <v>541</v>
      </c>
      <c r="B139">
        <v>1</v>
      </c>
      <c r="C139">
        <v>1</v>
      </c>
      <c r="D139" t="s">
        <v>289</v>
      </c>
      <c r="E139" s="4">
        <v>23</v>
      </c>
      <c r="F139" t="s">
        <v>14</v>
      </c>
      <c r="G139">
        <v>36</v>
      </c>
      <c r="H139">
        <v>0</v>
      </c>
      <c r="I139">
        <v>2</v>
      </c>
      <c r="J139" t="s">
        <v>290</v>
      </c>
      <c r="K139">
        <v>71</v>
      </c>
      <c r="L139" t="s">
        <v>291</v>
      </c>
      <c r="M139" s="4" t="s">
        <v>40</v>
      </c>
      <c r="N139" t="s">
        <v>20</v>
      </c>
    </row>
    <row r="140" spans="1:14" x14ac:dyDescent="0.25">
      <c r="A140">
        <v>545</v>
      </c>
      <c r="B140">
        <v>0</v>
      </c>
      <c r="C140">
        <v>1</v>
      </c>
      <c r="D140" t="s">
        <v>292</v>
      </c>
      <c r="E140" s="4">
        <v>26</v>
      </c>
      <c r="F140" t="s">
        <v>24</v>
      </c>
      <c r="G140">
        <v>50</v>
      </c>
      <c r="H140">
        <v>1</v>
      </c>
      <c r="I140">
        <v>0</v>
      </c>
      <c r="J140" t="s">
        <v>286</v>
      </c>
      <c r="K140">
        <v>106.425</v>
      </c>
      <c r="L140" t="s">
        <v>293</v>
      </c>
      <c r="M140" s="4" t="s">
        <v>17</v>
      </c>
      <c r="N140" t="s">
        <v>17</v>
      </c>
    </row>
    <row r="141" spans="1:14" x14ac:dyDescent="0.25">
      <c r="A141">
        <v>546</v>
      </c>
      <c r="B141">
        <v>0</v>
      </c>
      <c r="C141">
        <v>1</v>
      </c>
      <c r="D141" t="s">
        <v>294</v>
      </c>
      <c r="E141" s="4">
        <v>28</v>
      </c>
      <c r="F141" t="s">
        <v>24</v>
      </c>
      <c r="G141">
        <v>64</v>
      </c>
      <c r="H141">
        <v>0</v>
      </c>
      <c r="I141">
        <v>0</v>
      </c>
      <c r="J141">
        <v>693</v>
      </c>
      <c r="K141">
        <v>26</v>
      </c>
      <c r="M141" s="4" t="s">
        <v>1262</v>
      </c>
      <c r="N141" t="s">
        <v>20</v>
      </c>
    </row>
    <row r="142" spans="1:14" x14ac:dyDescent="0.25">
      <c r="A142">
        <v>551</v>
      </c>
      <c r="B142">
        <v>1</v>
      </c>
      <c r="C142">
        <v>1</v>
      </c>
      <c r="D142" t="s">
        <v>295</v>
      </c>
      <c r="E142" s="4">
        <v>27</v>
      </c>
      <c r="F142" t="s">
        <v>24</v>
      </c>
      <c r="G142">
        <v>17</v>
      </c>
      <c r="H142">
        <v>0</v>
      </c>
      <c r="I142">
        <v>2</v>
      </c>
      <c r="J142">
        <v>17421</v>
      </c>
      <c r="K142">
        <v>110.88330000000001</v>
      </c>
      <c r="L142" t="s">
        <v>296</v>
      </c>
      <c r="M142" s="4" t="s">
        <v>17</v>
      </c>
      <c r="N142" t="s">
        <v>17</v>
      </c>
    </row>
    <row r="143" spans="1:14" x14ac:dyDescent="0.25">
      <c r="A143">
        <v>556</v>
      </c>
      <c r="B143">
        <v>0</v>
      </c>
      <c r="C143">
        <v>1</v>
      </c>
      <c r="D143" t="s">
        <v>297</v>
      </c>
      <c r="E143" s="4">
        <v>18</v>
      </c>
      <c r="F143" t="s">
        <v>24</v>
      </c>
      <c r="G143">
        <v>62</v>
      </c>
      <c r="H143">
        <v>0</v>
      </c>
      <c r="I143">
        <v>0</v>
      </c>
      <c r="J143">
        <v>113807</v>
      </c>
      <c r="K143">
        <v>26.55</v>
      </c>
      <c r="M143" s="4" t="s">
        <v>1262</v>
      </c>
      <c r="N143" t="s">
        <v>20</v>
      </c>
    </row>
    <row r="144" spans="1:14" x14ac:dyDescent="0.25">
      <c r="A144">
        <v>557</v>
      </c>
      <c r="B144">
        <v>1</v>
      </c>
      <c r="C144">
        <v>1</v>
      </c>
      <c r="D144" t="s">
        <v>298</v>
      </c>
      <c r="E144" s="4">
        <v>65</v>
      </c>
      <c r="F144" t="s">
        <v>14</v>
      </c>
      <c r="G144">
        <v>48</v>
      </c>
      <c r="H144">
        <v>1</v>
      </c>
      <c r="I144">
        <v>0</v>
      </c>
      <c r="J144">
        <v>11755</v>
      </c>
      <c r="K144">
        <v>39.6</v>
      </c>
      <c r="L144" t="s">
        <v>299</v>
      </c>
      <c r="M144" s="4" t="s">
        <v>43</v>
      </c>
      <c r="N144" t="s">
        <v>17</v>
      </c>
    </row>
    <row r="145" spans="1:14" x14ac:dyDescent="0.25">
      <c r="A145">
        <v>559</v>
      </c>
      <c r="B145">
        <v>1</v>
      </c>
      <c r="C145">
        <v>1</v>
      </c>
      <c r="D145" t="s">
        <v>300</v>
      </c>
      <c r="E145" s="4">
        <v>38</v>
      </c>
      <c r="F145" t="s">
        <v>14</v>
      </c>
      <c r="G145">
        <v>39</v>
      </c>
      <c r="H145">
        <v>1</v>
      </c>
      <c r="I145">
        <v>1</v>
      </c>
      <c r="J145">
        <v>110413</v>
      </c>
      <c r="K145">
        <v>79.650000000000006</v>
      </c>
      <c r="L145" t="s">
        <v>171</v>
      </c>
      <c r="M145" s="4" t="s">
        <v>31</v>
      </c>
      <c r="N145" t="s">
        <v>20</v>
      </c>
    </row>
    <row r="146" spans="1:14" x14ac:dyDescent="0.25">
      <c r="A146">
        <v>572</v>
      </c>
      <c r="B146">
        <v>1</v>
      </c>
      <c r="C146">
        <v>1</v>
      </c>
      <c r="D146" t="s">
        <v>301</v>
      </c>
      <c r="E146" s="4">
        <v>45</v>
      </c>
      <c r="F146" t="s">
        <v>14</v>
      </c>
      <c r="G146">
        <v>53</v>
      </c>
      <c r="H146">
        <v>2</v>
      </c>
      <c r="I146">
        <v>0</v>
      </c>
      <c r="J146">
        <v>11769</v>
      </c>
      <c r="K146">
        <v>51.479199999999999</v>
      </c>
      <c r="L146" t="s">
        <v>302</v>
      </c>
      <c r="M146" s="4" t="s">
        <v>17</v>
      </c>
      <c r="N146" t="s">
        <v>20</v>
      </c>
    </row>
    <row r="147" spans="1:14" x14ac:dyDescent="0.25">
      <c r="A147">
        <v>573</v>
      </c>
      <c r="B147">
        <v>1</v>
      </c>
      <c r="C147">
        <v>1</v>
      </c>
      <c r="D147" t="s">
        <v>303</v>
      </c>
      <c r="E147" s="4">
        <v>32</v>
      </c>
      <c r="F147" t="s">
        <v>24</v>
      </c>
      <c r="G147">
        <v>36</v>
      </c>
      <c r="H147">
        <v>0</v>
      </c>
      <c r="I147">
        <v>0</v>
      </c>
      <c r="J147" t="s">
        <v>304</v>
      </c>
      <c r="K147">
        <v>26.387499999999999</v>
      </c>
      <c r="L147" t="s">
        <v>275</v>
      </c>
      <c r="M147" s="4" t="s">
        <v>31</v>
      </c>
      <c r="N147" t="s">
        <v>20</v>
      </c>
    </row>
    <row r="148" spans="1:14" x14ac:dyDescent="0.25">
      <c r="A148">
        <v>578</v>
      </c>
      <c r="B148">
        <v>1</v>
      </c>
      <c r="C148">
        <v>1</v>
      </c>
      <c r="D148" t="s">
        <v>305</v>
      </c>
      <c r="E148" s="4">
        <v>41</v>
      </c>
      <c r="F148" t="s">
        <v>14</v>
      </c>
      <c r="G148">
        <v>39</v>
      </c>
      <c r="H148">
        <v>1</v>
      </c>
      <c r="I148">
        <v>0</v>
      </c>
      <c r="J148">
        <v>13507</v>
      </c>
      <c r="K148">
        <v>55.9</v>
      </c>
      <c r="L148" t="s">
        <v>241</v>
      </c>
      <c r="M148" s="4" t="s">
        <v>31</v>
      </c>
      <c r="N148" t="s">
        <v>20</v>
      </c>
    </row>
    <row r="149" spans="1:14" x14ac:dyDescent="0.25">
      <c r="A149">
        <v>582</v>
      </c>
      <c r="B149">
        <v>1</v>
      </c>
      <c r="C149">
        <v>1</v>
      </c>
      <c r="D149" t="s">
        <v>306</v>
      </c>
      <c r="E149" s="4">
        <v>52</v>
      </c>
      <c r="F149" t="s">
        <v>14</v>
      </c>
      <c r="G149">
        <v>39</v>
      </c>
      <c r="H149">
        <v>1</v>
      </c>
      <c r="I149">
        <v>1</v>
      </c>
      <c r="J149">
        <v>17421</v>
      </c>
      <c r="K149">
        <v>110.88330000000001</v>
      </c>
      <c r="L149" t="s">
        <v>307</v>
      </c>
      <c r="M149" s="4" t="s">
        <v>17</v>
      </c>
      <c r="N149" t="s">
        <v>17</v>
      </c>
    </row>
    <row r="150" spans="1:14" x14ac:dyDescent="0.25">
      <c r="A150">
        <v>584</v>
      </c>
      <c r="B150">
        <v>0</v>
      </c>
      <c r="C150">
        <v>1</v>
      </c>
      <c r="D150" t="s">
        <v>308</v>
      </c>
      <c r="E150" s="4">
        <v>19</v>
      </c>
      <c r="F150" t="s">
        <v>24</v>
      </c>
      <c r="G150">
        <v>36</v>
      </c>
      <c r="H150">
        <v>0</v>
      </c>
      <c r="I150">
        <v>0</v>
      </c>
      <c r="J150">
        <v>13049</v>
      </c>
      <c r="K150">
        <v>40.125</v>
      </c>
      <c r="L150" t="s">
        <v>309</v>
      </c>
      <c r="M150" s="4" t="s">
        <v>43</v>
      </c>
      <c r="N150" t="s">
        <v>17</v>
      </c>
    </row>
    <row r="151" spans="1:14" x14ac:dyDescent="0.25">
      <c r="A151">
        <v>586</v>
      </c>
      <c r="B151">
        <v>1</v>
      </c>
      <c r="C151">
        <v>1</v>
      </c>
      <c r="D151" t="s">
        <v>310</v>
      </c>
      <c r="E151" s="4">
        <v>19</v>
      </c>
      <c r="F151" t="s">
        <v>14</v>
      </c>
      <c r="G151">
        <v>18</v>
      </c>
      <c r="H151">
        <v>0</v>
      </c>
      <c r="I151">
        <v>2</v>
      </c>
      <c r="J151">
        <v>110413</v>
      </c>
      <c r="K151">
        <v>79.650000000000006</v>
      </c>
      <c r="L151" t="s">
        <v>311</v>
      </c>
      <c r="M151" s="4" t="s">
        <v>31</v>
      </c>
      <c r="N151" t="s">
        <v>20</v>
      </c>
    </row>
    <row r="152" spans="1:14" x14ac:dyDescent="0.25">
      <c r="A152">
        <v>588</v>
      </c>
      <c r="B152">
        <v>1</v>
      </c>
      <c r="C152">
        <v>1</v>
      </c>
      <c r="D152" t="s">
        <v>312</v>
      </c>
      <c r="E152" s="4">
        <v>32</v>
      </c>
      <c r="F152" t="s">
        <v>24</v>
      </c>
      <c r="G152">
        <v>60</v>
      </c>
      <c r="H152">
        <v>1</v>
      </c>
      <c r="I152">
        <v>1</v>
      </c>
      <c r="J152">
        <v>13567</v>
      </c>
      <c r="K152">
        <v>79.2</v>
      </c>
      <c r="L152" t="s">
        <v>313</v>
      </c>
      <c r="M152" s="4" t="s">
        <v>40</v>
      </c>
      <c r="N152" t="s">
        <v>17</v>
      </c>
    </row>
    <row r="153" spans="1:14" x14ac:dyDescent="0.25">
      <c r="A153">
        <v>592</v>
      </c>
      <c r="B153">
        <v>1</v>
      </c>
      <c r="C153">
        <v>1</v>
      </c>
      <c r="D153" t="s">
        <v>314</v>
      </c>
      <c r="E153" s="4">
        <v>47</v>
      </c>
      <c r="F153" t="s">
        <v>14</v>
      </c>
      <c r="G153">
        <v>52</v>
      </c>
      <c r="H153">
        <v>1</v>
      </c>
      <c r="I153">
        <v>0</v>
      </c>
      <c r="J153">
        <v>36947</v>
      </c>
      <c r="K153">
        <v>78.2667</v>
      </c>
      <c r="L153" t="s">
        <v>268</v>
      </c>
      <c r="M153" s="4" t="s">
        <v>62</v>
      </c>
      <c r="N153" t="s">
        <v>17</v>
      </c>
    </row>
    <row r="154" spans="1:14" x14ac:dyDescent="0.25">
      <c r="A154">
        <v>600</v>
      </c>
      <c r="B154">
        <v>1</v>
      </c>
      <c r="C154">
        <v>1</v>
      </c>
      <c r="D154" t="s">
        <v>315</v>
      </c>
      <c r="E154" s="4">
        <v>44</v>
      </c>
      <c r="F154" t="s">
        <v>24</v>
      </c>
      <c r="G154">
        <v>49</v>
      </c>
      <c r="H154">
        <v>1</v>
      </c>
      <c r="I154">
        <v>0</v>
      </c>
      <c r="J154" t="s">
        <v>199</v>
      </c>
      <c r="K154">
        <v>56.929200000000002</v>
      </c>
      <c r="L154" t="s">
        <v>316</v>
      </c>
      <c r="M154" s="4" t="s">
        <v>43</v>
      </c>
      <c r="N154" t="s">
        <v>17</v>
      </c>
    </row>
    <row r="155" spans="1:14" x14ac:dyDescent="0.25">
      <c r="A155">
        <v>605</v>
      </c>
      <c r="B155">
        <v>1</v>
      </c>
      <c r="C155">
        <v>1</v>
      </c>
      <c r="D155" t="s">
        <v>317</v>
      </c>
      <c r="E155" s="4">
        <v>31</v>
      </c>
      <c r="F155" t="s">
        <v>24</v>
      </c>
      <c r="G155">
        <v>35</v>
      </c>
      <c r="H155">
        <v>0</v>
      </c>
      <c r="I155">
        <v>0</v>
      </c>
      <c r="J155">
        <v>111426</v>
      </c>
      <c r="K155">
        <v>26.55</v>
      </c>
      <c r="M155" s="4" t="s">
        <v>1262</v>
      </c>
      <c r="N155" t="s">
        <v>17</v>
      </c>
    </row>
    <row r="156" spans="1:14" x14ac:dyDescent="0.25">
      <c r="A156">
        <v>608</v>
      </c>
      <c r="B156">
        <v>1</v>
      </c>
      <c r="C156">
        <v>1</v>
      </c>
      <c r="D156" t="s">
        <v>318</v>
      </c>
      <c r="E156" s="4">
        <v>27</v>
      </c>
      <c r="F156" t="s">
        <v>24</v>
      </c>
      <c r="G156">
        <v>27</v>
      </c>
      <c r="H156">
        <v>0</v>
      </c>
      <c r="I156">
        <v>0</v>
      </c>
      <c r="J156">
        <v>113804</v>
      </c>
      <c r="K156">
        <v>30.5</v>
      </c>
      <c r="M156" s="4" t="s">
        <v>1262</v>
      </c>
      <c r="N156" t="s">
        <v>20</v>
      </c>
    </row>
    <row r="157" spans="1:14" x14ac:dyDescent="0.25">
      <c r="A157">
        <v>610</v>
      </c>
      <c r="B157">
        <v>1</v>
      </c>
      <c r="C157">
        <v>1</v>
      </c>
      <c r="D157" t="s">
        <v>319</v>
      </c>
      <c r="E157" s="4">
        <v>25</v>
      </c>
      <c r="F157" t="s">
        <v>14</v>
      </c>
      <c r="G157">
        <v>40</v>
      </c>
      <c r="H157">
        <v>0</v>
      </c>
      <c r="I157">
        <v>0</v>
      </c>
      <c r="J157" t="s">
        <v>175</v>
      </c>
      <c r="K157">
        <v>153.46250000000001</v>
      </c>
      <c r="L157" t="s">
        <v>176</v>
      </c>
      <c r="M157" s="4" t="s">
        <v>17</v>
      </c>
      <c r="N157" t="s">
        <v>20</v>
      </c>
    </row>
    <row r="158" spans="1:14" x14ac:dyDescent="0.25">
      <c r="A158">
        <v>622</v>
      </c>
      <c r="B158">
        <v>1</v>
      </c>
      <c r="C158">
        <v>1</v>
      </c>
      <c r="D158" t="s">
        <v>320</v>
      </c>
      <c r="E158" s="4">
        <v>28</v>
      </c>
      <c r="F158" t="s">
        <v>24</v>
      </c>
      <c r="G158">
        <v>42</v>
      </c>
      <c r="H158">
        <v>1</v>
      </c>
      <c r="I158">
        <v>0</v>
      </c>
      <c r="J158">
        <v>11753</v>
      </c>
      <c r="K158">
        <v>52.554200000000002</v>
      </c>
      <c r="L158" t="s">
        <v>321</v>
      </c>
      <c r="M158" s="4" t="s">
        <v>62</v>
      </c>
      <c r="N158" t="s">
        <v>20</v>
      </c>
    </row>
    <row r="159" spans="1:14" x14ac:dyDescent="0.25">
      <c r="A159">
        <v>626</v>
      </c>
      <c r="B159">
        <v>0</v>
      </c>
      <c r="C159">
        <v>1</v>
      </c>
      <c r="D159" t="s">
        <v>322</v>
      </c>
      <c r="E159" s="4">
        <v>21</v>
      </c>
      <c r="F159" t="s">
        <v>24</v>
      </c>
      <c r="G159">
        <v>61</v>
      </c>
      <c r="H159">
        <v>0</v>
      </c>
      <c r="I159">
        <v>0</v>
      </c>
      <c r="J159">
        <v>36963</v>
      </c>
      <c r="K159">
        <v>32.320799999999998</v>
      </c>
      <c r="L159" t="s">
        <v>323</v>
      </c>
      <c r="M159" s="4" t="s">
        <v>62</v>
      </c>
      <c r="N159" t="s">
        <v>20</v>
      </c>
    </row>
    <row r="160" spans="1:14" x14ac:dyDescent="0.25">
      <c r="A160">
        <v>628</v>
      </c>
      <c r="B160">
        <v>1</v>
      </c>
      <c r="C160">
        <v>1</v>
      </c>
      <c r="D160" t="s">
        <v>324</v>
      </c>
      <c r="E160" s="4">
        <v>29</v>
      </c>
      <c r="F160" t="s">
        <v>14</v>
      </c>
      <c r="G160">
        <v>21</v>
      </c>
      <c r="H160">
        <v>0</v>
      </c>
      <c r="I160">
        <v>0</v>
      </c>
      <c r="J160">
        <v>13502</v>
      </c>
      <c r="K160">
        <v>77.958299999999994</v>
      </c>
      <c r="L160" t="s">
        <v>325</v>
      </c>
      <c r="M160" s="4" t="s">
        <v>62</v>
      </c>
      <c r="N160" t="s">
        <v>20</v>
      </c>
    </row>
    <row r="161" spans="1:14" x14ac:dyDescent="0.25">
      <c r="A161">
        <v>631</v>
      </c>
      <c r="B161">
        <v>1</v>
      </c>
      <c r="C161">
        <v>1</v>
      </c>
      <c r="D161" t="s">
        <v>326</v>
      </c>
      <c r="E161" s="4">
        <v>36</v>
      </c>
      <c r="F161" t="s">
        <v>24</v>
      </c>
      <c r="G161">
        <v>80</v>
      </c>
      <c r="H161">
        <v>0</v>
      </c>
      <c r="I161">
        <v>0</v>
      </c>
      <c r="J161">
        <v>27042</v>
      </c>
      <c r="K161">
        <v>30</v>
      </c>
      <c r="L161" t="s">
        <v>327</v>
      </c>
      <c r="M161" s="4" t="s">
        <v>43</v>
      </c>
      <c r="N161" t="s">
        <v>20</v>
      </c>
    </row>
    <row r="162" spans="1:14" x14ac:dyDescent="0.25">
      <c r="A162">
        <v>633</v>
      </c>
      <c r="B162">
        <v>1</v>
      </c>
      <c r="C162">
        <v>1</v>
      </c>
      <c r="D162" t="s">
        <v>328</v>
      </c>
      <c r="E162" s="4">
        <v>25</v>
      </c>
      <c r="F162" t="s">
        <v>24</v>
      </c>
      <c r="G162">
        <v>32</v>
      </c>
      <c r="H162">
        <v>0</v>
      </c>
      <c r="I162">
        <v>0</v>
      </c>
      <c r="J162">
        <v>13214</v>
      </c>
      <c r="K162">
        <v>30.5</v>
      </c>
      <c r="L162" t="s">
        <v>329</v>
      </c>
      <c r="M162" s="4" t="s">
        <v>40</v>
      </c>
      <c r="N162" t="s">
        <v>17</v>
      </c>
    </row>
    <row r="163" spans="1:14" x14ac:dyDescent="0.25">
      <c r="A163">
        <v>642</v>
      </c>
      <c r="B163">
        <v>1</v>
      </c>
      <c r="C163">
        <v>1</v>
      </c>
      <c r="D163" t="s">
        <v>330</v>
      </c>
      <c r="E163" s="4">
        <v>20</v>
      </c>
      <c r="F163" t="s">
        <v>14</v>
      </c>
      <c r="G163">
        <v>24</v>
      </c>
      <c r="H163">
        <v>0</v>
      </c>
      <c r="I163">
        <v>0</v>
      </c>
      <c r="J163" t="s">
        <v>226</v>
      </c>
      <c r="K163">
        <v>69.3</v>
      </c>
      <c r="L163" t="s">
        <v>227</v>
      </c>
      <c r="M163" s="4" t="s">
        <v>40</v>
      </c>
      <c r="N163" t="s">
        <v>17</v>
      </c>
    </row>
    <row r="164" spans="1:14" x14ac:dyDescent="0.25">
      <c r="A164">
        <v>646</v>
      </c>
      <c r="B164">
        <v>1</v>
      </c>
      <c r="C164">
        <v>1</v>
      </c>
      <c r="D164" t="s">
        <v>331</v>
      </c>
      <c r="E164" s="4">
        <v>25</v>
      </c>
      <c r="F164" t="s">
        <v>24</v>
      </c>
      <c r="G164">
        <v>48</v>
      </c>
      <c r="H164">
        <v>1</v>
      </c>
      <c r="I164">
        <v>0</v>
      </c>
      <c r="J164" t="s">
        <v>60</v>
      </c>
      <c r="K164">
        <v>76.729200000000006</v>
      </c>
      <c r="L164" t="s">
        <v>61</v>
      </c>
      <c r="M164" s="4" t="s">
        <v>62</v>
      </c>
      <c r="N164" t="s">
        <v>17</v>
      </c>
    </row>
    <row r="165" spans="1:14" x14ac:dyDescent="0.25">
      <c r="A165">
        <v>648</v>
      </c>
      <c r="B165">
        <v>1</v>
      </c>
      <c r="C165">
        <v>1</v>
      </c>
      <c r="D165" t="s">
        <v>332</v>
      </c>
      <c r="E165" s="4">
        <v>35</v>
      </c>
      <c r="F165" t="s">
        <v>24</v>
      </c>
      <c r="G165">
        <v>56</v>
      </c>
      <c r="H165">
        <v>0</v>
      </c>
      <c r="I165">
        <v>0</v>
      </c>
      <c r="J165">
        <v>13213</v>
      </c>
      <c r="K165">
        <v>35.5</v>
      </c>
      <c r="L165" t="s">
        <v>333</v>
      </c>
      <c r="M165" s="4" t="s">
        <v>43</v>
      </c>
      <c r="N165" t="s">
        <v>17</v>
      </c>
    </row>
    <row r="166" spans="1:14" x14ac:dyDescent="0.25">
      <c r="A166">
        <v>660</v>
      </c>
      <c r="B166">
        <v>0</v>
      </c>
      <c r="C166">
        <v>1</v>
      </c>
      <c r="D166" t="s">
        <v>334</v>
      </c>
      <c r="E166" s="4">
        <v>26</v>
      </c>
      <c r="F166" t="s">
        <v>24</v>
      </c>
      <c r="G166">
        <v>58</v>
      </c>
      <c r="H166">
        <v>0</v>
      </c>
      <c r="I166">
        <v>2</v>
      </c>
      <c r="J166">
        <v>35273</v>
      </c>
      <c r="K166">
        <v>113.27500000000001</v>
      </c>
      <c r="L166" t="s">
        <v>335</v>
      </c>
      <c r="M166" s="4" t="s">
        <v>62</v>
      </c>
      <c r="N166" t="s">
        <v>17</v>
      </c>
    </row>
    <row r="167" spans="1:14" x14ac:dyDescent="0.25">
      <c r="A167">
        <v>661</v>
      </c>
      <c r="B167">
        <v>1</v>
      </c>
      <c r="C167">
        <v>1</v>
      </c>
      <c r="D167" t="s">
        <v>336</v>
      </c>
      <c r="E167" s="4">
        <v>29</v>
      </c>
      <c r="F167" t="s">
        <v>24</v>
      </c>
      <c r="G167">
        <v>50</v>
      </c>
      <c r="H167">
        <v>2</v>
      </c>
      <c r="I167">
        <v>0</v>
      </c>
      <c r="J167" t="s">
        <v>45</v>
      </c>
      <c r="K167">
        <v>133.65</v>
      </c>
      <c r="M167" s="4" t="s">
        <v>1262</v>
      </c>
      <c r="N167" t="s">
        <v>20</v>
      </c>
    </row>
    <row r="168" spans="1:14" x14ac:dyDescent="0.25">
      <c r="A168">
        <v>663</v>
      </c>
      <c r="B168">
        <v>0</v>
      </c>
      <c r="C168">
        <v>1</v>
      </c>
      <c r="D168" t="s">
        <v>337</v>
      </c>
      <c r="E168" s="4">
        <v>26</v>
      </c>
      <c r="F168" t="s">
        <v>24</v>
      </c>
      <c r="G168">
        <v>47</v>
      </c>
      <c r="H168">
        <v>0</v>
      </c>
      <c r="I168">
        <v>0</v>
      </c>
      <c r="J168">
        <v>5727</v>
      </c>
      <c r="K168">
        <v>25.587499999999999</v>
      </c>
      <c r="L168" t="s">
        <v>338</v>
      </c>
      <c r="M168" s="4" t="s">
        <v>31</v>
      </c>
      <c r="N168" t="s">
        <v>20</v>
      </c>
    </row>
    <row r="169" spans="1:14" x14ac:dyDescent="0.25">
      <c r="A169">
        <v>672</v>
      </c>
      <c r="B169">
        <v>0</v>
      </c>
      <c r="C169">
        <v>1</v>
      </c>
      <c r="D169" t="s">
        <v>339</v>
      </c>
      <c r="E169" s="4">
        <v>22</v>
      </c>
      <c r="F169" t="s">
        <v>24</v>
      </c>
      <c r="G169">
        <v>31</v>
      </c>
      <c r="H169">
        <v>1</v>
      </c>
      <c r="I169">
        <v>0</v>
      </c>
      <c r="J169" t="s">
        <v>340</v>
      </c>
      <c r="K169">
        <v>52</v>
      </c>
      <c r="L169" t="s">
        <v>341</v>
      </c>
      <c r="M169" s="4" t="s">
        <v>40</v>
      </c>
      <c r="N169" t="s">
        <v>20</v>
      </c>
    </row>
    <row r="170" spans="1:14" x14ac:dyDescent="0.25">
      <c r="A170">
        <v>680</v>
      </c>
      <c r="B170">
        <v>1</v>
      </c>
      <c r="C170">
        <v>1</v>
      </c>
      <c r="D170" t="s">
        <v>342</v>
      </c>
      <c r="E170" s="4">
        <v>34</v>
      </c>
      <c r="F170" t="s">
        <v>24</v>
      </c>
      <c r="G170">
        <v>36</v>
      </c>
      <c r="H170">
        <v>0</v>
      </c>
      <c r="I170">
        <v>1</v>
      </c>
      <c r="J170" t="s">
        <v>169</v>
      </c>
      <c r="K170">
        <v>512.32920000000001</v>
      </c>
      <c r="L170" t="s">
        <v>343</v>
      </c>
      <c r="M170" s="4" t="s">
        <v>40</v>
      </c>
      <c r="N170" t="s">
        <v>17</v>
      </c>
    </row>
    <row r="171" spans="1:14" x14ac:dyDescent="0.25">
      <c r="A171">
        <v>682</v>
      </c>
      <c r="B171">
        <v>1</v>
      </c>
      <c r="C171">
        <v>1</v>
      </c>
      <c r="D171" t="s">
        <v>344</v>
      </c>
      <c r="E171" s="4">
        <v>18</v>
      </c>
      <c r="F171" t="s">
        <v>24</v>
      </c>
      <c r="G171">
        <v>27</v>
      </c>
      <c r="H171">
        <v>0</v>
      </c>
      <c r="I171">
        <v>0</v>
      </c>
      <c r="J171" t="s">
        <v>60</v>
      </c>
      <c r="K171">
        <v>76.729200000000006</v>
      </c>
      <c r="L171" t="s">
        <v>345</v>
      </c>
      <c r="M171" s="4" t="s">
        <v>62</v>
      </c>
      <c r="N171" t="s">
        <v>17</v>
      </c>
    </row>
    <row r="172" spans="1:14" x14ac:dyDescent="0.25">
      <c r="A172">
        <v>690</v>
      </c>
      <c r="B172">
        <v>1</v>
      </c>
      <c r="C172">
        <v>1</v>
      </c>
      <c r="D172" t="s">
        <v>346</v>
      </c>
      <c r="E172" s="4">
        <v>33</v>
      </c>
      <c r="F172" t="s">
        <v>14</v>
      </c>
      <c r="G172">
        <v>15</v>
      </c>
      <c r="H172">
        <v>0</v>
      </c>
      <c r="I172">
        <v>1</v>
      </c>
      <c r="J172">
        <v>24160</v>
      </c>
      <c r="K172">
        <v>211.33750000000001</v>
      </c>
      <c r="L172" t="s">
        <v>347</v>
      </c>
      <c r="M172" s="4" t="s">
        <v>40</v>
      </c>
      <c r="N172" t="s">
        <v>20</v>
      </c>
    </row>
    <row r="173" spans="1:14" x14ac:dyDescent="0.25">
      <c r="A173">
        <v>691</v>
      </c>
      <c r="B173">
        <v>1</v>
      </c>
      <c r="C173">
        <v>1</v>
      </c>
      <c r="D173" t="s">
        <v>348</v>
      </c>
      <c r="E173" s="4">
        <v>23</v>
      </c>
      <c r="F173" t="s">
        <v>24</v>
      </c>
      <c r="G173">
        <v>31</v>
      </c>
      <c r="H173">
        <v>1</v>
      </c>
      <c r="I173">
        <v>0</v>
      </c>
      <c r="J173">
        <v>17474</v>
      </c>
      <c r="K173">
        <v>57</v>
      </c>
      <c r="L173" t="s">
        <v>349</v>
      </c>
      <c r="M173" s="4" t="s">
        <v>40</v>
      </c>
      <c r="N173" t="s">
        <v>20</v>
      </c>
    </row>
    <row r="174" spans="1:14" x14ac:dyDescent="0.25">
      <c r="A174">
        <v>695</v>
      </c>
      <c r="B174">
        <v>0</v>
      </c>
      <c r="C174">
        <v>1</v>
      </c>
      <c r="D174" t="s">
        <v>350</v>
      </c>
      <c r="E174" s="4">
        <v>15</v>
      </c>
      <c r="F174" t="s">
        <v>24</v>
      </c>
      <c r="G174">
        <v>60</v>
      </c>
      <c r="H174">
        <v>0</v>
      </c>
      <c r="I174">
        <v>0</v>
      </c>
      <c r="J174">
        <v>113800</v>
      </c>
      <c r="K174">
        <v>26.55</v>
      </c>
      <c r="M174" s="4" t="s">
        <v>1262</v>
      </c>
      <c r="N174" t="s">
        <v>20</v>
      </c>
    </row>
    <row r="175" spans="1:14" x14ac:dyDescent="0.25">
      <c r="A175">
        <v>699</v>
      </c>
      <c r="B175">
        <v>0</v>
      </c>
      <c r="C175">
        <v>1</v>
      </c>
      <c r="D175" t="s">
        <v>351</v>
      </c>
      <c r="E175" s="4">
        <v>24</v>
      </c>
      <c r="F175" t="s">
        <v>24</v>
      </c>
      <c r="G175">
        <v>49</v>
      </c>
      <c r="H175">
        <v>1</v>
      </c>
      <c r="I175">
        <v>1</v>
      </c>
      <c r="J175">
        <v>17421</v>
      </c>
      <c r="K175">
        <v>110.88330000000001</v>
      </c>
      <c r="L175" t="s">
        <v>307</v>
      </c>
      <c r="M175" s="4" t="s">
        <v>17</v>
      </c>
      <c r="N175" t="s">
        <v>17</v>
      </c>
    </row>
    <row r="176" spans="1:14" x14ac:dyDescent="0.25">
      <c r="A176">
        <v>701</v>
      </c>
      <c r="B176">
        <v>1</v>
      </c>
      <c r="C176">
        <v>1</v>
      </c>
      <c r="D176" t="s">
        <v>352</v>
      </c>
      <c r="E176" s="4">
        <v>49</v>
      </c>
      <c r="F176" t="s">
        <v>14</v>
      </c>
      <c r="G176">
        <v>18</v>
      </c>
      <c r="H176">
        <v>1</v>
      </c>
      <c r="I176">
        <v>0</v>
      </c>
      <c r="J176" t="s">
        <v>25</v>
      </c>
      <c r="K176">
        <v>227.52500000000001</v>
      </c>
      <c r="L176" t="s">
        <v>353</v>
      </c>
      <c r="M176" s="4" t="s">
        <v>17</v>
      </c>
      <c r="N176" t="s">
        <v>17</v>
      </c>
    </row>
    <row r="177" spans="1:14" x14ac:dyDescent="0.25">
      <c r="A177">
        <v>702</v>
      </c>
      <c r="B177">
        <v>1</v>
      </c>
      <c r="C177">
        <v>1</v>
      </c>
      <c r="D177" t="s">
        <v>354</v>
      </c>
      <c r="E177" s="4">
        <v>32</v>
      </c>
      <c r="F177" t="s">
        <v>24</v>
      </c>
      <c r="G177">
        <v>35</v>
      </c>
      <c r="H177">
        <v>0</v>
      </c>
      <c r="I177">
        <v>0</v>
      </c>
      <c r="J177" t="s">
        <v>355</v>
      </c>
      <c r="K177">
        <v>26.287500000000001</v>
      </c>
      <c r="L177" t="s">
        <v>356</v>
      </c>
      <c r="M177" s="4" t="s">
        <v>31</v>
      </c>
      <c r="N177" t="s">
        <v>20</v>
      </c>
    </row>
    <row r="178" spans="1:14" x14ac:dyDescent="0.25">
      <c r="A178">
        <v>708</v>
      </c>
      <c r="B178">
        <v>1</v>
      </c>
      <c r="C178">
        <v>1</v>
      </c>
      <c r="D178" t="s">
        <v>357</v>
      </c>
      <c r="E178" s="4">
        <v>33</v>
      </c>
      <c r="F178" t="s">
        <v>24</v>
      </c>
      <c r="G178">
        <v>42</v>
      </c>
      <c r="H178">
        <v>0</v>
      </c>
      <c r="I178">
        <v>0</v>
      </c>
      <c r="J178" t="s">
        <v>358</v>
      </c>
      <c r="K178">
        <v>26.287500000000001</v>
      </c>
      <c r="L178" t="s">
        <v>356</v>
      </c>
      <c r="M178" s="4" t="s">
        <v>31</v>
      </c>
      <c r="N178" t="s">
        <v>20</v>
      </c>
    </row>
    <row r="179" spans="1:14" x14ac:dyDescent="0.25">
      <c r="A179">
        <v>709</v>
      </c>
      <c r="B179">
        <v>1</v>
      </c>
      <c r="C179">
        <v>1</v>
      </c>
      <c r="D179" t="s">
        <v>359</v>
      </c>
      <c r="E179" s="4">
        <v>20</v>
      </c>
      <c r="F179" t="s">
        <v>14</v>
      </c>
      <c r="G179">
        <v>22</v>
      </c>
      <c r="H179">
        <v>0</v>
      </c>
      <c r="I179">
        <v>0</v>
      </c>
      <c r="J179">
        <v>113781</v>
      </c>
      <c r="K179">
        <v>151.55000000000001</v>
      </c>
      <c r="M179" s="4" t="s">
        <v>1262</v>
      </c>
      <c r="N179" t="s">
        <v>20</v>
      </c>
    </row>
    <row r="180" spans="1:14" x14ac:dyDescent="0.25">
      <c r="A180">
        <v>711</v>
      </c>
      <c r="B180">
        <v>1</v>
      </c>
      <c r="C180">
        <v>1</v>
      </c>
      <c r="D180" t="s">
        <v>360</v>
      </c>
      <c r="E180" s="4">
        <v>48</v>
      </c>
      <c r="F180" t="s">
        <v>14</v>
      </c>
      <c r="G180">
        <v>24</v>
      </c>
      <c r="H180">
        <v>0</v>
      </c>
      <c r="I180">
        <v>0</v>
      </c>
      <c r="J180" t="s">
        <v>361</v>
      </c>
      <c r="K180">
        <v>49.504199999999997</v>
      </c>
      <c r="L180" t="s">
        <v>362</v>
      </c>
      <c r="M180" s="4" t="s">
        <v>17</v>
      </c>
      <c r="N180" t="s">
        <v>17</v>
      </c>
    </row>
    <row r="181" spans="1:14" x14ac:dyDescent="0.25">
      <c r="A181">
        <v>713</v>
      </c>
      <c r="B181">
        <v>1</v>
      </c>
      <c r="C181">
        <v>1</v>
      </c>
      <c r="D181" t="s">
        <v>363</v>
      </c>
      <c r="E181" s="4">
        <v>24</v>
      </c>
      <c r="F181" t="s">
        <v>24</v>
      </c>
      <c r="G181">
        <v>48</v>
      </c>
      <c r="H181">
        <v>1</v>
      </c>
      <c r="I181">
        <v>0</v>
      </c>
      <c r="J181">
        <v>19996</v>
      </c>
      <c r="K181">
        <v>52</v>
      </c>
      <c r="L181" t="s">
        <v>72</v>
      </c>
      <c r="M181" s="4" t="s">
        <v>17</v>
      </c>
      <c r="N181" t="s">
        <v>20</v>
      </c>
    </row>
    <row r="182" spans="1:14" x14ac:dyDescent="0.25">
      <c r="A182">
        <v>717</v>
      </c>
      <c r="B182">
        <v>1</v>
      </c>
      <c r="C182">
        <v>1</v>
      </c>
      <c r="D182" t="s">
        <v>364</v>
      </c>
      <c r="E182" s="4">
        <v>29</v>
      </c>
      <c r="F182" t="s">
        <v>14</v>
      </c>
      <c r="G182">
        <v>38</v>
      </c>
      <c r="H182">
        <v>0</v>
      </c>
      <c r="I182">
        <v>0</v>
      </c>
      <c r="J182" t="s">
        <v>25</v>
      </c>
      <c r="K182">
        <v>227.52500000000001</v>
      </c>
      <c r="L182" t="s">
        <v>365</v>
      </c>
      <c r="M182" s="4" t="s">
        <v>17</v>
      </c>
      <c r="N182" t="s">
        <v>17</v>
      </c>
    </row>
    <row r="183" spans="1:14" x14ac:dyDescent="0.25">
      <c r="A183">
        <v>725</v>
      </c>
      <c r="B183">
        <v>1</v>
      </c>
      <c r="C183">
        <v>1</v>
      </c>
      <c r="D183" t="s">
        <v>366</v>
      </c>
      <c r="E183" s="4">
        <v>29</v>
      </c>
      <c r="F183" t="s">
        <v>24</v>
      </c>
      <c r="G183">
        <v>27</v>
      </c>
      <c r="H183">
        <v>1</v>
      </c>
      <c r="I183">
        <v>0</v>
      </c>
      <c r="J183">
        <v>113806</v>
      </c>
      <c r="K183">
        <v>53.1</v>
      </c>
      <c r="L183" t="s">
        <v>367</v>
      </c>
      <c r="M183" s="4" t="s">
        <v>31</v>
      </c>
      <c r="N183" t="s">
        <v>20</v>
      </c>
    </row>
    <row r="184" spans="1:14" x14ac:dyDescent="0.25">
      <c r="A184">
        <v>731</v>
      </c>
      <c r="B184">
        <v>1</v>
      </c>
      <c r="C184">
        <v>1</v>
      </c>
      <c r="D184" t="s">
        <v>368</v>
      </c>
      <c r="E184" s="4">
        <v>29</v>
      </c>
      <c r="F184" t="s">
        <v>14</v>
      </c>
      <c r="G184">
        <v>29</v>
      </c>
      <c r="H184">
        <v>0</v>
      </c>
      <c r="I184">
        <v>0</v>
      </c>
      <c r="J184">
        <v>24160</v>
      </c>
      <c r="K184">
        <v>211.33750000000001</v>
      </c>
      <c r="L184" t="s">
        <v>347</v>
      </c>
      <c r="M184" s="4" t="s">
        <v>40</v>
      </c>
      <c r="N184" t="s">
        <v>20</v>
      </c>
    </row>
    <row r="185" spans="1:14" x14ac:dyDescent="0.25">
      <c r="A185">
        <v>738</v>
      </c>
      <c r="B185">
        <v>1</v>
      </c>
      <c r="C185">
        <v>1</v>
      </c>
      <c r="D185" t="s">
        <v>369</v>
      </c>
      <c r="E185" s="4">
        <v>22</v>
      </c>
      <c r="F185" t="s">
        <v>24</v>
      </c>
      <c r="G185">
        <v>35</v>
      </c>
      <c r="H185">
        <v>0</v>
      </c>
      <c r="I185">
        <v>0</v>
      </c>
      <c r="J185" t="s">
        <v>169</v>
      </c>
      <c r="K185">
        <v>512.32920000000001</v>
      </c>
      <c r="L185" t="s">
        <v>370</v>
      </c>
      <c r="M185" s="4" t="s">
        <v>40</v>
      </c>
      <c r="N185" t="s">
        <v>17</v>
      </c>
    </row>
    <row r="186" spans="1:14" x14ac:dyDescent="0.25">
      <c r="A186">
        <v>742</v>
      </c>
      <c r="B186">
        <v>0</v>
      </c>
      <c r="C186">
        <v>1</v>
      </c>
      <c r="D186" t="s">
        <v>371</v>
      </c>
      <c r="E186" s="4">
        <v>29</v>
      </c>
      <c r="F186" t="s">
        <v>24</v>
      </c>
      <c r="G186">
        <v>36</v>
      </c>
      <c r="H186">
        <v>1</v>
      </c>
      <c r="I186">
        <v>0</v>
      </c>
      <c r="J186">
        <v>19877</v>
      </c>
      <c r="K186">
        <v>78.849999999999994</v>
      </c>
      <c r="L186" t="s">
        <v>372</v>
      </c>
      <c r="M186" s="4" t="s">
        <v>17</v>
      </c>
      <c r="N186" t="s">
        <v>20</v>
      </c>
    </row>
    <row r="187" spans="1:14" x14ac:dyDescent="0.25">
      <c r="A187">
        <v>743</v>
      </c>
      <c r="B187">
        <v>1</v>
      </c>
      <c r="C187">
        <v>1</v>
      </c>
      <c r="D187" t="s">
        <v>373</v>
      </c>
      <c r="E187" s="4">
        <v>37</v>
      </c>
      <c r="F187" t="s">
        <v>14</v>
      </c>
      <c r="G187">
        <v>21</v>
      </c>
      <c r="H187">
        <v>2</v>
      </c>
      <c r="I187">
        <v>2</v>
      </c>
      <c r="J187" t="s">
        <v>204</v>
      </c>
      <c r="K187">
        <v>262.375</v>
      </c>
      <c r="L187" t="s">
        <v>205</v>
      </c>
      <c r="M187" s="4" t="s">
        <v>40</v>
      </c>
      <c r="N187" t="s">
        <v>17</v>
      </c>
    </row>
    <row r="188" spans="1:14" x14ac:dyDescent="0.25">
      <c r="A188">
        <v>746</v>
      </c>
      <c r="B188">
        <v>0</v>
      </c>
      <c r="C188">
        <v>1</v>
      </c>
      <c r="D188" t="s">
        <v>374</v>
      </c>
      <c r="E188" s="4">
        <v>28</v>
      </c>
      <c r="F188" t="s">
        <v>24</v>
      </c>
      <c r="G188">
        <v>70</v>
      </c>
      <c r="H188">
        <v>1</v>
      </c>
      <c r="I188">
        <v>1</v>
      </c>
      <c r="J188" t="s">
        <v>290</v>
      </c>
      <c r="K188">
        <v>71</v>
      </c>
      <c r="L188" t="s">
        <v>291</v>
      </c>
      <c r="M188" s="4" t="s">
        <v>40</v>
      </c>
      <c r="N188" t="s">
        <v>20</v>
      </c>
    </row>
    <row r="189" spans="1:14" x14ac:dyDescent="0.25">
      <c r="A189">
        <v>749</v>
      </c>
      <c r="B189">
        <v>0</v>
      </c>
      <c r="C189">
        <v>1</v>
      </c>
      <c r="D189" t="s">
        <v>375</v>
      </c>
      <c r="E189" s="4">
        <v>25</v>
      </c>
      <c r="F189" t="s">
        <v>24</v>
      </c>
      <c r="G189">
        <v>19</v>
      </c>
      <c r="H189">
        <v>1</v>
      </c>
      <c r="I189">
        <v>0</v>
      </c>
      <c r="J189">
        <v>113773</v>
      </c>
      <c r="K189">
        <v>53.1</v>
      </c>
      <c r="L189" t="s">
        <v>376</v>
      </c>
      <c r="M189" s="4" t="s">
        <v>62</v>
      </c>
      <c r="N189" t="s">
        <v>20</v>
      </c>
    </row>
    <row r="190" spans="1:14" x14ac:dyDescent="0.25">
      <c r="A190">
        <v>760</v>
      </c>
      <c r="B190">
        <v>1</v>
      </c>
      <c r="C190">
        <v>1</v>
      </c>
      <c r="D190" t="s">
        <v>377</v>
      </c>
      <c r="E190" s="4">
        <v>56</v>
      </c>
      <c r="F190" t="s">
        <v>14</v>
      </c>
      <c r="G190">
        <v>33</v>
      </c>
      <c r="H190">
        <v>0</v>
      </c>
      <c r="I190">
        <v>0</v>
      </c>
      <c r="J190">
        <v>110152</v>
      </c>
      <c r="K190">
        <v>86.5</v>
      </c>
      <c r="L190" t="s">
        <v>167</v>
      </c>
      <c r="M190" s="4" t="s">
        <v>40</v>
      </c>
      <c r="N190" t="s">
        <v>20</v>
      </c>
    </row>
    <row r="191" spans="1:14" x14ac:dyDescent="0.25">
      <c r="A191">
        <v>764</v>
      </c>
      <c r="B191">
        <v>1</v>
      </c>
      <c r="C191">
        <v>1</v>
      </c>
      <c r="D191" t="s">
        <v>378</v>
      </c>
      <c r="E191" s="4">
        <v>41</v>
      </c>
      <c r="F191" t="s">
        <v>14</v>
      </c>
      <c r="G191">
        <v>36</v>
      </c>
      <c r="H191">
        <v>1</v>
      </c>
      <c r="I191">
        <v>2</v>
      </c>
      <c r="J191">
        <v>113760</v>
      </c>
      <c r="K191">
        <v>120</v>
      </c>
      <c r="L191" t="s">
        <v>236</v>
      </c>
      <c r="M191" s="4" t="s">
        <v>40</v>
      </c>
      <c r="N191" t="s">
        <v>20</v>
      </c>
    </row>
    <row r="192" spans="1:14" x14ac:dyDescent="0.25">
      <c r="A192">
        <v>766</v>
      </c>
      <c r="B192">
        <v>1</v>
      </c>
      <c r="C192">
        <v>1</v>
      </c>
      <c r="D192" t="s">
        <v>379</v>
      </c>
      <c r="E192" s="4">
        <v>36</v>
      </c>
      <c r="F192" t="s">
        <v>14</v>
      </c>
      <c r="G192">
        <v>51</v>
      </c>
      <c r="H192">
        <v>1</v>
      </c>
      <c r="I192">
        <v>0</v>
      </c>
      <c r="J192">
        <v>13502</v>
      </c>
      <c r="K192">
        <v>77.958299999999994</v>
      </c>
      <c r="L192" t="s">
        <v>380</v>
      </c>
      <c r="M192" s="4" t="s">
        <v>62</v>
      </c>
      <c r="N192" t="s">
        <v>20</v>
      </c>
    </row>
    <row r="193" spans="1:14" x14ac:dyDescent="0.25">
      <c r="A193">
        <v>780</v>
      </c>
      <c r="B193">
        <v>1</v>
      </c>
      <c r="C193">
        <v>1</v>
      </c>
      <c r="D193" t="s">
        <v>381</v>
      </c>
      <c r="E193" s="4">
        <v>53</v>
      </c>
      <c r="F193" t="s">
        <v>14</v>
      </c>
      <c r="G193">
        <v>43</v>
      </c>
      <c r="H193">
        <v>0</v>
      </c>
      <c r="I193">
        <v>1</v>
      </c>
      <c r="J193">
        <v>24160</v>
      </c>
      <c r="K193">
        <v>211.33750000000001</v>
      </c>
      <c r="L193" t="s">
        <v>382</v>
      </c>
      <c r="M193" s="4" t="s">
        <v>40</v>
      </c>
      <c r="N193" t="s">
        <v>20</v>
      </c>
    </row>
    <row r="194" spans="1:14" x14ac:dyDescent="0.25">
      <c r="A194">
        <v>782</v>
      </c>
      <c r="B194">
        <v>1</v>
      </c>
      <c r="C194">
        <v>1</v>
      </c>
      <c r="D194" t="s">
        <v>383</v>
      </c>
      <c r="E194" s="4">
        <v>41</v>
      </c>
      <c r="F194" t="s">
        <v>14</v>
      </c>
      <c r="G194">
        <v>17</v>
      </c>
      <c r="H194">
        <v>1</v>
      </c>
      <c r="I194">
        <v>0</v>
      </c>
      <c r="J194">
        <v>17474</v>
      </c>
      <c r="K194">
        <v>57</v>
      </c>
      <c r="L194" t="s">
        <v>349</v>
      </c>
      <c r="M194" s="4" t="s">
        <v>40</v>
      </c>
      <c r="N194" t="s">
        <v>20</v>
      </c>
    </row>
    <row r="195" spans="1:14" x14ac:dyDescent="0.25">
      <c r="A195">
        <v>783</v>
      </c>
      <c r="B195">
        <v>0</v>
      </c>
      <c r="C195">
        <v>1</v>
      </c>
      <c r="D195" t="s">
        <v>384</v>
      </c>
      <c r="E195" s="4">
        <v>22</v>
      </c>
      <c r="F195" t="s">
        <v>24</v>
      </c>
      <c r="G195">
        <v>29</v>
      </c>
      <c r="H195">
        <v>0</v>
      </c>
      <c r="I195">
        <v>0</v>
      </c>
      <c r="J195">
        <v>113501</v>
      </c>
      <c r="K195">
        <v>30</v>
      </c>
      <c r="L195" t="s">
        <v>385</v>
      </c>
      <c r="M195" s="4" t="s">
        <v>62</v>
      </c>
      <c r="N195" t="s">
        <v>20</v>
      </c>
    </row>
    <row r="196" spans="1:14" x14ac:dyDescent="0.25">
      <c r="A196">
        <v>790</v>
      </c>
      <c r="B196">
        <v>0</v>
      </c>
      <c r="C196">
        <v>1</v>
      </c>
      <c r="D196" t="s">
        <v>386</v>
      </c>
      <c r="E196" s="4">
        <v>24</v>
      </c>
      <c r="F196" t="s">
        <v>24</v>
      </c>
      <c r="G196">
        <v>46</v>
      </c>
      <c r="H196">
        <v>0</v>
      </c>
      <c r="I196">
        <v>0</v>
      </c>
      <c r="J196" t="s">
        <v>110</v>
      </c>
      <c r="K196">
        <v>79.2</v>
      </c>
      <c r="L196" t="s">
        <v>387</v>
      </c>
      <c r="M196" s="4" t="s">
        <v>40</v>
      </c>
      <c r="N196" t="s">
        <v>17</v>
      </c>
    </row>
    <row r="197" spans="1:14" x14ac:dyDescent="0.25">
      <c r="A197">
        <v>797</v>
      </c>
      <c r="B197">
        <v>1</v>
      </c>
      <c r="C197">
        <v>1</v>
      </c>
      <c r="D197" t="s">
        <v>388</v>
      </c>
      <c r="E197" s="4">
        <v>27</v>
      </c>
      <c r="F197" t="s">
        <v>14</v>
      </c>
      <c r="G197">
        <v>49</v>
      </c>
      <c r="H197">
        <v>0</v>
      </c>
      <c r="I197">
        <v>0</v>
      </c>
      <c r="J197">
        <v>17465</v>
      </c>
      <c r="K197">
        <v>25.929200000000002</v>
      </c>
      <c r="L197" t="s">
        <v>389</v>
      </c>
      <c r="M197" s="4" t="s">
        <v>62</v>
      </c>
      <c r="N197" t="s">
        <v>20</v>
      </c>
    </row>
    <row r="198" spans="1:14" x14ac:dyDescent="0.25">
      <c r="A198">
        <v>803</v>
      </c>
      <c r="B198">
        <v>1</v>
      </c>
      <c r="C198">
        <v>1</v>
      </c>
      <c r="D198" t="s">
        <v>390</v>
      </c>
      <c r="E198" s="4">
        <v>35</v>
      </c>
      <c r="F198" t="s">
        <v>24</v>
      </c>
      <c r="G198">
        <v>11</v>
      </c>
      <c r="H198">
        <v>1</v>
      </c>
      <c r="I198">
        <v>2</v>
      </c>
      <c r="J198">
        <v>113760</v>
      </c>
      <c r="K198">
        <v>120</v>
      </c>
      <c r="L198" t="s">
        <v>236</v>
      </c>
      <c r="M198" s="4" t="s">
        <v>40</v>
      </c>
      <c r="N198" t="s">
        <v>20</v>
      </c>
    </row>
    <row r="199" spans="1:14" x14ac:dyDescent="0.25">
      <c r="A199">
        <v>807</v>
      </c>
      <c r="B199">
        <v>0</v>
      </c>
      <c r="C199">
        <v>1</v>
      </c>
      <c r="D199" t="s">
        <v>391</v>
      </c>
      <c r="E199" s="4">
        <v>22</v>
      </c>
      <c r="F199" t="s">
        <v>24</v>
      </c>
      <c r="G199">
        <v>39</v>
      </c>
      <c r="H199">
        <v>0</v>
      </c>
      <c r="I199">
        <v>0</v>
      </c>
      <c r="J199">
        <v>112050</v>
      </c>
      <c r="K199">
        <v>0</v>
      </c>
      <c r="L199" t="s">
        <v>392</v>
      </c>
      <c r="M199" s="4" t="s">
        <v>43</v>
      </c>
      <c r="N199" t="s">
        <v>20</v>
      </c>
    </row>
    <row r="200" spans="1:14" x14ac:dyDescent="0.25">
      <c r="A200">
        <v>810</v>
      </c>
      <c r="B200">
        <v>1</v>
      </c>
      <c r="C200">
        <v>1</v>
      </c>
      <c r="D200" t="s">
        <v>393</v>
      </c>
      <c r="E200" s="4">
        <v>46</v>
      </c>
      <c r="F200" t="s">
        <v>14</v>
      </c>
      <c r="G200">
        <v>33</v>
      </c>
      <c r="H200">
        <v>1</v>
      </c>
      <c r="I200">
        <v>0</v>
      </c>
      <c r="J200">
        <v>113806</v>
      </c>
      <c r="K200">
        <v>53.1</v>
      </c>
      <c r="L200" t="s">
        <v>367</v>
      </c>
      <c r="M200" s="4" t="s">
        <v>31</v>
      </c>
      <c r="N200" t="s">
        <v>20</v>
      </c>
    </row>
    <row r="201" spans="1:14" x14ac:dyDescent="0.25">
      <c r="A201">
        <v>821</v>
      </c>
      <c r="B201">
        <v>1</v>
      </c>
      <c r="C201">
        <v>1</v>
      </c>
      <c r="D201" t="s">
        <v>394</v>
      </c>
      <c r="E201" s="4">
        <v>50</v>
      </c>
      <c r="F201" t="s">
        <v>14</v>
      </c>
      <c r="G201">
        <v>52</v>
      </c>
      <c r="H201">
        <v>1</v>
      </c>
      <c r="I201">
        <v>1</v>
      </c>
      <c r="J201">
        <v>12749</v>
      </c>
      <c r="K201">
        <v>93.5</v>
      </c>
      <c r="L201" t="s">
        <v>395</v>
      </c>
      <c r="M201" s="4" t="s">
        <v>40</v>
      </c>
      <c r="N201" t="s">
        <v>20</v>
      </c>
    </row>
    <row r="202" spans="1:14" x14ac:dyDescent="0.25">
      <c r="A202">
        <v>823</v>
      </c>
      <c r="B202">
        <v>0</v>
      </c>
      <c r="C202">
        <v>1</v>
      </c>
      <c r="D202" t="s">
        <v>396</v>
      </c>
      <c r="E202" s="4">
        <v>31</v>
      </c>
      <c r="F202" t="s">
        <v>24</v>
      </c>
      <c r="G202">
        <v>38</v>
      </c>
      <c r="H202">
        <v>0</v>
      </c>
      <c r="I202">
        <v>0</v>
      </c>
      <c r="J202">
        <v>19972</v>
      </c>
      <c r="K202">
        <v>0</v>
      </c>
      <c r="M202" s="4" t="s">
        <v>1262</v>
      </c>
      <c r="N202" t="s">
        <v>20</v>
      </c>
    </row>
    <row r="203" spans="1:14" x14ac:dyDescent="0.25">
      <c r="A203">
        <v>830</v>
      </c>
      <c r="B203">
        <v>1</v>
      </c>
      <c r="C203">
        <v>1</v>
      </c>
      <c r="D203" t="s">
        <v>397</v>
      </c>
      <c r="E203" s="4">
        <v>41</v>
      </c>
      <c r="F203" t="s">
        <v>14</v>
      </c>
      <c r="G203">
        <v>62</v>
      </c>
      <c r="H203">
        <v>0</v>
      </c>
      <c r="I203">
        <v>0</v>
      </c>
      <c r="J203">
        <v>113572</v>
      </c>
      <c r="K203">
        <v>80</v>
      </c>
      <c r="L203" t="s">
        <v>66</v>
      </c>
      <c r="M203" s="4" t="s">
        <v>40</v>
      </c>
    </row>
    <row r="204" spans="1:14" x14ac:dyDescent="0.25">
      <c r="A204">
        <v>836</v>
      </c>
      <c r="B204">
        <v>1</v>
      </c>
      <c r="C204">
        <v>1</v>
      </c>
      <c r="D204" t="s">
        <v>398</v>
      </c>
      <c r="E204" s="4">
        <v>27</v>
      </c>
      <c r="F204" t="s">
        <v>14</v>
      </c>
      <c r="G204">
        <v>39</v>
      </c>
      <c r="H204">
        <v>1</v>
      </c>
      <c r="I204">
        <v>1</v>
      </c>
      <c r="J204" t="s">
        <v>399</v>
      </c>
      <c r="K204">
        <v>83.158299999999997</v>
      </c>
      <c r="L204" t="s">
        <v>400</v>
      </c>
      <c r="M204" s="4" t="s">
        <v>31</v>
      </c>
      <c r="N204" t="s">
        <v>17</v>
      </c>
    </row>
    <row r="205" spans="1:14" x14ac:dyDescent="0.25">
      <c r="A205">
        <v>843</v>
      </c>
      <c r="B205">
        <v>1</v>
      </c>
      <c r="C205">
        <v>1</v>
      </c>
      <c r="D205" t="s">
        <v>401</v>
      </c>
      <c r="E205" s="4">
        <v>23</v>
      </c>
      <c r="F205" t="s">
        <v>14</v>
      </c>
      <c r="G205">
        <v>30</v>
      </c>
      <c r="H205">
        <v>0</v>
      </c>
      <c r="I205">
        <v>0</v>
      </c>
      <c r="J205">
        <v>113798</v>
      </c>
      <c r="K205">
        <v>31</v>
      </c>
      <c r="M205" s="4" t="s">
        <v>1262</v>
      </c>
      <c r="N205" t="s">
        <v>17</v>
      </c>
    </row>
    <row r="206" spans="1:14" x14ac:dyDescent="0.25">
      <c r="A206">
        <v>854</v>
      </c>
      <c r="B206">
        <v>1</v>
      </c>
      <c r="C206">
        <v>1</v>
      </c>
      <c r="D206" t="s">
        <v>402</v>
      </c>
      <c r="E206" s="4">
        <v>25</v>
      </c>
      <c r="F206" t="s">
        <v>14</v>
      </c>
      <c r="G206">
        <v>16</v>
      </c>
      <c r="H206">
        <v>0</v>
      </c>
      <c r="I206">
        <v>1</v>
      </c>
      <c r="J206" t="s">
        <v>403</v>
      </c>
      <c r="K206">
        <v>39.4</v>
      </c>
      <c r="L206" t="s">
        <v>404</v>
      </c>
      <c r="M206" s="4" t="s">
        <v>62</v>
      </c>
      <c r="N206" t="s">
        <v>20</v>
      </c>
    </row>
    <row r="207" spans="1:14" x14ac:dyDescent="0.25">
      <c r="A207">
        <v>857</v>
      </c>
      <c r="B207">
        <v>1</v>
      </c>
      <c r="C207">
        <v>1</v>
      </c>
      <c r="D207" t="s">
        <v>405</v>
      </c>
      <c r="E207" s="4">
        <v>42</v>
      </c>
      <c r="F207" t="s">
        <v>14</v>
      </c>
      <c r="G207">
        <v>45</v>
      </c>
      <c r="H207">
        <v>1</v>
      </c>
      <c r="I207">
        <v>1</v>
      </c>
      <c r="J207">
        <v>36928</v>
      </c>
      <c r="K207">
        <v>164.86670000000001</v>
      </c>
      <c r="M207" s="4" t="s">
        <v>1262</v>
      </c>
      <c r="N207" t="s">
        <v>20</v>
      </c>
    </row>
    <row r="208" spans="1:14" x14ac:dyDescent="0.25">
      <c r="A208">
        <v>858</v>
      </c>
      <c r="B208">
        <v>1</v>
      </c>
      <c r="C208">
        <v>1</v>
      </c>
      <c r="D208" t="s">
        <v>406</v>
      </c>
      <c r="E208" s="4">
        <v>22</v>
      </c>
      <c r="F208" t="s">
        <v>24</v>
      </c>
      <c r="G208">
        <v>51</v>
      </c>
      <c r="H208">
        <v>0</v>
      </c>
      <c r="I208">
        <v>0</v>
      </c>
      <c r="J208">
        <v>113055</v>
      </c>
      <c r="K208">
        <v>26.55</v>
      </c>
      <c r="L208" t="s">
        <v>407</v>
      </c>
      <c r="M208" s="4" t="s">
        <v>31</v>
      </c>
      <c r="N208" t="s">
        <v>20</v>
      </c>
    </row>
    <row r="209" spans="1:14" x14ac:dyDescent="0.25">
      <c r="A209">
        <v>863</v>
      </c>
      <c r="B209">
        <v>1</v>
      </c>
      <c r="C209">
        <v>1</v>
      </c>
      <c r="D209" t="s">
        <v>408</v>
      </c>
      <c r="E209" s="4">
        <v>51</v>
      </c>
      <c r="F209" t="s">
        <v>14</v>
      </c>
      <c r="G209">
        <v>48</v>
      </c>
      <c r="H209">
        <v>0</v>
      </c>
      <c r="I209">
        <v>0</v>
      </c>
      <c r="J209">
        <v>17466</v>
      </c>
      <c r="K209">
        <v>25.929200000000002</v>
      </c>
      <c r="L209" t="s">
        <v>389</v>
      </c>
      <c r="M209" s="4" t="s">
        <v>62</v>
      </c>
      <c r="N209" t="s">
        <v>20</v>
      </c>
    </row>
    <row r="210" spans="1:14" x14ac:dyDescent="0.25">
      <c r="A210">
        <v>634</v>
      </c>
      <c r="B210">
        <v>0</v>
      </c>
      <c r="C210">
        <v>1</v>
      </c>
      <c r="D210" t="s">
        <v>409</v>
      </c>
      <c r="E210" s="4">
        <v>29</v>
      </c>
      <c r="F210" t="s">
        <v>24</v>
      </c>
      <c r="H210">
        <v>0</v>
      </c>
      <c r="I210">
        <v>0</v>
      </c>
      <c r="J210">
        <v>112052</v>
      </c>
      <c r="K210">
        <v>0</v>
      </c>
      <c r="M210" s="4" t="s">
        <v>1262</v>
      </c>
      <c r="N210" t="s">
        <v>20</v>
      </c>
    </row>
    <row r="211" spans="1:14" x14ac:dyDescent="0.25">
      <c r="A211">
        <v>868</v>
      </c>
      <c r="B211">
        <v>0</v>
      </c>
      <c r="C211">
        <v>1</v>
      </c>
      <c r="D211" t="s">
        <v>410</v>
      </c>
      <c r="E211" s="4">
        <v>36</v>
      </c>
      <c r="F211" t="s">
        <v>24</v>
      </c>
      <c r="G211">
        <v>31</v>
      </c>
      <c r="H211">
        <v>0</v>
      </c>
      <c r="I211">
        <v>0</v>
      </c>
      <c r="J211" t="s">
        <v>411</v>
      </c>
      <c r="K211">
        <v>50.495800000000003</v>
      </c>
      <c r="L211" t="s">
        <v>412</v>
      </c>
      <c r="M211" s="4" t="s">
        <v>43</v>
      </c>
      <c r="N211" t="s">
        <v>20</v>
      </c>
    </row>
    <row r="212" spans="1:14" x14ac:dyDescent="0.25">
      <c r="A212">
        <v>872</v>
      </c>
      <c r="B212">
        <v>1</v>
      </c>
      <c r="C212">
        <v>1</v>
      </c>
      <c r="D212" t="s">
        <v>413</v>
      </c>
      <c r="E212" s="4">
        <v>48</v>
      </c>
      <c r="F212" t="s">
        <v>14</v>
      </c>
      <c r="G212">
        <v>47</v>
      </c>
      <c r="H212">
        <v>1</v>
      </c>
      <c r="I212">
        <v>1</v>
      </c>
      <c r="J212">
        <v>11751</v>
      </c>
      <c r="K212">
        <v>52.554200000000002</v>
      </c>
      <c r="L212" t="s">
        <v>163</v>
      </c>
      <c r="M212" s="4" t="s">
        <v>62</v>
      </c>
      <c r="N212" t="s">
        <v>20</v>
      </c>
    </row>
    <row r="213" spans="1:14" x14ac:dyDescent="0.25">
      <c r="A213">
        <v>873</v>
      </c>
      <c r="B213">
        <v>0</v>
      </c>
      <c r="C213">
        <v>1</v>
      </c>
      <c r="D213" t="s">
        <v>414</v>
      </c>
      <c r="E213" s="4">
        <v>24</v>
      </c>
      <c r="F213" t="s">
        <v>24</v>
      </c>
      <c r="G213">
        <v>33</v>
      </c>
      <c r="H213">
        <v>0</v>
      </c>
      <c r="I213">
        <v>0</v>
      </c>
      <c r="J213">
        <v>695</v>
      </c>
      <c r="K213">
        <v>5</v>
      </c>
      <c r="L213" t="s">
        <v>343</v>
      </c>
      <c r="M213" s="4" t="s">
        <v>40</v>
      </c>
      <c r="N213" t="s">
        <v>20</v>
      </c>
    </row>
    <row r="214" spans="1:14" x14ac:dyDescent="0.25">
      <c r="A214">
        <v>880</v>
      </c>
      <c r="B214">
        <v>1</v>
      </c>
      <c r="C214">
        <v>1</v>
      </c>
      <c r="D214" t="s">
        <v>415</v>
      </c>
      <c r="E214" s="4">
        <v>45</v>
      </c>
      <c r="F214" t="s">
        <v>14</v>
      </c>
      <c r="G214">
        <v>56</v>
      </c>
      <c r="H214">
        <v>0</v>
      </c>
      <c r="I214">
        <v>1</v>
      </c>
      <c r="J214">
        <v>11767</v>
      </c>
      <c r="K214">
        <v>83.158299999999997</v>
      </c>
      <c r="L214" t="s">
        <v>416</v>
      </c>
      <c r="M214" s="4" t="s">
        <v>17</v>
      </c>
      <c r="N214" t="s">
        <v>17</v>
      </c>
    </row>
    <row r="215" spans="1:14" x14ac:dyDescent="0.25">
      <c r="A215">
        <v>888</v>
      </c>
      <c r="B215">
        <v>1</v>
      </c>
      <c r="C215">
        <v>1</v>
      </c>
      <c r="D215" t="s">
        <v>417</v>
      </c>
      <c r="E215" s="4">
        <v>28</v>
      </c>
      <c r="F215" t="s">
        <v>14</v>
      </c>
      <c r="G215">
        <v>19</v>
      </c>
      <c r="H215">
        <v>0</v>
      </c>
      <c r="I215">
        <v>0</v>
      </c>
      <c r="J215">
        <v>112053</v>
      </c>
      <c r="K215">
        <v>30</v>
      </c>
      <c r="L215" t="s">
        <v>418</v>
      </c>
      <c r="M215" s="4" t="s">
        <v>40</v>
      </c>
      <c r="N215" t="s">
        <v>20</v>
      </c>
    </row>
    <row r="216" spans="1:14" x14ac:dyDescent="0.25">
      <c r="A216">
        <v>816</v>
      </c>
      <c r="B216">
        <v>0</v>
      </c>
      <c r="C216">
        <v>1</v>
      </c>
      <c r="D216" t="s">
        <v>419</v>
      </c>
      <c r="E216" s="4">
        <v>16</v>
      </c>
      <c r="F216" t="s">
        <v>24</v>
      </c>
      <c r="H216">
        <v>0</v>
      </c>
      <c r="I216">
        <v>0</v>
      </c>
      <c r="J216">
        <v>112058</v>
      </c>
      <c r="K216">
        <v>0</v>
      </c>
      <c r="L216" t="s">
        <v>420</v>
      </c>
      <c r="M216" s="4" t="s">
        <v>40</v>
      </c>
      <c r="N216" t="s">
        <v>20</v>
      </c>
    </row>
    <row r="217" spans="1:14" x14ac:dyDescent="0.25">
      <c r="A217">
        <v>890</v>
      </c>
      <c r="B217">
        <v>1</v>
      </c>
      <c r="C217">
        <v>1</v>
      </c>
      <c r="D217" t="s">
        <v>421</v>
      </c>
      <c r="E217" s="4">
        <v>21</v>
      </c>
      <c r="F217" t="s">
        <v>24</v>
      </c>
      <c r="G217">
        <v>26</v>
      </c>
      <c r="H217">
        <v>0</v>
      </c>
      <c r="I217">
        <v>0</v>
      </c>
      <c r="J217">
        <v>111369</v>
      </c>
      <c r="K217">
        <v>30</v>
      </c>
      <c r="L217" t="s">
        <v>422</v>
      </c>
      <c r="M217" s="4" t="s">
        <v>17</v>
      </c>
      <c r="N217" t="s">
        <v>17</v>
      </c>
    </row>
    <row r="218" spans="1:14" x14ac:dyDescent="0.25">
      <c r="A218">
        <v>10</v>
      </c>
      <c r="B218">
        <v>1</v>
      </c>
      <c r="C218">
        <v>2</v>
      </c>
      <c r="D218" t="s">
        <v>423</v>
      </c>
      <c r="E218" s="4">
        <v>35</v>
      </c>
      <c r="F218" t="s">
        <v>14</v>
      </c>
      <c r="G218">
        <v>14</v>
      </c>
      <c r="H218">
        <v>1</v>
      </c>
      <c r="I218">
        <v>0</v>
      </c>
      <c r="J218">
        <v>237736</v>
      </c>
      <c r="K218">
        <v>30.070799999999998</v>
      </c>
      <c r="M218" s="4" t="s">
        <v>1262</v>
      </c>
      <c r="N218" t="s">
        <v>17</v>
      </c>
    </row>
    <row r="219" spans="1:14" x14ac:dyDescent="0.25">
      <c r="A219">
        <v>16</v>
      </c>
      <c r="B219">
        <v>1</v>
      </c>
      <c r="C219">
        <v>2</v>
      </c>
      <c r="D219" t="s">
        <v>424</v>
      </c>
      <c r="E219" s="4">
        <v>32</v>
      </c>
      <c r="F219" t="s">
        <v>14</v>
      </c>
      <c r="G219">
        <v>55</v>
      </c>
      <c r="H219">
        <v>0</v>
      </c>
      <c r="I219">
        <v>0</v>
      </c>
      <c r="J219">
        <v>248706</v>
      </c>
      <c r="K219">
        <v>16</v>
      </c>
      <c r="M219" s="4" t="s">
        <v>1262</v>
      </c>
      <c r="N219" t="s">
        <v>20</v>
      </c>
    </row>
    <row r="220" spans="1:14" x14ac:dyDescent="0.25">
      <c r="A220">
        <v>21</v>
      </c>
      <c r="B220">
        <v>0</v>
      </c>
      <c r="C220">
        <v>2</v>
      </c>
      <c r="D220" t="s">
        <v>425</v>
      </c>
      <c r="E220" s="4">
        <v>20</v>
      </c>
      <c r="F220" t="s">
        <v>24</v>
      </c>
      <c r="G220">
        <v>35</v>
      </c>
      <c r="H220">
        <v>0</v>
      </c>
      <c r="I220">
        <v>0</v>
      </c>
      <c r="J220">
        <v>239865</v>
      </c>
      <c r="K220">
        <v>26</v>
      </c>
      <c r="M220" s="4" t="s">
        <v>1262</v>
      </c>
      <c r="N220" t="s">
        <v>20</v>
      </c>
    </row>
    <row r="221" spans="1:14" x14ac:dyDescent="0.25">
      <c r="A221">
        <v>22</v>
      </c>
      <c r="B221">
        <v>1</v>
      </c>
      <c r="C221">
        <v>2</v>
      </c>
      <c r="D221" t="s">
        <v>426</v>
      </c>
      <c r="E221" s="4">
        <v>21</v>
      </c>
      <c r="F221" t="s">
        <v>24</v>
      </c>
      <c r="G221">
        <v>34</v>
      </c>
      <c r="H221">
        <v>0</v>
      </c>
      <c r="I221">
        <v>0</v>
      </c>
      <c r="J221">
        <v>248698</v>
      </c>
      <c r="K221">
        <v>13</v>
      </c>
      <c r="L221" t="s">
        <v>427</v>
      </c>
      <c r="M221" s="4" t="s">
        <v>62</v>
      </c>
      <c r="N221" t="s">
        <v>20</v>
      </c>
    </row>
    <row r="222" spans="1:14" x14ac:dyDescent="0.25">
      <c r="A222">
        <v>34</v>
      </c>
      <c r="B222">
        <v>0</v>
      </c>
      <c r="C222">
        <v>2</v>
      </c>
      <c r="D222" t="s">
        <v>428</v>
      </c>
      <c r="E222" s="4">
        <v>21</v>
      </c>
      <c r="F222" t="s">
        <v>24</v>
      </c>
      <c r="G222">
        <v>66</v>
      </c>
      <c r="H222">
        <v>0</v>
      </c>
      <c r="I222">
        <v>0</v>
      </c>
      <c r="J222" t="s">
        <v>429</v>
      </c>
      <c r="K222">
        <v>10.5</v>
      </c>
      <c r="M222" s="4" t="s">
        <v>1262</v>
      </c>
      <c r="N222" t="s">
        <v>20</v>
      </c>
    </row>
    <row r="223" spans="1:14" x14ac:dyDescent="0.25">
      <c r="A223">
        <v>42</v>
      </c>
      <c r="B223">
        <v>0</v>
      </c>
      <c r="C223">
        <v>2</v>
      </c>
      <c r="D223" t="s">
        <v>430</v>
      </c>
      <c r="E223" s="4">
        <v>56</v>
      </c>
      <c r="F223" t="s">
        <v>14</v>
      </c>
      <c r="G223">
        <v>27</v>
      </c>
      <c r="H223">
        <v>1</v>
      </c>
      <c r="I223">
        <v>0</v>
      </c>
      <c r="J223">
        <v>11668</v>
      </c>
      <c r="K223">
        <v>21</v>
      </c>
      <c r="M223" s="4" t="s">
        <v>1262</v>
      </c>
      <c r="N223" t="s">
        <v>20</v>
      </c>
    </row>
    <row r="224" spans="1:14" x14ac:dyDescent="0.25">
      <c r="A224">
        <v>44</v>
      </c>
      <c r="B224">
        <v>1</v>
      </c>
      <c r="C224">
        <v>2</v>
      </c>
      <c r="D224" t="s">
        <v>431</v>
      </c>
      <c r="E224" s="4">
        <v>40</v>
      </c>
      <c r="F224" t="s">
        <v>14</v>
      </c>
      <c r="G224">
        <v>3</v>
      </c>
      <c r="H224">
        <v>1</v>
      </c>
      <c r="I224">
        <v>2</v>
      </c>
      <c r="J224" t="s">
        <v>432</v>
      </c>
      <c r="K224">
        <v>41.5792</v>
      </c>
      <c r="M224" s="4" t="s">
        <v>1262</v>
      </c>
      <c r="N224" t="s">
        <v>17</v>
      </c>
    </row>
    <row r="225" spans="1:14" x14ac:dyDescent="0.25">
      <c r="A225">
        <v>54</v>
      </c>
      <c r="B225">
        <v>1</v>
      </c>
      <c r="C225">
        <v>2</v>
      </c>
      <c r="D225" t="s">
        <v>433</v>
      </c>
      <c r="E225" s="4">
        <v>50</v>
      </c>
      <c r="F225" t="s">
        <v>14</v>
      </c>
      <c r="G225">
        <v>29</v>
      </c>
      <c r="H225">
        <v>1</v>
      </c>
      <c r="I225">
        <v>0</v>
      </c>
      <c r="J225">
        <v>2926</v>
      </c>
      <c r="K225">
        <v>26</v>
      </c>
      <c r="M225" s="4" t="s">
        <v>1262</v>
      </c>
      <c r="N225" t="s">
        <v>20</v>
      </c>
    </row>
    <row r="226" spans="1:14" x14ac:dyDescent="0.25">
      <c r="A226">
        <v>57</v>
      </c>
      <c r="B226">
        <v>1</v>
      </c>
      <c r="C226">
        <v>2</v>
      </c>
      <c r="D226" t="s">
        <v>434</v>
      </c>
      <c r="E226" s="4">
        <v>17</v>
      </c>
      <c r="F226" t="s">
        <v>14</v>
      </c>
      <c r="G226">
        <v>21</v>
      </c>
      <c r="H226">
        <v>0</v>
      </c>
      <c r="I226">
        <v>0</v>
      </c>
      <c r="J226" t="s">
        <v>435</v>
      </c>
      <c r="K226">
        <v>10.5</v>
      </c>
      <c r="M226" s="4" t="s">
        <v>1262</v>
      </c>
      <c r="N226" t="s">
        <v>20</v>
      </c>
    </row>
    <row r="227" spans="1:14" x14ac:dyDescent="0.25">
      <c r="A227">
        <v>59</v>
      </c>
      <c r="B227">
        <v>1</v>
      </c>
      <c r="C227">
        <v>2</v>
      </c>
      <c r="D227" t="s">
        <v>436</v>
      </c>
      <c r="E227" s="4">
        <v>28</v>
      </c>
      <c r="F227" t="s">
        <v>14</v>
      </c>
      <c r="G227">
        <v>5</v>
      </c>
      <c r="H227">
        <v>1</v>
      </c>
      <c r="I227">
        <v>2</v>
      </c>
      <c r="J227" t="s">
        <v>437</v>
      </c>
      <c r="K227">
        <v>27.75</v>
      </c>
      <c r="M227" s="4" t="s">
        <v>1262</v>
      </c>
      <c r="N227" t="s">
        <v>20</v>
      </c>
    </row>
    <row r="228" spans="1:14" x14ac:dyDescent="0.25">
      <c r="A228">
        <v>67</v>
      </c>
      <c r="B228">
        <v>1</v>
      </c>
      <c r="C228">
        <v>2</v>
      </c>
      <c r="D228" t="s">
        <v>438</v>
      </c>
      <c r="E228" s="4">
        <v>28</v>
      </c>
      <c r="F228" t="s">
        <v>14</v>
      </c>
      <c r="G228">
        <v>29</v>
      </c>
      <c r="H228">
        <v>0</v>
      </c>
      <c r="I228">
        <v>0</v>
      </c>
      <c r="J228" t="s">
        <v>439</v>
      </c>
      <c r="K228">
        <v>10.5</v>
      </c>
      <c r="L228" t="s">
        <v>440</v>
      </c>
      <c r="M228" s="4" t="s">
        <v>185</v>
      </c>
      <c r="N228" t="s">
        <v>20</v>
      </c>
    </row>
    <row r="229" spans="1:14" x14ac:dyDescent="0.25">
      <c r="A229">
        <v>71</v>
      </c>
      <c r="B229">
        <v>0</v>
      </c>
      <c r="C229">
        <v>2</v>
      </c>
      <c r="D229" t="s">
        <v>441</v>
      </c>
      <c r="E229" s="4">
        <v>26</v>
      </c>
      <c r="F229" t="s">
        <v>24</v>
      </c>
      <c r="G229">
        <v>32</v>
      </c>
      <c r="H229">
        <v>0</v>
      </c>
      <c r="I229">
        <v>0</v>
      </c>
      <c r="J229" t="s">
        <v>442</v>
      </c>
      <c r="K229">
        <v>10.5</v>
      </c>
      <c r="M229" s="4" t="s">
        <v>1262</v>
      </c>
      <c r="N229" t="s">
        <v>20</v>
      </c>
    </row>
    <row r="230" spans="1:14" x14ac:dyDescent="0.25">
      <c r="A230">
        <v>73</v>
      </c>
      <c r="B230">
        <v>0</v>
      </c>
      <c r="C230">
        <v>2</v>
      </c>
      <c r="D230" t="s">
        <v>443</v>
      </c>
      <c r="E230" s="4">
        <v>20</v>
      </c>
      <c r="F230" t="s">
        <v>24</v>
      </c>
      <c r="G230">
        <v>21</v>
      </c>
      <c r="H230">
        <v>0</v>
      </c>
      <c r="I230">
        <v>0</v>
      </c>
      <c r="J230" t="s">
        <v>444</v>
      </c>
      <c r="K230">
        <v>73.5</v>
      </c>
      <c r="M230" s="4" t="s">
        <v>1262</v>
      </c>
      <c r="N230" t="s">
        <v>20</v>
      </c>
    </row>
    <row r="231" spans="1:14" x14ac:dyDescent="0.25">
      <c r="A231">
        <v>79</v>
      </c>
      <c r="B231">
        <v>1</v>
      </c>
      <c r="C231">
        <v>2</v>
      </c>
      <c r="D231" t="s">
        <v>445</v>
      </c>
      <c r="E231" s="4">
        <v>29</v>
      </c>
      <c r="F231" t="s">
        <v>24</v>
      </c>
      <c r="G231">
        <v>0.83</v>
      </c>
      <c r="H231">
        <v>0</v>
      </c>
      <c r="I231">
        <v>2</v>
      </c>
      <c r="J231">
        <v>248738</v>
      </c>
      <c r="K231">
        <v>29</v>
      </c>
      <c r="M231" s="4" t="s">
        <v>1262</v>
      </c>
      <c r="N231" t="s">
        <v>20</v>
      </c>
    </row>
    <row r="232" spans="1:14" x14ac:dyDescent="0.25">
      <c r="A232">
        <v>85</v>
      </c>
      <c r="B232">
        <v>1</v>
      </c>
      <c r="C232">
        <v>2</v>
      </c>
      <c r="D232" t="s">
        <v>446</v>
      </c>
      <c r="E232" s="4">
        <v>19</v>
      </c>
      <c r="F232" t="s">
        <v>14</v>
      </c>
      <c r="G232">
        <v>17</v>
      </c>
      <c r="H232">
        <v>0</v>
      </c>
      <c r="I232">
        <v>0</v>
      </c>
      <c r="J232" t="s">
        <v>447</v>
      </c>
      <c r="K232">
        <v>10.5</v>
      </c>
      <c r="M232" s="4" t="s">
        <v>1262</v>
      </c>
      <c r="N232" t="s">
        <v>20</v>
      </c>
    </row>
    <row r="233" spans="1:14" x14ac:dyDescent="0.25">
      <c r="A233">
        <v>99</v>
      </c>
      <c r="B233">
        <v>1</v>
      </c>
      <c r="C233">
        <v>2</v>
      </c>
      <c r="D233" t="s">
        <v>448</v>
      </c>
      <c r="E233" s="4">
        <v>36</v>
      </c>
      <c r="F233" t="s">
        <v>14</v>
      </c>
      <c r="G233">
        <v>34</v>
      </c>
      <c r="H233">
        <v>0</v>
      </c>
      <c r="I233">
        <v>1</v>
      </c>
      <c r="J233">
        <v>231919</v>
      </c>
      <c r="K233">
        <v>23</v>
      </c>
      <c r="M233" s="4" t="s">
        <v>1262</v>
      </c>
      <c r="N233" t="s">
        <v>20</v>
      </c>
    </row>
    <row r="234" spans="1:14" x14ac:dyDescent="0.25">
      <c r="A234">
        <v>100</v>
      </c>
      <c r="B234">
        <v>0</v>
      </c>
      <c r="C234">
        <v>2</v>
      </c>
      <c r="D234" t="s">
        <v>449</v>
      </c>
      <c r="E234" s="4">
        <v>17</v>
      </c>
      <c r="F234" t="s">
        <v>24</v>
      </c>
      <c r="G234">
        <v>34</v>
      </c>
      <c r="H234">
        <v>1</v>
      </c>
      <c r="I234">
        <v>0</v>
      </c>
      <c r="J234">
        <v>244367</v>
      </c>
      <c r="K234">
        <v>26</v>
      </c>
      <c r="M234" s="4" t="s">
        <v>1262</v>
      </c>
      <c r="N234" t="s">
        <v>20</v>
      </c>
    </row>
    <row r="235" spans="1:14" x14ac:dyDescent="0.25">
      <c r="A235">
        <v>118</v>
      </c>
      <c r="B235">
        <v>0</v>
      </c>
      <c r="C235">
        <v>2</v>
      </c>
      <c r="D235" t="s">
        <v>450</v>
      </c>
      <c r="E235" s="4">
        <v>31</v>
      </c>
      <c r="F235" t="s">
        <v>24</v>
      </c>
      <c r="G235">
        <v>29</v>
      </c>
      <c r="H235">
        <v>1</v>
      </c>
      <c r="I235">
        <v>0</v>
      </c>
      <c r="J235">
        <v>11668</v>
      </c>
      <c r="K235">
        <v>21</v>
      </c>
      <c r="M235" s="4" t="s">
        <v>1262</v>
      </c>
      <c r="N235" t="s">
        <v>20</v>
      </c>
    </row>
    <row r="236" spans="1:14" x14ac:dyDescent="0.25">
      <c r="A236">
        <v>121</v>
      </c>
      <c r="B236">
        <v>0</v>
      </c>
      <c r="C236">
        <v>2</v>
      </c>
      <c r="D236" t="s">
        <v>451</v>
      </c>
      <c r="E236" s="4">
        <v>27</v>
      </c>
      <c r="F236" t="s">
        <v>24</v>
      </c>
      <c r="G236">
        <v>21</v>
      </c>
      <c r="H236">
        <v>2</v>
      </c>
      <c r="I236">
        <v>0</v>
      </c>
      <c r="J236" t="s">
        <v>444</v>
      </c>
      <c r="K236">
        <v>73.5</v>
      </c>
      <c r="M236" s="4" t="s">
        <v>1262</v>
      </c>
      <c r="N236" t="s">
        <v>20</v>
      </c>
    </row>
    <row r="237" spans="1:14" x14ac:dyDescent="0.25">
      <c r="A237">
        <v>123</v>
      </c>
      <c r="B237">
        <v>0</v>
      </c>
      <c r="C237">
        <v>2</v>
      </c>
      <c r="D237" t="s">
        <v>452</v>
      </c>
      <c r="E237" s="4">
        <v>20</v>
      </c>
      <c r="F237" t="s">
        <v>24</v>
      </c>
      <c r="G237">
        <v>32.5</v>
      </c>
      <c r="H237">
        <v>1</v>
      </c>
      <c r="I237">
        <v>0</v>
      </c>
      <c r="J237">
        <v>237736</v>
      </c>
      <c r="K237">
        <v>30.070799999999998</v>
      </c>
      <c r="M237" s="4" t="s">
        <v>1262</v>
      </c>
      <c r="N237" t="s">
        <v>17</v>
      </c>
    </row>
    <row r="238" spans="1:14" x14ac:dyDescent="0.25">
      <c r="A238">
        <v>124</v>
      </c>
      <c r="B238">
        <v>1</v>
      </c>
      <c r="C238">
        <v>2</v>
      </c>
      <c r="D238" t="s">
        <v>453</v>
      </c>
      <c r="E238" s="4">
        <v>19</v>
      </c>
      <c r="F238" t="s">
        <v>14</v>
      </c>
      <c r="G238">
        <v>32.5</v>
      </c>
      <c r="H238">
        <v>0</v>
      </c>
      <c r="I238">
        <v>0</v>
      </c>
      <c r="J238">
        <v>27267</v>
      </c>
      <c r="K238">
        <v>13</v>
      </c>
      <c r="L238" t="s">
        <v>454</v>
      </c>
      <c r="M238" s="4" t="s">
        <v>31</v>
      </c>
      <c r="N238" t="s">
        <v>20</v>
      </c>
    </row>
    <row r="239" spans="1:14" x14ac:dyDescent="0.25">
      <c r="A239">
        <v>597</v>
      </c>
      <c r="B239">
        <v>1</v>
      </c>
      <c r="C239">
        <v>2</v>
      </c>
      <c r="D239" t="s">
        <v>455</v>
      </c>
      <c r="E239" s="4">
        <v>26</v>
      </c>
      <c r="F239" t="s">
        <v>14</v>
      </c>
      <c r="H239">
        <v>0</v>
      </c>
      <c r="I239">
        <v>0</v>
      </c>
      <c r="J239">
        <v>248727</v>
      </c>
      <c r="K239">
        <v>33</v>
      </c>
      <c r="M239" s="4" t="s">
        <v>1262</v>
      </c>
      <c r="N239" t="s">
        <v>20</v>
      </c>
    </row>
    <row r="240" spans="1:14" x14ac:dyDescent="0.25">
      <c r="A240">
        <v>134</v>
      </c>
      <c r="B240">
        <v>1</v>
      </c>
      <c r="C240">
        <v>2</v>
      </c>
      <c r="D240" t="s">
        <v>456</v>
      </c>
      <c r="E240" s="4">
        <v>45</v>
      </c>
      <c r="F240" t="s">
        <v>14</v>
      </c>
      <c r="G240">
        <v>29</v>
      </c>
      <c r="H240">
        <v>1</v>
      </c>
      <c r="I240">
        <v>0</v>
      </c>
      <c r="J240">
        <v>228414</v>
      </c>
      <c r="K240">
        <v>26</v>
      </c>
      <c r="M240" s="4" t="s">
        <v>1262</v>
      </c>
      <c r="N240" t="s">
        <v>20</v>
      </c>
    </row>
    <row r="241" spans="1:14" x14ac:dyDescent="0.25">
      <c r="A241">
        <v>135</v>
      </c>
      <c r="B241">
        <v>0</v>
      </c>
      <c r="C241">
        <v>2</v>
      </c>
      <c r="D241" t="s">
        <v>457</v>
      </c>
      <c r="E241" s="4">
        <v>30</v>
      </c>
      <c r="F241" t="s">
        <v>24</v>
      </c>
      <c r="G241">
        <v>25</v>
      </c>
      <c r="H241">
        <v>0</v>
      </c>
      <c r="I241">
        <v>0</v>
      </c>
      <c r="J241" t="s">
        <v>458</v>
      </c>
      <c r="K241">
        <v>13</v>
      </c>
      <c r="M241" s="4" t="s">
        <v>1262</v>
      </c>
      <c r="N241" t="s">
        <v>20</v>
      </c>
    </row>
    <row r="242" spans="1:14" x14ac:dyDescent="0.25">
      <c r="A242">
        <v>136</v>
      </c>
      <c r="B242">
        <v>0</v>
      </c>
      <c r="C242">
        <v>2</v>
      </c>
      <c r="D242" t="s">
        <v>459</v>
      </c>
      <c r="E242" s="4">
        <v>18</v>
      </c>
      <c r="F242" t="s">
        <v>24</v>
      </c>
      <c r="G242">
        <v>23</v>
      </c>
      <c r="H242">
        <v>0</v>
      </c>
      <c r="I242">
        <v>0</v>
      </c>
      <c r="J242" t="s">
        <v>460</v>
      </c>
      <c r="K242">
        <v>15.0458</v>
      </c>
      <c r="M242" s="4" t="s">
        <v>1262</v>
      </c>
      <c r="N242" t="s">
        <v>17</v>
      </c>
    </row>
    <row r="243" spans="1:14" x14ac:dyDescent="0.25">
      <c r="A243">
        <v>145</v>
      </c>
      <c r="B243">
        <v>0</v>
      </c>
      <c r="C243">
        <v>2</v>
      </c>
      <c r="D243" t="s">
        <v>461</v>
      </c>
      <c r="E243" s="4">
        <v>26</v>
      </c>
      <c r="F243" t="s">
        <v>24</v>
      </c>
      <c r="G243">
        <v>18</v>
      </c>
      <c r="H243">
        <v>0</v>
      </c>
      <c r="I243">
        <v>0</v>
      </c>
      <c r="J243">
        <v>231945</v>
      </c>
      <c r="K243">
        <v>11.5</v>
      </c>
      <c r="M243" s="4" t="s">
        <v>1262</v>
      </c>
      <c r="N243" t="s">
        <v>20</v>
      </c>
    </row>
    <row r="244" spans="1:14" x14ac:dyDescent="0.25">
      <c r="A244">
        <v>146</v>
      </c>
      <c r="B244">
        <v>0</v>
      </c>
      <c r="C244">
        <v>2</v>
      </c>
      <c r="D244" t="s">
        <v>462</v>
      </c>
      <c r="E244" s="4">
        <v>28</v>
      </c>
      <c r="F244" t="s">
        <v>24</v>
      </c>
      <c r="G244">
        <v>19</v>
      </c>
      <c r="H244">
        <v>1</v>
      </c>
      <c r="I244">
        <v>1</v>
      </c>
      <c r="J244" t="s">
        <v>463</v>
      </c>
      <c r="K244">
        <v>36.75</v>
      </c>
      <c r="M244" s="4" t="s">
        <v>1262</v>
      </c>
      <c r="N244" t="s">
        <v>20</v>
      </c>
    </row>
    <row r="245" spans="1:14" x14ac:dyDescent="0.25">
      <c r="A245">
        <v>149</v>
      </c>
      <c r="B245">
        <v>0</v>
      </c>
      <c r="C245">
        <v>2</v>
      </c>
      <c r="D245" t="s">
        <v>464</v>
      </c>
      <c r="E245" s="4">
        <v>40</v>
      </c>
      <c r="F245" t="s">
        <v>24</v>
      </c>
      <c r="G245">
        <v>36.5</v>
      </c>
      <c r="H245">
        <v>0</v>
      </c>
      <c r="I245">
        <v>2</v>
      </c>
      <c r="J245">
        <v>230080</v>
      </c>
      <c r="K245">
        <v>26</v>
      </c>
      <c r="L245" t="s">
        <v>465</v>
      </c>
      <c r="M245" s="4" t="s">
        <v>185</v>
      </c>
      <c r="N245" t="s">
        <v>20</v>
      </c>
    </row>
    <row r="246" spans="1:14" x14ac:dyDescent="0.25">
      <c r="A246">
        <v>150</v>
      </c>
      <c r="B246">
        <v>0</v>
      </c>
      <c r="C246">
        <v>2</v>
      </c>
      <c r="D246" t="s">
        <v>466</v>
      </c>
      <c r="E246" s="4">
        <v>33</v>
      </c>
      <c r="F246" t="s">
        <v>24</v>
      </c>
      <c r="G246">
        <v>42</v>
      </c>
      <c r="H246">
        <v>0</v>
      </c>
      <c r="I246">
        <v>0</v>
      </c>
      <c r="J246">
        <v>244310</v>
      </c>
      <c r="K246">
        <v>13</v>
      </c>
      <c r="M246" s="4" t="s">
        <v>1262</v>
      </c>
      <c r="N246" t="s">
        <v>20</v>
      </c>
    </row>
    <row r="247" spans="1:14" x14ac:dyDescent="0.25">
      <c r="A247">
        <v>151</v>
      </c>
      <c r="B247">
        <v>0</v>
      </c>
      <c r="C247">
        <v>2</v>
      </c>
      <c r="D247" t="s">
        <v>467</v>
      </c>
      <c r="E247" s="4">
        <v>26</v>
      </c>
      <c r="F247" t="s">
        <v>24</v>
      </c>
      <c r="G247">
        <v>51</v>
      </c>
      <c r="H247">
        <v>0</v>
      </c>
      <c r="I247">
        <v>0</v>
      </c>
      <c r="J247" t="s">
        <v>468</v>
      </c>
      <c r="K247">
        <v>12.525</v>
      </c>
      <c r="M247" s="4" t="s">
        <v>1262</v>
      </c>
      <c r="N247" t="s">
        <v>20</v>
      </c>
    </row>
    <row r="248" spans="1:14" x14ac:dyDescent="0.25">
      <c r="A248">
        <v>162</v>
      </c>
      <c r="B248">
        <v>1</v>
      </c>
      <c r="C248">
        <v>2</v>
      </c>
      <c r="D248" t="s">
        <v>469</v>
      </c>
      <c r="E248" s="4">
        <v>50</v>
      </c>
      <c r="F248" t="s">
        <v>14</v>
      </c>
      <c r="G248">
        <v>40</v>
      </c>
      <c r="H248">
        <v>0</v>
      </c>
      <c r="I248">
        <v>0</v>
      </c>
      <c r="J248" t="s">
        <v>470</v>
      </c>
      <c r="K248">
        <v>15.75</v>
      </c>
      <c r="M248" s="4" t="s">
        <v>1262</v>
      </c>
      <c r="N248" t="s">
        <v>20</v>
      </c>
    </row>
    <row r="249" spans="1:14" x14ac:dyDescent="0.25">
      <c r="A249">
        <v>179</v>
      </c>
      <c r="B249">
        <v>0</v>
      </c>
      <c r="C249">
        <v>2</v>
      </c>
      <c r="D249" t="s">
        <v>471</v>
      </c>
      <c r="E249" s="4">
        <v>18</v>
      </c>
      <c r="F249" t="s">
        <v>24</v>
      </c>
      <c r="G249">
        <v>30</v>
      </c>
      <c r="H249">
        <v>0</v>
      </c>
      <c r="I249">
        <v>0</v>
      </c>
      <c r="J249">
        <v>250653</v>
      </c>
      <c r="K249">
        <v>13</v>
      </c>
      <c r="M249" s="4" t="s">
        <v>1262</v>
      </c>
      <c r="N249" t="s">
        <v>20</v>
      </c>
    </row>
    <row r="250" spans="1:14" x14ac:dyDescent="0.25">
      <c r="A250">
        <v>184</v>
      </c>
      <c r="B250">
        <v>1</v>
      </c>
      <c r="C250">
        <v>2</v>
      </c>
      <c r="D250" t="s">
        <v>472</v>
      </c>
      <c r="E250" s="4">
        <v>25</v>
      </c>
      <c r="F250" t="s">
        <v>24</v>
      </c>
      <c r="G250">
        <v>1</v>
      </c>
      <c r="H250">
        <v>2</v>
      </c>
      <c r="I250">
        <v>1</v>
      </c>
      <c r="J250">
        <v>230136</v>
      </c>
      <c r="K250">
        <v>39</v>
      </c>
      <c r="L250" t="s">
        <v>473</v>
      </c>
      <c r="M250" s="4" t="s">
        <v>185</v>
      </c>
      <c r="N250" t="s">
        <v>20</v>
      </c>
    </row>
    <row r="251" spans="1:14" x14ac:dyDescent="0.25">
      <c r="A251">
        <v>191</v>
      </c>
      <c r="B251">
        <v>1</v>
      </c>
      <c r="C251">
        <v>2</v>
      </c>
      <c r="D251" t="s">
        <v>474</v>
      </c>
      <c r="E251" s="4">
        <v>19</v>
      </c>
      <c r="F251" t="s">
        <v>14</v>
      </c>
      <c r="G251">
        <v>32</v>
      </c>
      <c r="H251">
        <v>0</v>
      </c>
      <c r="I251">
        <v>0</v>
      </c>
      <c r="J251">
        <v>234604</v>
      </c>
      <c r="K251">
        <v>13</v>
      </c>
      <c r="M251" s="4" t="s">
        <v>1262</v>
      </c>
      <c r="N251" t="s">
        <v>20</v>
      </c>
    </row>
    <row r="252" spans="1:14" x14ac:dyDescent="0.25">
      <c r="A252">
        <v>192</v>
      </c>
      <c r="B252">
        <v>0</v>
      </c>
      <c r="C252">
        <v>2</v>
      </c>
      <c r="D252" t="s">
        <v>475</v>
      </c>
      <c r="E252" s="4">
        <v>21</v>
      </c>
      <c r="F252" t="s">
        <v>24</v>
      </c>
      <c r="G252">
        <v>19</v>
      </c>
      <c r="H252">
        <v>0</v>
      </c>
      <c r="I252">
        <v>0</v>
      </c>
      <c r="J252">
        <v>28424</v>
      </c>
      <c r="K252">
        <v>13</v>
      </c>
      <c r="M252" s="4" t="s">
        <v>1262</v>
      </c>
      <c r="N252" t="s">
        <v>20</v>
      </c>
    </row>
    <row r="253" spans="1:14" x14ac:dyDescent="0.25">
      <c r="A253">
        <v>194</v>
      </c>
      <c r="B253">
        <v>1</v>
      </c>
      <c r="C253">
        <v>2</v>
      </c>
      <c r="D253" t="s">
        <v>476</v>
      </c>
      <c r="E253" s="4">
        <v>26</v>
      </c>
      <c r="F253" t="s">
        <v>24</v>
      </c>
      <c r="G253">
        <v>3</v>
      </c>
      <c r="H253">
        <v>1</v>
      </c>
      <c r="I253">
        <v>1</v>
      </c>
      <c r="J253">
        <v>230080</v>
      </c>
      <c r="K253">
        <v>26</v>
      </c>
      <c r="L253" t="s">
        <v>465</v>
      </c>
      <c r="M253" s="4" t="s">
        <v>185</v>
      </c>
      <c r="N253" t="s">
        <v>20</v>
      </c>
    </row>
    <row r="254" spans="1:14" x14ac:dyDescent="0.25">
      <c r="A254">
        <v>200</v>
      </c>
      <c r="B254">
        <v>0</v>
      </c>
      <c r="C254">
        <v>2</v>
      </c>
      <c r="D254" t="s">
        <v>477</v>
      </c>
      <c r="E254" s="4">
        <v>38</v>
      </c>
      <c r="F254" t="s">
        <v>14</v>
      </c>
      <c r="G254">
        <v>24</v>
      </c>
      <c r="H254">
        <v>0</v>
      </c>
      <c r="I254">
        <v>0</v>
      </c>
      <c r="J254">
        <v>248747</v>
      </c>
      <c r="K254">
        <v>13</v>
      </c>
      <c r="M254" s="4" t="s">
        <v>1262</v>
      </c>
      <c r="N254" t="s">
        <v>20</v>
      </c>
    </row>
    <row r="255" spans="1:14" x14ac:dyDescent="0.25">
      <c r="A255">
        <v>212</v>
      </c>
      <c r="B255">
        <v>1</v>
      </c>
      <c r="C255">
        <v>2</v>
      </c>
      <c r="D255" t="s">
        <v>478</v>
      </c>
      <c r="E255" s="4">
        <v>26</v>
      </c>
      <c r="F255" t="s">
        <v>14</v>
      </c>
      <c r="G255">
        <v>35</v>
      </c>
      <c r="H255">
        <v>0</v>
      </c>
      <c r="I255">
        <v>0</v>
      </c>
      <c r="J255" t="s">
        <v>479</v>
      </c>
      <c r="K255">
        <v>21</v>
      </c>
      <c r="M255" s="4" t="s">
        <v>1262</v>
      </c>
      <c r="N255" t="s">
        <v>20</v>
      </c>
    </row>
    <row r="256" spans="1:14" x14ac:dyDescent="0.25">
      <c r="A256">
        <v>214</v>
      </c>
      <c r="B256">
        <v>0</v>
      </c>
      <c r="C256">
        <v>2</v>
      </c>
      <c r="D256" t="s">
        <v>480</v>
      </c>
      <c r="E256" s="4">
        <v>27</v>
      </c>
      <c r="F256" t="s">
        <v>24</v>
      </c>
      <c r="G256">
        <v>30</v>
      </c>
      <c r="H256">
        <v>0</v>
      </c>
      <c r="I256">
        <v>0</v>
      </c>
      <c r="J256">
        <v>250646</v>
      </c>
      <c r="K256">
        <v>13</v>
      </c>
      <c r="M256" s="4" t="s">
        <v>1262</v>
      </c>
      <c r="N256" t="s">
        <v>20</v>
      </c>
    </row>
    <row r="257" spans="1:14" x14ac:dyDescent="0.25">
      <c r="A257">
        <v>218</v>
      </c>
      <c r="B257">
        <v>0</v>
      </c>
      <c r="C257">
        <v>2</v>
      </c>
      <c r="D257" t="s">
        <v>481</v>
      </c>
      <c r="E257" s="4">
        <v>28</v>
      </c>
      <c r="F257" t="s">
        <v>24</v>
      </c>
      <c r="G257">
        <v>42</v>
      </c>
      <c r="H257">
        <v>1</v>
      </c>
      <c r="I257">
        <v>0</v>
      </c>
      <c r="J257">
        <v>243847</v>
      </c>
      <c r="K257">
        <v>27</v>
      </c>
      <c r="M257" s="4" t="s">
        <v>1262</v>
      </c>
      <c r="N257" t="s">
        <v>20</v>
      </c>
    </row>
    <row r="258" spans="1:14" x14ac:dyDescent="0.25">
      <c r="A258">
        <v>220</v>
      </c>
      <c r="B258">
        <v>0</v>
      </c>
      <c r="C258">
        <v>2</v>
      </c>
      <c r="D258" t="s">
        <v>482</v>
      </c>
      <c r="E258" s="4">
        <v>18</v>
      </c>
      <c r="F258" t="s">
        <v>24</v>
      </c>
      <c r="G258">
        <v>30</v>
      </c>
      <c r="H258">
        <v>0</v>
      </c>
      <c r="I258">
        <v>0</v>
      </c>
      <c r="J258" t="s">
        <v>483</v>
      </c>
      <c r="K258">
        <v>10.5</v>
      </c>
      <c r="M258" s="4" t="s">
        <v>1262</v>
      </c>
      <c r="N258" t="s">
        <v>20</v>
      </c>
    </row>
    <row r="259" spans="1:14" x14ac:dyDescent="0.25">
      <c r="A259">
        <v>222</v>
      </c>
      <c r="B259">
        <v>0</v>
      </c>
      <c r="C259">
        <v>2</v>
      </c>
      <c r="D259" t="s">
        <v>484</v>
      </c>
      <c r="E259" s="4">
        <v>20</v>
      </c>
      <c r="F259" t="s">
        <v>24</v>
      </c>
      <c r="G259">
        <v>27</v>
      </c>
      <c r="H259">
        <v>0</v>
      </c>
      <c r="I259">
        <v>0</v>
      </c>
      <c r="J259">
        <v>220367</v>
      </c>
      <c r="K259">
        <v>13</v>
      </c>
      <c r="M259" s="4" t="s">
        <v>1262</v>
      </c>
      <c r="N259" t="s">
        <v>20</v>
      </c>
    </row>
    <row r="260" spans="1:14" x14ac:dyDescent="0.25">
      <c r="A260">
        <v>227</v>
      </c>
      <c r="B260">
        <v>1</v>
      </c>
      <c r="C260">
        <v>2</v>
      </c>
      <c r="D260" t="s">
        <v>485</v>
      </c>
      <c r="E260" s="4">
        <v>25</v>
      </c>
      <c r="F260" t="s">
        <v>24</v>
      </c>
      <c r="G260">
        <v>19</v>
      </c>
      <c r="H260">
        <v>0</v>
      </c>
      <c r="I260">
        <v>0</v>
      </c>
      <c r="J260" t="s">
        <v>486</v>
      </c>
      <c r="K260">
        <v>10.5</v>
      </c>
      <c r="M260" s="4" t="s">
        <v>1262</v>
      </c>
      <c r="N260" t="s">
        <v>20</v>
      </c>
    </row>
    <row r="261" spans="1:14" x14ac:dyDescent="0.25">
      <c r="A261">
        <v>229</v>
      </c>
      <c r="B261">
        <v>0</v>
      </c>
      <c r="C261">
        <v>2</v>
      </c>
      <c r="D261" t="s">
        <v>487</v>
      </c>
      <c r="E261" s="4">
        <v>25</v>
      </c>
      <c r="F261" t="s">
        <v>24</v>
      </c>
      <c r="G261">
        <v>18</v>
      </c>
      <c r="H261">
        <v>0</v>
      </c>
      <c r="I261">
        <v>0</v>
      </c>
      <c r="J261">
        <v>236171</v>
      </c>
      <c r="K261">
        <v>13</v>
      </c>
      <c r="M261" s="4" t="s">
        <v>1262</v>
      </c>
      <c r="N261" t="s">
        <v>20</v>
      </c>
    </row>
    <row r="262" spans="1:14" x14ac:dyDescent="0.25">
      <c r="A262">
        <v>233</v>
      </c>
      <c r="B262">
        <v>0</v>
      </c>
      <c r="C262">
        <v>2</v>
      </c>
      <c r="D262" t="s">
        <v>488</v>
      </c>
      <c r="E262" s="4">
        <v>25</v>
      </c>
      <c r="F262" t="s">
        <v>24</v>
      </c>
      <c r="G262">
        <v>59</v>
      </c>
      <c r="H262">
        <v>0</v>
      </c>
      <c r="I262">
        <v>0</v>
      </c>
      <c r="J262">
        <v>237442</v>
      </c>
      <c r="K262">
        <v>13.5</v>
      </c>
      <c r="M262" s="4" t="s">
        <v>1262</v>
      </c>
      <c r="N262" t="s">
        <v>20</v>
      </c>
    </row>
    <row r="263" spans="1:14" x14ac:dyDescent="0.25">
      <c r="A263">
        <v>235</v>
      </c>
      <c r="B263">
        <v>0</v>
      </c>
      <c r="C263">
        <v>2</v>
      </c>
      <c r="D263" t="s">
        <v>489</v>
      </c>
      <c r="E263" s="4">
        <v>33</v>
      </c>
      <c r="F263" t="s">
        <v>24</v>
      </c>
      <c r="G263">
        <v>24</v>
      </c>
      <c r="H263">
        <v>0</v>
      </c>
      <c r="I263">
        <v>0</v>
      </c>
      <c r="J263" t="s">
        <v>490</v>
      </c>
      <c r="K263">
        <v>10.5</v>
      </c>
      <c r="M263" s="4" t="s">
        <v>1262</v>
      </c>
      <c r="N263" t="s">
        <v>20</v>
      </c>
    </row>
    <row r="264" spans="1:14" x14ac:dyDescent="0.25">
      <c r="A264">
        <v>237</v>
      </c>
      <c r="B264">
        <v>0</v>
      </c>
      <c r="C264">
        <v>2</v>
      </c>
      <c r="D264" t="s">
        <v>491</v>
      </c>
      <c r="E264" s="4">
        <v>17</v>
      </c>
      <c r="F264" t="s">
        <v>24</v>
      </c>
      <c r="G264">
        <v>44</v>
      </c>
      <c r="H264">
        <v>1</v>
      </c>
      <c r="I264">
        <v>0</v>
      </c>
      <c r="J264">
        <v>26707</v>
      </c>
      <c r="K264">
        <v>26</v>
      </c>
      <c r="M264" s="4" t="s">
        <v>1262</v>
      </c>
      <c r="N264" t="s">
        <v>20</v>
      </c>
    </row>
    <row r="265" spans="1:14" x14ac:dyDescent="0.25">
      <c r="A265">
        <v>238</v>
      </c>
      <c r="B265">
        <v>1</v>
      </c>
      <c r="C265">
        <v>2</v>
      </c>
      <c r="D265" t="s">
        <v>492</v>
      </c>
      <c r="E265" s="4">
        <v>32</v>
      </c>
      <c r="F265" t="s">
        <v>14</v>
      </c>
      <c r="G265">
        <v>8</v>
      </c>
      <c r="H265">
        <v>0</v>
      </c>
      <c r="I265">
        <v>2</v>
      </c>
      <c r="J265" t="s">
        <v>493</v>
      </c>
      <c r="K265">
        <v>26.25</v>
      </c>
      <c r="M265" s="4" t="s">
        <v>1262</v>
      </c>
      <c r="N265" t="s">
        <v>20</v>
      </c>
    </row>
    <row r="266" spans="1:14" x14ac:dyDescent="0.25">
      <c r="A266">
        <v>239</v>
      </c>
      <c r="B266">
        <v>0</v>
      </c>
      <c r="C266">
        <v>2</v>
      </c>
      <c r="D266" t="s">
        <v>494</v>
      </c>
      <c r="E266" s="4">
        <v>31</v>
      </c>
      <c r="F266" t="s">
        <v>24</v>
      </c>
      <c r="G266">
        <v>19</v>
      </c>
      <c r="H266">
        <v>0</v>
      </c>
      <c r="I266">
        <v>0</v>
      </c>
      <c r="J266">
        <v>28665</v>
      </c>
      <c r="K266">
        <v>10.5</v>
      </c>
      <c r="M266" s="4" t="s">
        <v>1262</v>
      </c>
      <c r="N266" t="s">
        <v>20</v>
      </c>
    </row>
    <row r="267" spans="1:14" x14ac:dyDescent="0.25">
      <c r="A267">
        <v>240</v>
      </c>
      <c r="B267">
        <v>0</v>
      </c>
      <c r="C267">
        <v>2</v>
      </c>
      <c r="D267" t="s">
        <v>495</v>
      </c>
      <c r="E267" s="4">
        <v>22</v>
      </c>
      <c r="F267" t="s">
        <v>24</v>
      </c>
      <c r="G267">
        <v>33</v>
      </c>
      <c r="H267">
        <v>0</v>
      </c>
      <c r="I267">
        <v>0</v>
      </c>
      <c r="J267" t="s">
        <v>496</v>
      </c>
      <c r="K267">
        <v>12.275</v>
      </c>
      <c r="M267" s="4" t="s">
        <v>1262</v>
      </c>
      <c r="N267" t="s">
        <v>20</v>
      </c>
    </row>
    <row r="268" spans="1:14" x14ac:dyDescent="0.25">
      <c r="A268">
        <v>243</v>
      </c>
      <c r="B268">
        <v>0</v>
      </c>
      <c r="C268">
        <v>2</v>
      </c>
      <c r="D268" t="s">
        <v>497</v>
      </c>
      <c r="E268" s="4">
        <v>31</v>
      </c>
      <c r="F268" t="s">
        <v>24</v>
      </c>
      <c r="G268">
        <v>29</v>
      </c>
      <c r="H268">
        <v>0</v>
      </c>
      <c r="I268">
        <v>0</v>
      </c>
      <c r="J268" t="s">
        <v>498</v>
      </c>
      <c r="K268">
        <v>10.5</v>
      </c>
      <c r="M268" s="4" t="s">
        <v>1262</v>
      </c>
      <c r="N268" t="s">
        <v>20</v>
      </c>
    </row>
    <row r="269" spans="1:14" x14ac:dyDescent="0.25">
      <c r="A269">
        <v>248</v>
      </c>
      <c r="B269">
        <v>1</v>
      </c>
      <c r="C269">
        <v>2</v>
      </c>
      <c r="D269" t="s">
        <v>499</v>
      </c>
      <c r="E269" s="4">
        <v>31</v>
      </c>
      <c r="F269" t="s">
        <v>14</v>
      </c>
      <c r="G269">
        <v>24</v>
      </c>
      <c r="H269">
        <v>0</v>
      </c>
      <c r="I269">
        <v>2</v>
      </c>
      <c r="J269">
        <v>250649</v>
      </c>
      <c r="K269">
        <v>14.5</v>
      </c>
      <c r="M269" s="4" t="s">
        <v>1262</v>
      </c>
      <c r="N269" t="s">
        <v>20</v>
      </c>
    </row>
    <row r="270" spans="1:14" x14ac:dyDescent="0.25">
      <c r="A270">
        <v>250</v>
      </c>
      <c r="B270">
        <v>0</v>
      </c>
      <c r="C270">
        <v>2</v>
      </c>
      <c r="D270" t="s">
        <v>500</v>
      </c>
      <c r="E270" s="4">
        <v>29</v>
      </c>
      <c r="F270" t="s">
        <v>24</v>
      </c>
      <c r="G270">
        <v>54</v>
      </c>
      <c r="H270">
        <v>1</v>
      </c>
      <c r="I270">
        <v>0</v>
      </c>
      <c r="J270">
        <v>244252</v>
      </c>
      <c r="K270">
        <v>26</v>
      </c>
      <c r="M270" s="4" t="s">
        <v>1262</v>
      </c>
      <c r="N270" t="s">
        <v>20</v>
      </c>
    </row>
    <row r="271" spans="1:14" x14ac:dyDescent="0.25">
      <c r="A271">
        <v>260</v>
      </c>
      <c r="B271">
        <v>1</v>
      </c>
      <c r="C271">
        <v>2</v>
      </c>
      <c r="D271" t="s">
        <v>501</v>
      </c>
      <c r="E271" s="4">
        <v>27</v>
      </c>
      <c r="F271" t="s">
        <v>14</v>
      </c>
      <c r="G271">
        <v>50</v>
      </c>
      <c r="H271">
        <v>0</v>
      </c>
      <c r="I271">
        <v>1</v>
      </c>
      <c r="J271">
        <v>230433</v>
      </c>
      <c r="K271">
        <v>26</v>
      </c>
      <c r="M271" s="4" t="s">
        <v>1262</v>
      </c>
      <c r="N271" t="s">
        <v>20</v>
      </c>
    </row>
    <row r="272" spans="1:14" x14ac:dyDescent="0.25">
      <c r="A272">
        <v>266</v>
      </c>
      <c r="B272">
        <v>0</v>
      </c>
      <c r="C272">
        <v>2</v>
      </c>
      <c r="D272" t="s">
        <v>502</v>
      </c>
      <c r="E272" s="4">
        <v>17</v>
      </c>
      <c r="F272" t="s">
        <v>24</v>
      </c>
      <c r="G272">
        <v>36</v>
      </c>
      <c r="H272">
        <v>0</v>
      </c>
      <c r="I272">
        <v>0</v>
      </c>
      <c r="J272" t="s">
        <v>503</v>
      </c>
      <c r="K272">
        <v>10.5</v>
      </c>
      <c r="M272" s="4" t="s">
        <v>1262</v>
      </c>
      <c r="N272" t="s">
        <v>20</v>
      </c>
    </row>
    <row r="273" spans="1:14" x14ac:dyDescent="0.25">
      <c r="A273">
        <v>273</v>
      </c>
      <c r="B273">
        <v>1</v>
      </c>
      <c r="C273">
        <v>2</v>
      </c>
      <c r="D273" t="s">
        <v>504</v>
      </c>
      <c r="E273" s="4">
        <v>41</v>
      </c>
      <c r="F273" t="s">
        <v>14</v>
      </c>
      <c r="G273">
        <v>41</v>
      </c>
      <c r="H273">
        <v>0</v>
      </c>
      <c r="I273">
        <v>1</v>
      </c>
      <c r="J273">
        <v>250644</v>
      </c>
      <c r="K273">
        <v>19.5</v>
      </c>
      <c r="M273" s="4" t="s">
        <v>1262</v>
      </c>
      <c r="N273" t="s">
        <v>20</v>
      </c>
    </row>
    <row r="274" spans="1:14" x14ac:dyDescent="0.25">
      <c r="A274">
        <v>289</v>
      </c>
      <c r="B274">
        <v>1</v>
      </c>
      <c r="C274">
        <v>2</v>
      </c>
      <c r="D274" t="s">
        <v>505</v>
      </c>
      <c r="E274" s="4">
        <v>20</v>
      </c>
      <c r="F274" t="s">
        <v>24</v>
      </c>
      <c r="G274">
        <v>42</v>
      </c>
      <c r="H274">
        <v>0</v>
      </c>
      <c r="I274">
        <v>0</v>
      </c>
      <c r="J274">
        <v>237798</v>
      </c>
      <c r="K274">
        <v>13</v>
      </c>
      <c r="M274" s="4" t="s">
        <v>1262</v>
      </c>
      <c r="N274" t="s">
        <v>20</v>
      </c>
    </row>
    <row r="275" spans="1:14" x14ac:dyDescent="0.25">
      <c r="A275">
        <v>293</v>
      </c>
      <c r="B275">
        <v>0</v>
      </c>
      <c r="C275">
        <v>2</v>
      </c>
      <c r="D275" t="s">
        <v>506</v>
      </c>
      <c r="E275" s="4">
        <v>22</v>
      </c>
      <c r="F275" t="s">
        <v>24</v>
      </c>
      <c r="G275">
        <v>36</v>
      </c>
      <c r="H275">
        <v>0</v>
      </c>
      <c r="I275">
        <v>0</v>
      </c>
      <c r="J275" t="s">
        <v>507</v>
      </c>
      <c r="K275">
        <v>12.875</v>
      </c>
      <c r="L275" t="s">
        <v>62</v>
      </c>
      <c r="M275" s="4" t="s">
        <v>62</v>
      </c>
      <c r="N275" t="s">
        <v>17</v>
      </c>
    </row>
    <row r="276" spans="1:14" x14ac:dyDescent="0.25">
      <c r="A276">
        <v>309</v>
      </c>
      <c r="B276">
        <v>0</v>
      </c>
      <c r="C276">
        <v>2</v>
      </c>
      <c r="D276" t="s">
        <v>508</v>
      </c>
      <c r="E276" s="4">
        <v>19</v>
      </c>
      <c r="F276" t="s">
        <v>24</v>
      </c>
      <c r="G276">
        <v>30</v>
      </c>
      <c r="H276">
        <v>1</v>
      </c>
      <c r="I276">
        <v>0</v>
      </c>
      <c r="J276" t="s">
        <v>509</v>
      </c>
      <c r="K276">
        <v>24</v>
      </c>
      <c r="M276" s="4" t="s">
        <v>1262</v>
      </c>
      <c r="N276" t="s">
        <v>17</v>
      </c>
    </row>
    <row r="277" spans="1:14" x14ac:dyDescent="0.25">
      <c r="A277">
        <v>313</v>
      </c>
      <c r="B277">
        <v>0</v>
      </c>
      <c r="C277">
        <v>2</v>
      </c>
      <c r="D277" t="s">
        <v>510</v>
      </c>
      <c r="E277" s="4">
        <v>37</v>
      </c>
      <c r="F277" t="s">
        <v>14</v>
      </c>
      <c r="G277">
        <v>26</v>
      </c>
      <c r="H277">
        <v>1</v>
      </c>
      <c r="I277">
        <v>1</v>
      </c>
      <c r="J277">
        <v>250651</v>
      </c>
      <c r="K277">
        <v>26</v>
      </c>
      <c r="M277" s="4" t="s">
        <v>1262</v>
      </c>
      <c r="N277" t="s">
        <v>20</v>
      </c>
    </row>
    <row r="278" spans="1:14" x14ac:dyDescent="0.25">
      <c r="A278">
        <v>315</v>
      </c>
      <c r="B278">
        <v>0</v>
      </c>
      <c r="C278">
        <v>2</v>
      </c>
      <c r="D278" t="s">
        <v>511</v>
      </c>
      <c r="E278" s="4">
        <v>18</v>
      </c>
      <c r="F278" t="s">
        <v>24</v>
      </c>
      <c r="G278">
        <v>43</v>
      </c>
      <c r="H278">
        <v>1</v>
      </c>
      <c r="I278">
        <v>1</v>
      </c>
      <c r="J278" t="s">
        <v>512</v>
      </c>
      <c r="K278">
        <v>26.25</v>
      </c>
      <c r="M278" s="4" t="s">
        <v>1262</v>
      </c>
      <c r="N278" t="s">
        <v>20</v>
      </c>
    </row>
    <row r="279" spans="1:14" x14ac:dyDescent="0.25">
      <c r="A279">
        <v>317</v>
      </c>
      <c r="B279">
        <v>1</v>
      </c>
      <c r="C279">
        <v>2</v>
      </c>
      <c r="D279" t="s">
        <v>513</v>
      </c>
      <c r="E279" s="4">
        <v>35</v>
      </c>
      <c r="F279" t="s">
        <v>14</v>
      </c>
      <c r="G279">
        <v>24</v>
      </c>
      <c r="H279">
        <v>1</v>
      </c>
      <c r="I279">
        <v>0</v>
      </c>
      <c r="J279">
        <v>244367</v>
      </c>
      <c r="K279">
        <v>26</v>
      </c>
      <c r="M279" s="4" t="s">
        <v>1262</v>
      </c>
      <c r="N279" t="s">
        <v>20</v>
      </c>
    </row>
    <row r="280" spans="1:14" x14ac:dyDescent="0.25">
      <c r="A280">
        <v>318</v>
      </c>
      <c r="B280">
        <v>0</v>
      </c>
      <c r="C280">
        <v>2</v>
      </c>
      <c r="D280" t="s">
        <v>514</v>
      </c>
      <c r="E280" s="4">
        <v>20</v>
      </c>
      <c r="F280" t="s">
        <v>24</v>
      </c>
      <c r="G280">
        <v>54</v>
      </c>
      <c r="H280">
        <v>0</v>
      </c>
      <c r="I280">
        <v>0</v>
      </c>
      <c r="J280">
        <v>29011</v>
      </c>
      <c r="K280">
        <v>14</v>
      </c>
      <c r="M280" s="4" t="s">
        <v>1262</v>
      </c>
      <c r="N280" t="s">
        <v>20</v>
      </c>
    </row>
    <row r="281" spans="1:14" x14ac:dyDescent="0.25">
      <c r="A281">
        <v>323</v>
      </c>
      <c r="B281">
        <v>1</v>
      </c>
      <c r="C281">
        <v>2</v>
      </c>
      <c r="D281" t="s">
        <v>515</v>
      </c>
      <c r="E281" s="4">
        <v>25</v>
      </c>
      <c r="F281" t="s">
        <v>14</v>
      </c>
      <c r="G281">
        <v>30</v>
      </c>
      <c r="H281">
        <v>0</v>
      </c>
      <c r="I281">
        <v>0</v>
      </c>
      <c r="J281">
        <v>234818</v>
      </c>
      <c r="K281">
        <v>12.35</v>
      </c>
      <c r="M281" s="4" t="s">
        <v>1262</v>
      </c>
      <c r="N281" t="s">
        <v>161</v>
      </c>
    </row>
    <row r="282" spans="1:14" x14ac:dyDescent="0.25">
      <c r="A282">
        <v>324</v>
      </c>
      <c r="B282">
        <v>1</v>
      </c>
      <c r="C282">
        <v>2</v>
      </c>
      <c r="D282" t="s">
        <v>516</v>
      </c>
      <c r="E282" s="4">
        <v>51</v>
      </c>
      <c r="F282" t="s">
        <v>14</v>
      </c>
      <c r="G282">
        <v>22</v>
      </c>
      <c r="H282">
        <v>1</v>
      </c>
      <c r="I282">
        <v>1</v>
      </c>
      <c r="J282">
        <v>248738</v>
      </c>
      <c r="K282">
        <v>29</v>
      </c>
      <c r="M282" s="4" t="s">
        <v>1262</v>
      </c>
      <c r="N282" t="s">
        <v>20</v>
      </c>
    </row>
    <row r="283" spans="1:14" x14ac:dyDescent="0.25">
      <c r="A283">
        <v>328</v>
      </c>
      <c r="B283">
        <v>1</v>
      </c>
      <c r="C283">
        <v>2</v>
      </c>
      <c r="D283" t="s">
        <v>517</v>
      </c>
      <c r="E283" s="4">
        <v>23</v>
      </c>
      <c r="F283" t="s">
        <v>14</v>
      </c>
      <c r="G283">
        <v>36</v>
      </c>
      <c r="H283">
        <v>0</v>
      </c>
      <c r="I283">
        <v>0</v>
      </c>
      <c r="J283">
        <v>28551</v>
      </c>
      <c r="K283">
        <v>13</v>
      </c>
      <c r="L283" t="s">
        <v>62</v>
      </c>
      <c r="M283" s="4" t="s">
        <v>62</v>
      </c>
      <c r="N283" t="s">
        <v>20</v>
      </c>
    </row>
    <row r="284" spans="1:14" x14ac:dyDescent="0.25">
      <c r="A284">
        <v>341</v>
      </c>
      <c r="B284">
        <v>1</v>
      </c>
      <c r="C284">
        <v>2</v>
      </c>
      <c r="D284" t="s">
        <v>518</v>
      </c>
      <c r="E284" s="4">
        <v>30</v>
      </c>
      <c r="F284" t="s">
        <v>24</v>
      </c>
      <c r="G284">
        <v>2</v>
      </c>
      <c r="H284">
        <v>1</v>
      </c>
      <c r="I284">
        <v>1</v>
      </c>
      <c r="J284">
        <v>230080</v>
      </c>
      <c r="K284">
        <v>26</v>
      </c>
      <c r="L284" t="s">
        <v>465</v>
      </c>
      <c r="M284" s="4" t="s">
        <v>185</v>
      </c>
      <c r="N284" t="s">
        <v>20</v>
      </c>
    </row>
    <row r="285" spans="1:14" x14ac:dyDescent="0.25">
      <c r="A285">
        <v>343</v>
      </c>
      <c r="B285">
        <v>0</v>
      </c>
      <c r="C285">
        <v>2</v>
      </c>
      <c r="D285" t="s">
        <v>519</v>
      </c>
      <c r="E285" s="4">
        <v>26</v>
      </c>
      <c r="F285" t="s">
        <v>24</v>
      </c>
      <c r="G285">
        <v>28</v>
      </c>
      <c r="H285">
        <v>0</v>
      </c>
      <c r="I285">
        <v>0</v>
      </c>
      <c r="J285">
        <v>248740</v>
      </c>
      <c r="K285">
        <v>13</v>
      </c>
      <c r="M285" s="4" t="s">
        <v>1262</v>
      </c>
      <c r="N285" t="s">
        <v>20</v>
      </c>
    </row>
    <row r="286" spans="1:14" x14ac:dyDescent="0.25">
      <c r="A286">
        <v>344</v>
      </c>
      <c r="B286">
        <v>0</v>
      </c>
      <c r="C286">
        <v>2</v>
      </c>
      <c r="D286" t="s">
        <v>520</v>
      </c>
      <c r="E286" s="4">
        <v>42</v>
      </c>
      <c r="F286" t="s">
        <v>24</v>
      </c>
      <c r="G286">
        <v>25</v>
      </c>
      <c r="H286">
        <v>0</v>
      </c>
      <c r="I286">
        <v>0</v>
      </c>
      <c r="J286">
        <v>244361</v>
      </c>
      <c r="K286">
        <v>13</v>
      </c>
      <c r="M286" s="4" t="s">
        <v>1262</v>
      </c>
      <c r="N286" t="s">
        <v>20</v>
      </c>
    </row>
    <row r="287" spans="1:14" x14ac:dyDescent="0.25">
      <c r="A287">
        <v>345</v>
      </c>
      <c r="B287">
        <v>0</v>
      </c>
      <c r="C287">
        <v>2</v>
      </c>
      <c r="D287" t="s">
        <v>521</v>
      </c>
      <c r="E287" s="4">
        <v>23</v>
      </c>
      <c r="F287" t="s">
        <v>24</v>
      </c>
      <c r="G287">
        <v>36</v>
      </c>
      <c r="H287">
        <v>0</v>
      </c>
      <c r="I287">
        <v>0</v>
      </c>
      <c r="J287">
        <v>229236</v>
      </c>
      <c r="K287">
        <v>13</v>
      </c>
      <c r="M287" s="4" t="s">
        <v>1262</v>
      </c>
      <c r="N287" t="s">
        <v>20</v>
      </c>
    </row>
    <row r="288" spans="1:14" x14ac:dyDescent="0.25">
      <c r="A288">
        <v>346</v>
      </c>
      <c r="B288">
        <v>1</v>
      </c>
      <c r="C288">
        <v>2</v>
      </c>
      <c r="D288" t="s">
        <v>522</v>
      </c>
      <c r="E288" s="4">
        <v>29</v>
      </c>
      <c r="F288" t="s">
        <v>14</v>
      </c>
      <c r="G288">
        <v>24</v>
      </c>
      <c r="H288">
        <v>0</v>
      </c>
      <c r="I288">
        <v>0</v>
      </c>
      <c r="J288">
        <v>248733</v>
      </c>
      <c r="K288">
        <v>13</v>
      </c>
      <c r="L288" t="s">
        <v>440</v>
      </c>
      <c r="M288" s="4" t="s">
        <v>185</v>
      </c>
      <c r="N288" t="s">
        <v>20</v>
      </c>
    </row>
    <row r="289" spans="1:14" x14ac:dyDescent="0.25">
      <c r="A289">
        <v>347</v>
      </c>
      <c r="B289">
        <v>1</v>
      </c>
      <c r="C289">
        <v>2</v>
      </c>
      <c r="D289" t="s">
        <v>523</v>
      </c>
      <c r="E289" s="4">
        <v>25</v>
      </c>
      <c r="F289" t="s">
        <v>14</v>
      </c>
      <c r="G289">
        <v>40</v>
      </c>
      <c r="H289">
        <v>0</v>
      </c>
      <c r="I289">
        <v>0</v>
      </c>
      <c r="J289">
        <v>31418</v>
      </c>
      <c r="K289">
        <v>13</v>
      </c>
      <c r="M289" s="4" t="s">
        <v>1262</v>
      </c>
      <c r="N289" t="s">
        <v>20</v>
      </c>
    </row>
    <row r="290" spans="1:14" x14ac:dyDescent="0.25">
      <c r="A290">
        <v>182</v>
      </c>
      <c r="B290">
        <v>0</v>
      </c>
      <c r="C290">
        <v>2</v>
      </c>
      <c r="D290" t="s">
        <v>524</v>
      </c>
      <c r="E290" s="4">
        <v>16</v>
      </c>
      <c r="F290" t="s">
        <v>24</v>
      </c>
      <c r="H290">
        <v>0</v>
      </c>
      <c r="I290">
        <v>0</v>
      </c>
      <c r="J290" t="s">
        <v>525</v>
      </c>
      <c r="K290">
        <v>15.05</v>
      </c>
      <c r="M290" s="4" t="s">
        <v>1262</v>
      </c>
      <c r="N290" t="s">
        <v>17</v>
      </c>
    </row>
    <row r="291" spans="1:14" x14ac:dyDescent="0.25">
      <c r="A291">
        <v>358</v>
      </c>
      <c r="B291">
        <v>0</v>
      </c>
      <c r="C291">
        <v>2</v>
      </c>
      <c r="D291" t="s">
        <v>526</v>
      </c>
      <c r="E291" s="4">
        <v>25</v>
      </c>
      <c r="F291" t="s">
        <v>14</v>
      </c>
      <c r="G291">
        <v>38</v>
      </c>
      <c r="H291">
        <v>0</v>
      </c>
      <c r="I291">
        <v>0</v>
      </c>
      <c r="J291">
        <v>237671</v>
      </c>
      <c r="K291">
        <v>13</v>
      </c>
      <c r="M291" s="4" t="s">
        <v>1262</v>
      </c>
      <c r="N291" t="s">
        <v>20</v>
      </c>
    </row>
    <row r="292" spans="1:14" x14ac:dyDescent="0.25">
      <c r="A292">
        <v>362</v>
      </c>
      <c r="B292">
        <v>0</v>
      </c>
      <c r="C292">
        <v>2</v>
      </c>
      <c r="D292" t="s">
        <v>527</v>
      </c>
      <c r="E292" s="4">
        <v>25</v>
      </c>
      <c r="F292" t="s">
        <v>24</v>
      </c>
      <c r="G292">
        <v>29</v>
      </c>
      <c r="H292">
        <v>1</v>
      </c>
      <c r="I292">
        <v>0</v>
      </c>
      <c r="J292" t="s">
        <v>528</v>
      </c>
      <c r="K292">
        <v>27.720800000000001</v>
      </c>
      <c r="M292" s="4" t="s">
        <v>1262</v>
      </c>
      <c r="N292" t="s">
        <v>17</v>
      </c>
    </row>
    <row r="293" spans="1:14" x14ac:dyDescent="0.25">
      <c r="A293">
        <v>548</v>
      </c>
      <c r="B293">
        <v>1</v>
      </c>
      <c r="C293">
        <v>2</v>
      </c>
      <c r="D293" t="s">
        <v>529</v>
      </c>
      <c r="E293" s="4">
        <v>26</v>
      </c>
      <c r="F293" t="s">
        <v>24</v>
      </c>
      <c r="H293">
        <v>0</v>
      </c>
      <c r="I293">
        <v>0</v>
      </c>
      <c r="J293" t="s">
        <v>530</v>
      </c>
      <c r="K293">
        <v>13.862500000000001</v>
      </c>
      <c r="M293" s="4" t="s">
        <v>1262</v>
      </c>
      <c r="N293" t="s">
        <v>17</v>
      </c>
    </row>
    <row r="294" spans="1:14" x14ac:dyDescent="0.25">
      <c r="A294">
        <v>18</v>
      </c>
      <c r="B294">
        <v>1</v>
      </c>
      <c r="C294">
        <v>2</v>
      </c>
      <c r="D294" t="s">
        <v>531</v>
      </c>
      <c r="E294" s="4">
        <v>28</v>
      </c>
      <c r="F294" t="s">
        <v>24</v>
      </c>
      <c r="H294">
        <v>0</v>
      </c>
      <c r="I294">
        <v>0</v>
      </c>
      <c r="J294">
        <v>244373</v>
      </c>
      <c r="K294">
        <v>13</v>
      </c>
      <c r="M294" s="4" t="s">
        <v>1262</v>
      </c>
      <c r="N294" t="s">
        <v>20</v>
      </c>
    </row>
    <row r="295" spans="1:14" x14ac:dyDescent="0.25">
      <c r="A295">
        <v>304</v>
      </c>
      <c r="B295">
        <v>1</v>
      </c>
      <c r="C295">
        <v>2</v>
      </c>
      <c r="D295" t="s">
        <v>532</v>
      </c>
      <c r="E295" s="4">
        <v>19</v>
      </c>
      <c r="F295" t="s">
        <v>14</v>
      </c>
      <c r="H295">
        <v>0</v>
      </c>
      <c r="I295">
        <v>0</v>
      </c>
      <c r="J295">
        <v>226593</v>
      </c>
      <c r="K295">
        <v>12.35</v>
      </c>
      <c r="L295" t="s">
        <v>454</v>
      </c>
      <c r="M295" s="4" t="s">
        <v>31</v>
      </c>
      <c r="N295" t="s">
        <v>161</v>
      </c>
    </row>
    <row r="296" spans="1:14" x14ac:dyDescent="0.25">
      <c r="A296">
        <v>386</v>
      </c>
      <c r="B296">
        <v>0</v>
      </c>
      <c r="C296">
        <v>2</v>
      </c>
      <c r="D296" t="s">
        <v>533</v>
      </c>
      <c r="E296" s="4">
        <v>25</v>
      </c>
      <c r="F296" t="s">
        <v>24</v>
      </c>
      <c r="G296">
        <v>18</v>
      </c>
      <c r="H296">
        <v>0</v>
      </c>
      <c r="I296">
        <v>0</v>
      </c>
      <c r="J296" t="s">
        <v>444</v>
      </c>
      <c r="K296">
        <v>73.5</v>
      </c>
      <c r="M296" s="4" t="s">
        <v>1262</v>
      </c>
      <c r="N296" t="s">
        <v>20</v>
      </c>
    </row>
    <row r="297" spans="1:14" x14ac:dyDescent="0.25">
      <c r="A297">
        <v>388</v>
      </c>
      <c r="B297">
        <v>1</v>
      </c>
      <c r="C297">
        <v>2</v>
      </c>
      <c r="D297" t="s">
        <v>534</v>
      </c>
      <c r="E297" s="4">
        <v>16</v>
      </c>
      <c r="F297" t="s">
        <v>14</v>
      </c>
      <c r="G297">
        <v>36</v>
      </c>
      <c r="H297">
        <v>0</v>
      </c>
      <c r="I297">
        <v>0</v>
      </c>
      <c r="J297">
        <v>27849</v>
      </c>
      <c r="K297">
        <v>13</v>
      </c>
      <c r="M297" s="4" t="s">
        <v>1262</v>
      </c>
      <c r="N297" t="s">
        <v>20</v>
      </c>
    </row>
    <row r="298" spans="1:14" x14ac:dyDescent="0.25">
      <c r="A298">
        <v>390</v>
      </c>
      <c r="B298">
        <v>1</v>
      </c>
      <c r="C298">
        <v>2</v>
      </c>
      <c r="D298" t="s">
        <v>535</v>
      </c>
      <c r="E298" s="4">
        <v>21</v>
      </c>
      <c r="F298" t="s">
        <v>14</v>
      </c>
      <c r="G298">
        <v>17</v>
      </c>
      <c r="H298">
        <v>0</v>
      </c>
      <c r="I298">
        <v>0</v>
      </c>
      <c r="J298" t="s">
        <v>536</v>
      </c>
      <c r="K298">
        <v>12</v>
      </c>
      <c r="M298" s="4" t="s">
        <v>1262</v>
      </c>
      <c r="N298" t="s">
        <v>17</v>
      </c>
    </row>
    <row r="299" spans="1:14" x14ac:dyDescent="0.25">
      <c r="A299">
        <v>398</v>
      </c>
      <c r="B299">
        <v>0</v>
      </c>
      <c r="C299">
        <v>2</v>
      </c>
      <c r="D299" t="s">
        <v>537</v>
      </c>
      <c r="E299" s="4">
        <v>23</v>
      </c>
      <c r="F299" t="s">
        <v>24</v>
      </c>
      <c r="G299">
        <v>46</v>
      </c>
      <c r="H299">
        <v>0</v>
      </c>
      <c r="I299">
        <v>0</v>
      </c>
      <c r="J299">
        <v>28403</v>
      </c>
      <c r="K299">
        <v>26</v>
      </c>
      <c r="M299" s="4" t="s">
        <v>1262</v>
      </c>
      <c r="N299" t="s">
        <v>20</v>
      </c>
    </row>
    <row r="300" spans="1:14" x14ac:dyDescent="0.25">
      <c r="A300">
        <v>399</v>
      </c>
      <c r="B300">
        <v>0</v>
      </c>
      <c r="C300">
        <v>2</v>
      </c>
      <c r="D300" t="s">
        <v>538</v>
      </c>
      <c r="E300" s="4">
        <v>16</v>
      </c>
      <c r="F300" t="s">
        <v>24</v>
      </c>
      <c r="G300">
        <v>23</v>
      </c>
      <c r="H300">
        <v>0</v>
      </c>
      <c r="I300">
        <v>0</v>
      </c>
      <c r="J300">
        <v>244278</v>
      </c>
      <c r="K300">
        <v>10.5</v>
      </c>
      <c r="M300" s="4" t="s">
        <v>1262</v>
      </c>
      <c r="N300" t="s">
        <v>20</v>
      </c>
    </row>
    <row r="301" spans="1:14" x14ac:dyDescent="0.25">
      <c r="A301">
        <v>400</v>
      </c>
      <c r="B301">
        <v>1</v>
      </c>
      <c r="C301">
        <v>2</v>
      </c>
      <c r="D301" t="s">
        <v>539</v>
      </c>
      <c r="E301" s="4">
        <v>32</v>
      </c>
      <c r="F301" t="s">
        <v>14</v>
      </c>
      <c r="G301">
        <v>28</v>
      </c>
      <c r="H301">
        <v>0</v>
      </c>
      <c r="I301">
        <v>0</v>
      </c>
      <c r="J301">
        <v>240929</v>
      </c>
      <c r="K301">
        <v>12.65</v>
      </c>
      <c r="M301" s="4" t="s">
        <v>1262</v>
      </c>
      <c r="N301" t="s">
        <v>20</v>
      </c>
    </row>
    <row r="302" spans="1:14" x14ac:dyDescent="0.25">
      <c r="A302">
        <v>406</v>
      </c>
      <c r="B302">
        <v>0</v>
      </c>
      <c r="C302">
        <v>2</v>
      </c>
      <c r="D302" t="s">
        <v>540</v>
      </c>
      <c r="E302" s="4">
        <v>18</v>
      </c>
      <c r="F302" t="s">
        <v>24</v>
      </c>
      <c r="G302">
        <v>34</v>
      </c>
      <c r="H302">
        <v>1</v>
      </c>
      <c r="I302">
        <v>0</v>
      </c>
      <c r="J302">
        <v>28664</v>
      </c>
      <c r="K302">
        <v>21</v>
      </c>
      <c r="M302" s="4" t="s">
        <v>1262</v>
      </c>
      <c r="N302" t="s">
        <v>20</v>
      </c>
    </row>
    <row r="303" spans="1:14" x14ac:dyDescent="0.25">
      <c r="A303">
        <v>408</v>
      </c>
      <c r="B303">
        <v>1</v>
      </c>
      <c r="C303">
        <v>2</v>
      </c>
      <c r="D303" t="s">
        <v>541</v>
      </c>
      <c r="E303" s="4">
        <v>30</v>
      </c>
      <c r="F303" t="s">
        <v>24</v>
      </c>
      <c r="G303">
        <v>3</v>
      </c>
      <c r="H303">
        <v>1</v>
      </c>
      <c r="I303">
        <v>1</v>
      </c>
      <c r="J303">
        <v>29106</v>
      </c>
      <c r="K303">
        <v>18.75</v>
      </c>
      <c r="M303" s="4" t="s">
        <v>1262</v>
      </c>
      <c r="N303" t="s">
        <v>20</v>
      </c>
    </row>
    <row r="304" spans="1:14" x14ac:dyDescent="0.25">
      <c r="A304">
        <v>417</v>
      </c>
      <c r="B304">
        <v>1</v>
      </c>
      <c r="C304">
        <v>2</v>
      </c>
      <c r="D304" t="s">
        <v>542</v>
      </c>
      <c r="E304" s="4">
        <v>47</v>
      </c>
      <c r="F304" t="s">
        <v>14</v>
      </c>
      <c r="G304">
        <v>34</v>
      </c>
      <c r="H304">
        <v>1</v>
      </c>
      <c r="I304">
        <v>1</v>
      </c>
      <c r="J304">
        <v>28220</v>
      </c>
      <c r="K304">
        <v>32.5</v>
      </c>
      <c r="M304" s="4" t="s">
        <v>1262</v>
      </c>
      <c r="N304" t="s">
        <v>20</v>
      </c>
    </row>
    <row r="305" spans="1:14" x14ac:dyDescent="0.25">
      <c r="A305">
        <v>418</v>
      </c>
      <c r="B305">
        <v>1</v>
      </c>
      <c r="C305">
        <v>2</v>
      </c>
      <c r="D305" t="s">
        <v>543</v>
      </c>
      <c r="E305" s="4">
        <v>29</v>
      </c>
      <c r="F305" t="s">
        <v>14</v>
      </c>
      <c r="G305">
        <v>18</v>
      </c>
      <c r="H305">
        <v>0</v>
      </c>
      <c r="I305">
        <v>2</v>
      </c>
      <c r="J305">
        <v>250652</v>
      </c>
      <c r="K305">
        <v>13</v>
      </c>
      <c r="M305" s="4" t="s">
        <v>1262</v>
      </c>
      <c r="N305" t="s">
        <v>20</v>
      </c>
    </row>
    <row r="306" spans="1:14" x14ac:dyDescent="0.25">
      <c r="A306">
        <v>419</v>
      </c>
      <c r="B306">
        <v>0</v>
      </c>
      <c r="C306">
        <v>2</v>
      </c>
      <c r="D306" t="s">
        <v>544</v>
      </c>
      <c r="E306" s="4">
        <v>26</v>
      </c>
      <c r="F306" t="s">
        <v>24</v>
      </c>
      <c r="G306">
        <v>30</v>
      </c>
      <c r="H306">
        <v>0</v>
      </c>
      <c r="I306">
        <v>0</v>
      </c>
      <c r="J306">
        <v>28228</v>
      </c>
      <c r="K306">
        <v>13</v>
      </c>
      <c r="M306" s="4" t="s">
        <v>1262</v>
      </c>
      <c r="N306" t="s">
        <v>20</v>
      </c>
    </row>
    <row r="307" spans="1:14" x14ac:dyDescent="0.25">
      <c r="A307">
        <v>427</v>
      </c>
      <c r="B307">
        <v>1</v>
      </c>
      <c r="C307">
        <v>2</v>
      </c>
      <c r="D307" t="s">
        <v>545</v>
      </c>
      <c r="E307" s="4">
        <v>43</v>
      </c>
      <c r="F307" t="s">
        <v>14</v>
      </c>
      <c r="G307">
        <v>28</v>
      </c>
      <c r="H307">
        <v>1</v>
      </c>
      <c r="I307">
        <v>0</v>
      </c>
      <c r="J307">
        <v>2003</v>
      </c>
      <c r="K307">
        <v>26</v>
      </c>
      <c r="M307" s="4" t="s">
        <v>1262</v>
      </c>
      <c r="N307" t="s">
        <v>20</v>
      </c>
    </row>
    <row r="308" spans="1:14" x14ac:dyDescent="0.25">
      <c r="A308">
        <v>428</v>
      </c>
      <c r="B308">
        <v>1</v>
      </c>
      <c r="C308">
        <v>2</v>
      </c>
      <c r="D308" t="s">
        <v>546</v>
      </c>
      <c r="E308" s="4">
        <v>67</v>
      </c>
      <c r="F308" t="s">
        <v>14</v>
      </c>
      <c r="G308">
        <v>19</v>
      </c>
      <c r="H308">
        <v>0</v>
      </c>
      <c r="I308">
        <v>0</v>
      </c>
      <c r="J308">
        <v>250655</v>
      </c>
      <c r="K308">
        <v>26</v>
      </c>
      <c r="M308" s="4" t="s">
        <v>1262</v>
      </c>
      <c r="N308" t="s">
        <v>20</v>
      </c>
    </row>
    <row r="309" spans="1:14" x14ac:dyDescent="0.25">
      <c r="A309">
        <v>433</v>
      </c>
      <c r="B309">
        <v>1</v>
      </c>
      <c r="C309">
        <v>2</v>
      </c>
      <c r="D309" t="s">
        <v>547</v>
      </c>
      <c r="E309" s="4">
        <v>51</v>
      </c>
      <c r="F309" t="s">
        <v>14</v>
      </c>
      <c r="G309">
        <v>42</v>
      </c>
      <c r="H309">
        <v>1</v>
      </c>
      <c r="I309">
        <v>0</v>
      </c>
      <c r="J309" t="s">
        <v>548</v>
      </c>
      <c r="K309">
        <v>26</v>
      </c>
      <c r="M309" s="4" t="s">
        <v>1262</v>
      </c>
      <c r="N309" t="s">
        <v>20</v>
      </c>
    </row>
    <row r="310" spans="1:14" x14ac:dyDescent="0.25">
      <c r="A310">
        <v>438</v>
      </c>
      <c r="B310">
        <v>1</v>
      </c>
      <c r="C310">
        <v>2</v>
      </c>
      <c r="D310" t="s">
        <v>549</v>
      </c>
      <c r="E310" s="4">
        <v>37</v>
      </c>
      <c r="F310" t="s">
        <v>14</v>
      </c>
      <c r="G310">
        <v>24</v>
      </c>
      <c r="H310">
        <v>2</v>
      </c>
      <c r="I310">
        <v>3</v>
      </c>
      <c r="J310">
        <v>29106</v>
      </c>
      <c r="K310">
        <v>18.75</v>
      </c>
      <c r="M310" s="4" t="s">
        <v>1262</v>
      </c>
      <c r="N310" t="s">
        <v>20</v>
      </c>
    </row>
    <row r="311" spans="1:14" x14ac:dyDescent="0.25">
      <c r="A311">
        <v>440</v>
      </c>
      <c r="B311">
        <v>0</v>
      </c>
      <c r="C311">
        <v>2</v>
      </c>
      <c r="D311" t="s">
        <v>550</v>
      </c>
      <c r="E311" s="4">
        <v>38</v>
      </c>
      <c r="F311" t="s">
        <v>24</v>
      </c>
      <c r="G311">
        <v>31</v>
      </c>
      <c r="H311">
        <v>0</v>
      </c>
      <c r="I311">
        <v>0</v>
      </c>
      <c r="J311" t="s">
        <v>551</v>
      </c>
      <c r="K311">
        <v>10.5</v>
      </c>
      <c r="M311" s="4" t="s">
        <v>1262</v>
      </c>
      <c r="N311" t="s">
        <v>20</v>
      </c>
    </row>
    <row r="312" spans="1:14" x14ac:dyDescent="0.25">
      <c r="A312">
        <v>441</v>
      </c>
      <c r="B312">
        <v>1</v>
      </c>
      <c r="C312">
        <v>2</v>
      </c>
      <c r="D312" t="s">
        <v>552</v>
      </c>
      <c r="E312" s="4">
        <v>43</v>
      </c>
      <c r="F312" t="s">
        <v>14</v>
      </c>
      <c r="G312">
        <v>45</v>
      </c>
      <c r="H312">
        <v>1</v>
      </c>
      <c r="I312">
        <v>1</v>
      </c>
      <c r="J312" t="s">
        <v>512</v>
      </c>
      <c r="K312">
        <v>26.25</v>
      </c>
      <c r="M312" s="4" t="s">
        <v>1262</v>
      </c>
      <c r="N312" t="s">
        <v>20</v>
      </c>
    </row>
    <row r="313" spans="1:14" x14ac:dyDescent="0.25">
      <c r="A313">
        <v>444</v>
      </c>
      <c r="B313">
        <v>1</v>
      </c>
      <c r="C313">
        <v>2</v>
      </c>
      <c r="D313" t="s">
        <v>553</v>
      </c>
      <c r="E313" s="4">
        <v>25</v>
      </c>
      <c r="F313" t="s">
        <v>14</v>
      </c>
      <c r="G313">
        <v>28</v>
      </c>
      <c r="H313">
        <v>0</v>
      </c>
      <c r="I313">
        <v>0</v>
      </c>
      <c r="J313">
        <v>230434</v>
      </c>
      <c r="K313">
        <v>13</v>
      </c>
      <c r="M313" s="4" t="s">
        <v>1262</v>
      </c>
      <c r="N313" t="s">
        <v>20</v>
      </c>
    </row>
    <row r="314" spans="1:14" x14ac:dyDescent="0.25">
      <c r="A314">
        <v>447</v>
      </c>
      <c r="B314">
        <v>1</v>
      </c>
      <c r="C314">
        <v>2</v>
      </c>
      <c r="D314" t="s">
        <v>554</v>
      </c>
      <c r="E314" s="4">
        <v>33</v>
      </c>
      <c r="F314" t="s">
        <v>14</v>
      </c>
      <c r="G314">
        <v>13</v>
      </c>
      <c r="H314">
        <v>0</v>
      </c>
      <c r="I314">
        <v>1</v>
      </c>
      <c r="J314">
        <v>250644</v>
      </c>
      <c r="K314">
        <v>19.5</v>
      </c>
      <c r="M314" s="4" t="s">
        <v>1262</v>
      </c>
      <c r="N314" t="s">
        <v>20</v>
      </c>
    </row>
    <row r="315" spans="1:14" x14ac:dyDescent="0.25">
      <c r="A315">
        <v>451</v>
      </c>
      <c r="B315">
        <v>0</v>
      </c>
      <c r="C315">
        <v>2</v>
      </c>
      <c r="D315" t="s">
        <v>555</v>
      </c>
      <c r="E315" s="4">
        <v>21</v>
      </c>
      <c r="F315" t="s">
        <v>24</v>
      </c>
      <c r="G315">
        <v>36</v>
      </c>
      <c r="H315">
        <v>1</v>
      </c>
      <c r="I315">
        <v>2</v>
      </c>
      <c r="J315" t="s">
        <v>437</v>
      </c>
      <c r="K315">
        <v>27.75</v>
      </c>
      <c r="M315" s="4" t="s">
        <v>1262</v>
      </c>
      <c r="N315" t="s">
        <v>20</v>
      </c>
    </row>
    <row r="316" spans="1:14" x14ac:dyDescent="0.25">
      <c r="A316">
        <v>459</v>
      </c>
      <c r="B316">
        <v>1</v>
      </c>
      <c r="C316">
        <v>2</v>
      </c>
      <c r="D316" t="s">
        <v>556</v>
      </c>
      <c r="E316" s="4">
        <v>19</v>
      </c>
      <c r="F316" t="s">
        <v>14</v>
      </c>
      <c r="G316">
        <v>50</v>
      </c>
      <c r="H316">
        <v>0</v>
      </c>
      <c r="I316">
        <v>0</v>
      </c>
      <c r="J316" t="s">
        <v>557</v>
      </c>
      <c r="K316">
        <v>10.5</v>
      </c>
      <c r="M316" s="4" t="s">
        <v>1262</v>
      </c>
      <c r="N316" t="s">
        <v>20</v>
      </c>
    </row>
    <row r="317" spans="1:14" x14ac:dyDescent="0.25">
      <c r="A317">
        <v>464</v>
      </c>
      <c r="B317">
        <v>0</v>
      </c>
      <c r="C317">
        <v>2</v>
      </c>
      <c r="D317" t="s">
        <v>558</v>
      </c>
      <c r="E317" s="4">
        <v>28</v>
      </c>
      <c r="F317" t="s">
        <v>24</v>
      </c>
      <c r="G317">
        <v>48</v>
      </c>
      <c r="H317">
        <v>0</v>
      </c>
      <c r="I317">
        <v>0</v>
      </c>
      <c r="J317">
        <v>234360</v>
      </c>
      <c r="K317">
        <v>13</v>
      </c>
      <c r="M317" s="4" t="s">
        <v>1262</v>
      </c>
      <c r="N317" t="s">
        <v>20</v>
      </c>
    </row>
    <row r="318" spans="1:14" x14ac:dyDescent="0.25">
      <c r="A318">
        <v>473</v>
      </c>
      <c r="B318">
        <v>1</v>
      </c>
      <c r="C318">
        <v>2</v>
      </c>
      <c r="D318" t="s">
        <v>559</v>
      </c>
      <c r="E318" s="4">
        <v>39</v>
      </c>
      <c r="F318" t="s">
        <v>14</v>
      </c>
      <c r="G318">
        <v>33</v>
      </c>
      <c r="H318">
        <v>1</v>
      </c>
      <c r="I318">
        <v>2</v>
      </c>
      <c r="J318" t="s">
        <v>437</v>
      </c>
      <c r="K318">
        <v>27.75</v>
      </c>
      <c r="M318" s="4" t="s">
        <v>1262</v>
      </c>
      <c r="N318" t="s">
        <v>20</v>
      </c>
    </row>
    <row r="319" spans="1:14" x14ac:dyDescent="0.25">
      <c r="A319">
        <v>474</v>
      </c>
      <c r="B319">
        <v>1</v>
      </c>
      <c r="C319">
        <v>2</v>
      </c>
      <c r="D319" t="s">
        <v>560</v>
      </c>
      <c r="E319" s="4">
        <v>44</v>
      </c>
      <c r="F319" t="s">
        <v>14</v>
      </c>
      <c r="G319">
        <v>23</v>
      </c>
      <c r="H319">
        <v>0</v>
      </c>
      <c r="I319">
        <v>0</v>
      </c>
      <c r="J319" t="s">
        <v>561</v>
      </c>
      <c r="K319">
        <v>13.791700000000001</v>
      </c>
      <c r="L319" t="s">
        <v>62</v>
      </c>
      <c r="M319" s="4" t="s">
        <v>62</v>
      </c>
      <c r="N319" t="s">
        <v>17</v>
      </c>
    </row>
    <row r="320" spans="1:14" x14ac:dyDescent="0.25">
      <c r="A320">
        <v>477</v>
      </c>
      <c r="B320">
        <v>0</v>
      </c>
      <c r="C320">
        <v>2</v>
      </c>
      <c r="D320" t="s">
        <v>562</v>
      </c>
      <c r="E320" s="4">
        <v>23</v>
      </c>
      <c r="F320" t="s">
        <v>24</v>
      </c>
      <c r="G320">
        <v>34</v>
      </c>
      <c r="H320">
        <v>1</v>
      </c>
      <c r="I320">
        <v>0</v>
      </c>
      <c r="J320">
        <v>31027</v>
      </c>
      <c r="K320">
        <v>21</v>
      </c>
      <c r="M320" s="4" t="s">
        <v>1262</v>
      </c>
      <c r="N320" t="s">
        <v>20</v>
      </c>
    </row>
    <row r="321" spans="1:14" x14ac:dyDescent="0.25">
      <c r="A321">
        <v>507</v>
      </c>
      <c r="B321">
        <v>1</v>
      </c>
      <c r="C321">
        <v>2</v>
      </c>
      <c r="D321" t="s">
        <v>563</v>
      </c>
      <c r="E321" s="4">
        <v>45</v>
      </c>
      <c r="F321" t="s">
        <v>14</v>
      </c>
      <c r="G321">
        <v>33</v>
      </c>
      <c r="H321">
        <v>0</v>
      </c>
      <c r="I321">
        <v>2</v>
      </c>
      <c r="J321">
        <v>26360</v>
      </c>
      <c r="K321">
        <v>26</v>
      </c>
      <c r="M321" s="4" t="s">
        <v>1262</v>
      </c>
      <c r="N321" t="s">
        <v>20</v>
      </c>
    </row>
    <row r="322" spans="1:14" x14ac:dyDescent="0.25">
      <c r="A322">
        <v>517</v>
      </c>
      <c r="B322">
        <v>1</v>
      </c>
      <c r="C322">
        <v>2</v>
      </c>
      <c r="D322" t="s">
        <v>564</v>
      </c>
      <c r="E322" s="4">
        <v>28</v>
      </c>
      <c r="F322" t="s">
        <v>14</v>
      </c>
      <c r="G322">
        <v>34</v>
      </c>
      <c r="H322">
        <v>0</v>
      </c>
      <c r="I322">
        <v>0</v>
      </c>
      <c r="J322" t="s">
        <v>565</v>
      </c>
      <c r="K322">
        <v>10.5</v>
      </c>
      <c r="L322" t="s">
        <v>440</v>
      </c>
      <c r="M322" s="4" t="s">
        <v>185</v>
      </c>
      <c r="N322" t="s">
        <v>20</v>
      </c>
    </row>
    <row r="323" spans="1:14" x14ac:dyDescent="0.25">
      <c r="A323">
        <v>519</v>
      </c>
      <c r="B323">
        <v>1</v>
      </c>
      <c r="C323">
        <v>2</v>
      </c>
      <c r="D323" t="s">
        <v>566</v>
      </c>
      <c r="E323" s="4">
        <v>52</v>
      </c>
      <c r="F323" t="s">
        <v>14</v>
      </c>
      <c r="G323">
        <v>36</v>
      </c>
      <c r="H323">
        <v>1</v>
      </c>
      <c r="I323">
        <v>0</v>
      </c>
      <c r="J323">
        <v>226875</v>
      </c>
      <c r="K323">
        <v>26</v>
      </c>
      <c r="M323" s="4" t="s">
        <v>1262</v>
      </c>
      <c r="N323" t="s">
        <v>20</v>
      </c>
    </row>
    <row r="324" spans="1:14" x14ac:dyDescent="0.25">
      <c r="A324">
        <v>527</v>
      </c>
      <c r="B324">
        <v>1</v>
      </c>
      <c r="C324">
        <v>2</v>
      </c>
      <c r="D324" t="s">
        <v>567</v>
      </c>
      <c r="E324" s="4">
        <v>20</v>
      </c>
      <c r="F324" t="s">
        <v>14</v>
      </c>
      <c r="G324">
        <v>50</v>
      </c>
      <c r="H324">
        <v>0</v>
      </c>
      <c r="I324">
        <v>0</v>
      </c>
      <c r="J324" t="s">
        <v>568</v>
      </c>
      <c r="K324">
        <v>10.5</v>
      </c>
      <c r="M324" s="4" t="s">
        <v>1262</v>
      </c>
      <c r="N324" t="s">
        <v>20</v>
      </c>
    </row>
    <row r="325" spans="1:14" x14ac:dyDescent="0.25">
      <c r="A325">
        <v>530</v>
      </c>
      <c r="B325">
        <v>0</v>
      </c>
      <c r="C325">
        <v>2</v>
      </c>
      <c r="D325" t="s">
        <v>569</v>
      </c>
      <c r="E325" s="4">
        <v>27</v>
      </c>
      <c r="F325" t="s">
        <v>24</v>
      </c>
      <c r="G325">
        <v>23</v>
      </c>
      <c r="H325">
        <v>2</v>
      </c>
      <c r="I325">
        <v>1</v>
      </c>
      <c r="J325">
        <v>29104</v>
      </c>
      <c r="K325">
        <v>11.5</v>
      </c>
      <c r="M325" s="4" t="s">
        <v>1262</v>
      </c>
      <c r="N325" t="s">
        <v>20</v>
      </c>
    </row>
    <row r="326" spans="1:14" x14ac:dyDescent="0.25">
      <c r="A326">
        <v>531</v>
      </c>
      <c r="B326">
        <v>1</v>
      </c>
      <c r="C326">
        <v>2</v>
      </c>
      <c r="D326" t="s">
        <v>570</v>
      </c>
      <c r="E326" s="4">
        <v>24</v>
      </c>
      <c r="F326" t="s">
        <v>14</v>
      </c>
      <c r="G326">
        <v>2</v>
      </c>
      <c r="H326">
        <v>1</v>
      </c>
      <c r="I326">
        <v>1</v>
      </c>
      <c r="J326">
        <v>26360</v>
      </c>
      <c r="K326">
        <v>26</v>
      </c>
      <c r="M326" s="4" t="s">
        <v>1262</v>
      </c>
      <c r="N326" t="s">
        <v>20</v>
      </c>
    </row>
    <row r="327" spans="1:14" x14ac:dyDescent="0.25">
      <c r="A327">
        <v>536</v>
      </c>
      <c r="B327">
        <v>1</v>
      </c>
      <c r="C327">
        <v>2</v>
      </c>
      <c r="D327" t="s">
        <v>571</v>
      </c>
      <c r="E327" s="4">
        <v>22</v>
      </c>
      <c r="F327" t="s">
        <v>14</v>
      </c>
      <c r="G327">
        <v>7</v>
      </c>
      <c r="H327">
        <v>0</v>
      </c>
      <c r="I327">
        <v>2</v>
      </c>
      <c r="J327" t="s">
        <v>512</v>
      </c>
      <c r="K327">
        <v>26.25</v>
      </c>
      <c r="M327" s="4" t="s">
        <v>1262</v>
      </c>
      <c r="N327" t="s">
        <v>20</v>
      </c>
    </row>
    <row r="328" spans="1:14" x14ac:dyDescent="0.25">
      <c r="A328">
        <v>544</v>
      </c>
      <c r="B328">
        <v>1</v>
      </c>
      <c r="C328">
        <v>2</v>
      </c>
      <c r="D328" t="s">
        <v>572</v>
      </c>
      <c r="E328" s="4">
        <v>17</v>
      </c>
      <c r="F328" t="s">
        <v>24</v>
      </c>
      <c r="G328">
        <v>32</v>
      </c>
      <c r="H328">
        <v>1</v>
      </c>
      <c r="I328">
        <v>0</v>
      </c>
      <c r="J328">
        <v>2908</v>
      </c>
      <c r="K328">
        <v>26</v>
      </c>
      <c r="M328" s="4" t="s">
        <v>1262</v>
      </c>
      <c r="N328" t="s">
        <v>20</v>
      </c>
    </row>
    <row r="329" spans="1:14" x14ac:dyDescent="0.25">
      <c r="A329">
        <v>547</v>
      </c>
      <c r="B329">
        <v>1</v>
      </c>
      <c r="C329">
        <v>2</v>
      </c>
      <c r="D329" t="s">
        <v>573</v>
      </c>
      <c r="E329" s="4">
        <v>33</v>
      </c>
      <c r="F329" t="s">
        <v>14</v>
      </c>
      <c r="G329">
        <v>19</v>
      </c>
      <c r="H329">
        <v>1</v>
      </c>
      <c r="I329">
        <v>0</v>
      </c>
      <c r="J329">
        <v>2908</v>
      </c>
      <c r="K329">
        <v>26</v>
      </c>
      <c r="M329" s="4" t="s">
        <v>1262</v>
      </c>
      <c r="N329" t="s">
        <v>20</v>
      </c>
    </row>
    <row r="330" spans="1:14" x14ac:dyDescent="0.25">
      <c r="A330">
        <v>550</v>
      </c>
      <c r="B330">
        <v>1</v>
      </c>
      <c r="C330">
        <v>2</v>
      </c>
      <c r="D330" t="s">
        <v>574</v>
      </c>
      <c r="E330" s="4">
        <v>30</v>
      </c>
      <c r="F330" t="s">
        <v>24</v>
      </c>
      <c r="G330">
        <v>8</v>
      </c>
      <c r="H330">
        <v>1</v>
      </c>
      <c r="I330">
        <v>1</v>
      </c>
      <c r="J330" t="s">
        <v>463</v>
      </c>
      <c r="K330">
        <v>36.75</v>
      </c>
      <c r="M330" s="4" t="s">
        <v>1262</v>
      </c>
      <c r="N330" t="s">
        <v>20</v>
      </c>
    </row>
    <row r="331" spans="1:14" x14ac:dyDescent="0.25">
      <c r="A331">
        <v>552</v>
      </c>
      <c r="B331">
        <v>0</v>
      </c>
      <c r="C331">
        <v>2</v>
      </c>
      <c r="D331" t="s">
        <v>575</v>
      </c>
      <c r="E331" s="4">
        <v>27</v>
      </c>
      <c r="F331" t="s">
        <v>24</v>
      </c>
      <c r="G331">
        <v>27</v>
      </c>
      <c r="H331">
        <v>0</v>
      </c>
      <c r="I331">
        <v>0</v>
      </c>
      <c r="J331">
        <v>244358</v>
      </c>
      <c r="K331">
        <v>26</v>
      </c>
      <c r="M331" s="4" t="s">
        <v>1262</v>
      </c>
      <c r="N331" t="s">
        <v>20</v>
      </c>
    </row>
    <row r="332" spans="1:14" x14ac:dyDescent="0.25">
      <c r="A332">
        <v>563</v>
      </c>
      <c r="B332">
        <v>0</v>
      </c>
      <c r="C332">
        <v>2</v>
      </c>
      <c r="D332" t="s">
        <v>576</v>
      </c>
      <c r="E332" s="4">
        <v>26</v>
      </c>
      <c r="F332" t="s">
        <v>24</v>
      </c>
      <c r="G332">
        <v>28</v>
      </c>
      <c r="H332">
        <v>0</v>
      </c>
      <c r="I332">
        <v>0</v>
      </c>
      <c r="J332">
        <v>218629</v>
      </c>
      <c r="K332">
        <v>13.5</v>
      </c>
      <c r="M332" s="4" t="s">
        <v>1262</v>
      </c>
      <c r="N332" t="s">
        <v>20</v>
      </c>
    </row>
    <row r="333" spans="1:14" x14ac:dyDescent="0.25">
      <c r="A333">
        <v>571</v>
      </c>
      <c r="B333">
        <v>1</v>
      </c>
      <c r="C333">
        <v>2</v>
      </c>
      <c r="D333" t="s">
        <v>577</v>
      </c>
      <c r="E333" s="4">
        <v>18</v>
      </c>
      <c r="F333" t="s">
        <v>24</v>
      </c>
      <c r="G333">
        <v>62</v>
      </c>
      <c r="H333">
        <v>0</v>
      </c>
      <c r="I333">
        <v>0</v>
      </c>
      <c r="J333" t="s">
        <v>578</v>
      </c>
      <c r="K333">
        <v>10.5</v>
      </c>
      <c r="M333" s="4" t="s">
        <v>1262</v>
      </c>
      <c r="N333" t="s">
        <v>20</v>
      </c>
    </row>
    <row r="334" spans="1:14" x14ac:dyDescent="0.25">
      <c r="A334">
        <v>577</v>
      </c>
      <c r="B334">
        <v>1</v>
      </c>
      <c r="C334">
        <v>2</v>
      </c>
      <c r="D334" t="s">
        <v>579</v>
      </c>
      <c r="E334" s="4">
        <v>20</v>
      </c>
      <c r="F334" t="s">
        <v>14</v>
      </c>
      <c r="G334">
        <v>34</v>
      </c>
      <c r="H334">
        <v>0</v>
      </c>
      <c r="I334">
        <v>0</v>
      </c>
      <c r="J334">
        <v>243880</v>
      </c>
      <c r="K334">
        <v>13</v>
      </c>
      <c r="M334" s="4" t="s">
        <v>1262</v>
      </c>
      <c r="N334" t="s">
        <v>20</v>
      </c>
    </row>
    <row r="335" spans="1:14" x14ac:dyDescent="0.25">
      <c r="A335">
        <v>581</v>
      </c>
      <c r="B335">
        <v>1</v>
      </c>
      <c r="C335">
        <v>2</v>
      </c>
      <c r="D335" t="s">
        <v>580</v>
      </c>
      <c r="E335" s="4">
        <v>27</v>
      </c>
      <c r="F335" t="s">
        <v>14</v>
      </c>
      <c r="G335">
        <v>25</v>
      </c>
      <c r="H335">
        <v>1</v>
      </c>
      <c r="I335">
        <v>1</v>
      </c>
      <c r="J335">
        <v>237789</v>
      </c>
      <c r="K335">
        <v>30</v>
      </c>
      <c r="M335" s="4" t="s">
        <v>1262</v>
      </c>
      <c r="N335" t="s">
        <v>20</v>
      </c>
    </row>
    <row r="336" spans="1:14" x14ac:dyDescent="0.25">
      <c r="A336">
        <v>583</v>
      </c>
      <c r="B336">
        <v>0</v>
      </c>
      <c r="C336">
        <v>2</v>
      </c>
      <c r="D336" t="s">
        <v>581</v>
      </c>
      <c r="E336" s="4">
        <v>26</v>
      </c>
      <c r="F336" t="s">
        <v>24</v>
      </c>
      <c r="G336">
        <v>54</v>
      </c>
      <c r="H336">
        <v>0</v>
      </c>
      <c r="I336">
        <v>0</v>
      </c>
      <c r="J336">
        <v>28403</v>
      </c>
      <c r="K336">
        <v>26</v>
      </c>
      <c r="M336" s="4" t="s">
        <v>1262</v>
      </c>
      <c r="N336" t="s">
        <v>20</v>
      </c>
    </row>
    <row r="337" spans="1:14" x14ac:dyDescent="0.25">
      <c r="A337">
        <v>587</v>
      </c>
      <c r="B337">
        <v>0</v>
      </c>
      <c r="C337">
        <v>2</v>
      </c>
      <c r="D337" t="s">
        <v>582</v>
      </c>
      <c r="E337" s="4">
        <v>23</v>
      </c>
      <c r="F337" t="s">
        <v>24</v>
      </c>
      <c r="G337">
        <v>47</v>
      </c>
      <c r="H337">
        <v>0</v>
      </c>
      <c r="I337">
        <v>0</v>
      </c>
      <c r="J337">
        <v>237565</v>
      </c>
      <c r="K337">
        <v>15</v>
      </c>
      <c r="M337" s="4" t="s">
        <v>1262</v>
      </c>
      <c r="N337" t="s">
        <v>20</v>
      </c>
    </row>
    <row r="338" spans="1:14" x14ac:dyDescent="0.25">
      <c r="A338">
        <v>595</v>
      </c>
      <c r="B338">
        <v>0</v>
      </c>
      <c r="C338">
        <v>2</v>
      </c>
      <c r="D338" t="s">
        <v>583</v>
      </c>
      <c r="E338" s="4">
        <v>23</v>
      </c>
      <c r="F338" t="s">
        <v>24</v>
      </c>
      <c r="G338">
        <v>37</v>
      </c>
      <c r="H338">
        <v>1</v>
      </c>
      <c r="I338">
        <v>0</v>
      </c>
      <c r="J338" t="s">
        <v>584</v>
      </c>
      <c r="K338">
        <v>26</v>
      </c>
      <c r="M338" s="4" t="s">
        <v>1262</v>
      </c>
      <c r="N338" t="s">
        <v>20</v>
      </c>
    </row>
    <row r="339" spans="1:14" x14ac:dyDescent="0.25">
      <c r="A339">
        <v>601</v>
      </c>
      <c r="B339">
        <v>1</v>
      </c>
      <c r="C339">
        <v>2</v>
      </c>
      <c r="D339" t="s">
        <v>585</v>
      </c>
      <c r="E339" s="4">
        <v>51</v>
      </c>
      <c r="F339" t="s">
        <v>14</v>
      </c>
      <c r="G339">
        <v>24</v>
      </c>
      <c r="H339">
        <v>2</v>
      </c>
      <c r="I339">
        <v>1</v>
      </c>
      <c r="J339">
        <v>243847</v>
      </c>
      <c r="K339">
        <v>27</v>
      </c>
      <c r="M339" s="4" t="s">
        <v>1262</v>
      </c>
      <c r="N339" t="s">
        <v>20</v>
      </c>
    </row>
    <row r="340" spans="1:14" x14ac:dyDescent="0.25">
      <c r="A340">
        <v>609</v>
      </c>
      <c r="B340">
        <v>1</v>
      </c>
      <c r="C340">
        <v>2</v>
      </c>
      <c r="D340" t="s">
        <v>586</v>
      </c>
      <c r="E340" s="4">
        <v>53</v>
      </c>
      <c r="F340" t="s">
        <v>14</v>
      </c>
      <c r="G340">
        <v>22</v>
      </c>
      <c r="H340">
        <v>1</v>
      </c>
      <c r="I340">
        <v>2</v>
      </c>
      <c r="J340" t="s">
        <v>432</v>
      </c>
      <c r="K340">
        <v>41.5792</v>
      </c>
      <c r="M340" s="4" t="s">
        <v>1262</v>
      </c>
      <c r="N340" t="s">
        <v>17</v>
      </c>
    </row>
    <row r="341" spans="1:14" x14ac:dyDescent="0.25">
      <c r="A341">
        <v>616</v>
      </c>
      <c r="B341">
        <v>1</v>
      </c>
      <c r="C341">
        <v>2</v>
      </c>
      <c r="D341" t="s">
        <v>587</v>
      </c>
      <c r="E341" s="4">
        <v>19</v>
      </c>
      <c r="F341" t="s">
        <v>14</v>
      </c>
      <c r="G341">
        <v>24</v>
      </c>
      <c r="H341">
        <v>1</v>
      </c>
      <c r="I341">
        <v>2</v>
      </c>
      <c r="J341">
        <v>220845</v>
      </c>
      <c r="K341">
        <v>65</v>
      </c>
      <c r="M341" s="4" t="s">
        <v>1262</v>
      </c>
      <c r="N341" t="s">
        <v>20</v>
      </c>
    </row>
    <row r="342" spans="1:14" x14ac:dyDescent="0.25">
      <c r="A342">
        <v>619</v>
      </c>
      <c r="B342">
        <v>1</v>
      </c>
      <c r="C342">
        <v>2</v>
      </c>
      <c r="D342" t="s">
        <v>588</v>
      </c>
      <c r="E342" s="4">
        <v>27</v>
      </c>
      <c r="F342" t="s">
        <v>14</v>
      </c>
      <c r="G342">
        <v>4</v>
      </c>
      <c r="H342">
        <v>2</v>
      </c>
      <c r="I342">
        <v>1</v>
      </c>
      <c r="J342">
        <v>230136</v>
      </c>
      <c r="K342">
        <v>39</v>
      </c>
      <c r="L342" t="s">
        <v>473</v>
      </c>
      <c r="M342" s="4" t="s">
        <v>185</v>
      </c>
      <c r="N342" t="s">
        <v>20</v>
      </c>
    </row>
    <row r="343" spans="1:14" x14ac:dyDescent="0.25">
      <c r="A343">
        <v>620</v>
      </c>
      <c r="B343">
        <v>0</v>
      </c>
      <c r="C343">
        <v>2</v>
      </c>
      <c r="D343" t="s">
        <v>589</v>
      </c>
      <c r="E343" s="4">
        <v>19</v>
      </c>
      <c r="F343" t="s">
        <v>24</v>
      </c>
      <c r="G343">
        <v>26</v>
      </c>
      <c r="H343">
        <v>0</v>
      </c>
      <c r="I343">
        <v>0</v>
      </c>
      <c r="J343">
        <v>31028</v>
      </c>
      <c r="K343">
        <v>10.5</v>
      </c>
      <c r="M343" s="4" t="s">
        <v>1262</v>
      </c>
      <c r="N343" t="s">
        <v>20</v>
      </c>
    </row>
    <row r="344" spans="1:14" x14ac:dyDescent="0.25">
      <c r="A344">
        <v>627</v>
      </c>
      <c r="B344">
        <v>0</v>
      </c>
      <c r="C344">
        <v>2</v>
      </c>
      <c r="D344" t="s">
        <v>590</v>
      </c>
      <c r="E344" s="4">
        <v>30</v>
      </c>
      <c r="F344" t="s">
        <v>24</v>
      </c>
      <c r="G344">
        <v>57</v>
      </c>
      <c r="H344">
        <v>0</v>
      </c>
      <c r="I344">
        <v>0</v>
      </c>
      <c r="J344">
        <v>219533</v>
      </c>
      <c r="K344">
        <v>12.35</v>
      </c>
      <c r="M344" s="4" t="s">
        <v>1262</v>
      </c>
      <c r="N344" t="s">
        <v>161</v>
      </c>
    </row>
    <row r="345" spans="1:14" x14ac:dyDescent="0.25">
      <c r="A345">
        <v>636</v>
      </c>
      <c r="B345">
        <v>1</v>
      </c>
      <c r="C345">
        <v>2</v>
      </c>
      <c r="D345" t="s">
        <v>591</v>
      </c>
      <c r="E345" s="4">
        <v>17</v>
      </c>
      <c r="F345" t="s">
        <v>14</v>
      </c>
      <c r="G345">
        <v>28</v>
      </c>
      <c r="H345">
        <v>0</v>
      </c>
      <c r="I345">
        <v>0</v>
      </c>
      <c r="J345">
        <v>237668</v>
      </c>
      <c r="K345">
        <v>13</v>
      </c>
      <c r="M345" s="4" t="s">
        <v>1262</v>
      </c>
      <c r="N345" t="s">
        <v>20</v>
      </c>
    </row>
    <row r="346" spans="1:14" x14ac:dyDescent="0.25">
      <c r="A346">
        <v>638</v>
      </c>
      <c r="B346">
        <v>0</v>
      </c>
      <c r="C346">
        <v>2</v>
      </c>
      <c r="D346" t="s">
        <v>592</v>
      </c>
      <c r="E346" s="4">
        <v>19</v>
      </c>
      <c r="F346" t="s">
        <v>24</v>
      </c>
      <c r="G346">
        <v>31</v>
      </c>
      <c r="H346">
        <v>1</v>
      </c>
      <c r="I346">
        <v>1</v>
      </c>
      <c r="J346" t="s">
        <v>493</v>
      </c>
      <c r="K346">
        <v>26.25</v>
      </c>
      <c r="M346" s="4" t="s">
        <v>1262</v>
      </c>
      <c r="N346" t="s">
        <v>20</v>
      </c>
    </row>
    <row r="347" spans="1:14" x14ac:dyDescent="0.25">
      <c r="A347">
        <v>652</v>
      </c>
      <c r="B347">
        <v>1</v>
      </c>
      <c r="C347">
        <v>2</v>
      </c>
      <c r="D347" t="s">
        <v>593</v>
      </c>
      <c r="E347" s="4">
        <v>19</v>
      </c>
      <c r="F347" t="s">
        <v>14</v>
      </c>
      <c r="G347">
        <v>18</v>
      </c>
      <c r="H347">
        <v>0</v>
      </c>
      <c r="I347">
        <v>1</v>
      </c>
      <c r="J347">
        <v>231919</v>
      </c>
      <c r="K347">
        <v>23</v>
      </c>
      <c r="M347" s="4" t="s">
        <v>1262</v>
      </c>
      <c r="N347" t="s">
        <v>20</v>
      </c>
    </row>
    <row r="348" spans="1:14" x14ac:dyDescent="0.25">
      <c r="A348">
        <v>656</v>
      </c>
      <c r="B348">
        <v>0</v>
      </c>
      <c r="C348">
        <v>2</v>
      </c>
      <c r="D348" t="s">
        <v>594</v>
      </c>
      <c r="E348" s="4">
        <v>25</v>
      </c>
      <c r="F348" t="s">
        <v>24</v>
      </c>
      <c r="G348">
        <v>24</v>
      </c>
      <c r="H348">
        <v>2</v>
      </c>
      <c r="I348">
        <v>0</v>
      </c>
      <c r="J348" t="s">
        <v>444</v>
      </c>
      <c r="K348">
        <v>73.5</v>
      </c>
      <c r="M348" s="4" t="s">
        <v>1262</v>
      </c>
      <c r="N348" t="s">
        <v>20</v>
      </c>
    </row>
    <row r="349" spans="1:14" x14ac:dyDescent="0.25">
      <c r="A349">
        <v>659</v>
      </c>
      <c r="B349">
        <v>0</v>
      </c>
      <c r="C349">
        <v>2</v>
      </c>
      <c r="D349" t="s">
        <v>595</v>
      </c>
      <c r="E349" s="4">
        <v>28</v>
      </c>
      <c r="F349" t="s">
        <v>24</v>
      </c>
      <c r="G349">
        <v>23</v>
      </c>
      <c r="H349">
        <v>0</v>
      </c>
      <c r="I349">
        <v>0</v>
      </c>
      <c r="J349">
        <v>29751</v>
      </c>
      <c r="K349">
        <v>13</v>
      </c>
      <c r="M349" s="4" t="s">
        <v>1262</v>
      </c>
      <c r="N349" t="s">
        <v>20</v>
      </c>
    </row>
    <row r="350" spans="1:14" x14ac:dyDescent="0.25">
      <c r="A350">
        <v>666</v>
      </c>
      <c r="B350">
        <v>0</v>
      </c>
      <c r="C350">
        <v>2</v>
      </c>
      <c r="D350" t="s">
        <v>596</v>
      </c>
      <c r="E350" s="4">
        <v>18</v>
      </c>
      <c r="F350" t="s">
        <v>24</v>
      </c>
      <c r="G350">
        <v>32</v>
      </c>
      <c r="H350">
        <v>2</v>
      </c>
      <c r="I350">
        <v>0</v>
      </c>
      <c r="J350" t="s">
        <v>444</v>
      </c>
      <c r="K350">
        <v>73.5</v>
      </c>
      <c r="M350" s="4" t="s">
        <v>1262</v>
      </c>
      <c r="N350" t="s">
        <v>20</v>
      </c>
    </row>
    <row r="351" spans="1:14" x14ac:dyDescent="0.25">
      <c r="A351">
        <v>667</v>
      </c>
      <c r="B351">
        <v>0</v>
      </c>
      <c r="C351">
        <v>2</v>
      </c>
      <c r="D351" t="s">
        <v>597</v>
      </c>
      <c r="E351" s="4">
        <v>27</v>
      </c>
      <c r="F351" t="s">
        <v>24</v>
      </c>
      <c r="G351">
        <v>25</v>
      </c>
      <c r="H351">
        <v>0</v>
      </c>
      <c r="I351">
        <v>0</v>
      </c>
      <c r="J351">
        <v>234686</v>
      </c>
      <c r="K351">
        <v>13</v>
      </c>
      <c r="M351" s="4" t="s">
        <v>1262</v>
      </c>
      <c r="N351" t="s">
        <v>20</v>
      </c>
    </row>
    <row r="352" spans="1:14" x14ac:dyDescent="0.25">
      <c r="A352">
        <v>671</v>
      </c>
      <c r="B352">
        <v>1</v>
      </c>
      <c r="C352">
        <v>2</v>
      </c>
      <c r="D352" t="s">
        <v>598</v>
      </c>
      <c r="E352" s="4">
        <v>61</v>
      </c>
      <c r="F352" t="s">
        <v>14</v>
      </c>
      <c r="G352">
        <v>40</v>
      </c>
      <c r="H352">
        <v>1</v>
      </c>
      <c r="I352">
        <v>1</v>
      </c>
      <c r="J352">
        <v>29750</v>
      </c>
      <c r="K352">
        <v>39</v>
      </c>
      <c r="M352" s="4" t="s">
        <v>1262</v>
      </c>
      <c r="N352" t="s">
        <v>20</v>
      </c>
    </row>
    <row r="353" spans="1:14" x14ac:dyDescent="0.25">
      <c r="A353">
        <v>673</v>
      </c>
      <c r="B353">
        <v>0</v>
      </c>
      <c r="C353">
        <v>2</v>
      </c>
      <c r="D353" t="s">
        <v>599</v>
      </c>
      <c r="E353" s="4">
        <v>27</v>
      </c>
      <c r="F353" t="s">
        <v>24</v>
      </c>
      <c r="G353">
        <v>70</v>
      </c>
      <c r="H353">
        <v>0</v>
      </c>
      <c r="I353">
        <v>0</v>
      </c>
      <c r="J353" t="s">
        <v>600</v>
      </c>
      <c r="K353">
        <v>10.5</v>
      </c>
      <c r="M353" s="4" t="s">
        <v>1262</v>
      </c>
      <c r="N353" t="s">
        <v>20</v>
      </c>
    </row>
    <row r="354" spans="1:14" x14ac:dyDescent="0.25">
      <c r="A354">
        <v>674</v>
      </c>
      <c r="B354">
        <v>1</v>
      </c>
      <c r="C354">
        <v>2</v>
      </c>
      <c r="D354" t="s">
        <v>601</v>
      </c>
      <c r="E354" s="4">
        <v>21</v>
      </c>
      <c r="F354" t="s">
        <v>24</v>
      </c>
      <c r="G354">
        <v>31</v>
      </c>
      <c r="H354">
        <v>0</v>
      </c>
      <c r="I354">
        <v>0</v>
      </c>
      <c r="J354">
        <v>244270</v>
      </c>
      <c r="K354">
        <v>13</v>
      </c>
      <c r="M354" s="4" t="s">
        <v>1262</v>
      </c>
      <c r="N354" t="s">
        <v>20</v>
      </c>
    </row>
    <row r="355" spans="1:14" x14ac:dyDescent="0.25">
      <c r="A355">
        <v>685</v>
      </c>
      <c r="B355">
        <v>0</v>
      </c>
      <c r="C355">
        <v>2</v>
      </c>
      <c r="D355" t="s">
        <v>602</v>
      </c>
      <c r="E355" s="4">
        <v>33</v>
      </c>
      <c r="F355" t="s">
        <v>24</v>
      </c>
      <c r="G355">
        <v>60</v>
      </c>
      <c r="H355">
        <v>1</v>
      </c>
      <c r="I355">
        <v>1</v>
      </c>
      <c r="J355">
        <v>29750</v>
      </c>
      <c r="K355">
        <v>39</v>
      </c>
      <c r="M355" s="4" t="s">
        <v>1262</v>
      </c>
      <c r="N355" t="s">
        <v>20</v>
      </c>
    </row>
    <row r="356" spans="1:14" x14ac:dyDescent="0.25">
      <c r="A356">
        <v>686</v>
      </c>
      <c r="B356">
        <v>0</v>
      </c>
      <c r="C356">
        <v>2</v>
      </c>
      <c r="D356" t="s">
        <v>603</v>
      </c>
      <c r="E356" s="4">
        <v>38</v>
      </c>
      <c r="F356" t="s">
        <v>24</v>
      </c>
      <c r="G356">
        <v>25</v>
      </c>
      <c r="H356">
        <v>1</v>
      </c>
      <c r="I356">
        <v>2</v>
      </c>
      <c r="J356" t="s">
        <v>432</v>
      </c>
      <c r="K356">
        <v>41.5792</v>
      </c>
      <c r="M356" s="4" t="s">
        <v>1262</v>
      </c>
      <c r="N356" t="s">
        <v>17</v>
      </c>
    </row>
    <row r="357" spans="1:14" x14ac:dyDescent="0.25">
      <c r="A357">
        <v>696</v>
      </c>
      <c r="B357">
        <v>0</v>
      </c>
      <c r="C357">
        <v>2</v>
      </c>
      <c r="D357" t="s">
        <v>604</v>
      </c>
      <c r="E357" s="4">
        <v>26</v>
      </c>
      <c r="F357" t="s">
        <v>24</v>
      </c>
      <c r="G357">
        <v>52</v>
      </c>
      <c r="H357">
        <v>0</v>
      </c>
      <c r="I357">
        <v>0</v>
      </c>
      <c r="J357">
        <v>248731</v>
      </c>
      <c r="K357">
        <v>13.5</v>
      </c>
      <c r="M357" s="4" t="s">
        <v>1262</v>
      </c>
      <c r="N357" t="s">
        <v>20</v>
      </c>
    </row>
    <row r="358" spans="1:14" x14ac:dyDescent="0.25">
      <c r="A358">
        <v>706</v>
      </c>
      <c r="B358">
        <v>0</v>
      </c>
      <c r="C358">
        <v>2</v>
      </c>
      <c r="D358" t="s">
        <v>605</v>
      </c>
      <c r="E358" s="4">
        <v>46</v>
      </c>
      <c r="F358" t="s">
        <v>24</v>
      </c>
      <c r="G358">
        <v>39</v>
      </c>
      <c r="H358">
        <v>0</v>
      </c>
      <c r="I358">
        <v>0</v>
      </c>
      <c r="J358">
        <v>250655</v>
      </c>
      <c r="K358">
        <v>26</v>
      </c>
      <c r="M358" s="4" t="s">
        <v>1262</v>
      </c>
      <c r="N358" t="s">
        <v>20</v>
      </c>
    </row>
    <row r="359" spans="1:14" x14ac:dyDescent="0.25">
      <c r="A359">
        <v>707</v>
      </c>
      <c r="B359">
        <v>1</v>
      </c>
      <c r="C359">
        <v>2</v>
      </c>
      <c r="D359" t="s">
        <v>606</v>
      </c>
      <c r="E359" s="4">
        <v>29</v>
      </c>
      <c r="F359" t="s">
        <v>14</v>
      </c>
      <c r="G359">
        <v>45</v>
      </c>
      <c r="H359">
        <v>0</v>
      </c>
      <c r="I359">
        <v>0</v>
      </c>
      <c r="J359">
        <v>223596</v>
      </c>
      <c r="K359">
        <v>13.5</v>
      </c>
      <c r="M359" s="4" t="s">
        <v>1262</v>
      </c>
      <c r="N359" t="s">
        <v>20</v>
      </c>
    </row>
    <row r="360" spans="1:14" x14ac:dyDescent="0.25">
      <c r="A360">
        <v>715</v>
      </c>
      <c r="B360">
        <v>0</v>
      </c>
      <c r="C360">
        <v>2</v>
      </c>
      <c r="D360" t="s">
        <v>607</v>
      </c>
      <c r="E360" s="4">
        <v>21</v>
      </c>
      <c r="F360" t="s">
        <v>24</v>
      </c>
      <c r="G360">
        <v>52</v>
      </c>
      <c r="H360">
        <v>0</v>
      </c>
      <c r="I360">
        <v>0</v>
      </c>
      <c r="J360">
        <v>250647</v>
      </c>
      <c r="K360">
        <v>13</v>
      </c>
      <c r="M360" s="4" t="s">
        <v>1262</v>
      </c>
      <c r="N360" t="s">
        <v>20</v>
      </c>
    </row>
    <row r="361" spans="1:14" x14ac:dyDescent="0.25">
      <c r="A361">
        <v>718</v>
      </c>
      <c r="B361">
        <v>1</v>
      </c>
      <c r="C361">
        <v>2</v>
      </c>
      <c r="D361" t="s">
        <v>608</v>
      </c>
      <c r="E361" s="4">
        <v>35</v>
      </c>
      <c r="F361" t="s">
        <v>14</v>
      </c>
      <c r="G361">
        <v>27</v>
      </c>
      <c r="H361">
        <v>0</v>
      </c>
      <c r="I361">
        <v>0</v>
      </c>
      <c r="J361">
        <v>34218</v>
      </c>
      <c r="K361">
        <v>10.5</v>
      </c>
      <c r="L361" t="s">
        <v>454</v>
      </c>
      <c r="M361" s="4" t="s">
        <v>31</v>
      </c>
      <c r="N361" t="s">
        <v>20</v>
      </c>
    </row>
    <row r="362" spans="1:14" x14ac:dyDescent="0.25">
      <c r="A362">
        <v>721</v>
      </c>
      <c r="B362">
        <v>1</v>
      </c>
      <c r="C362">
        <v>2</v>
      </c>
      <c r="D362" t="s">
        <v>609</v>
      </c>
      <c r="E362" s="4">
        <v>33</v>
      </c>
      <c r="F362" t="s">
        <v>14</v>
      </c>
      <c r="G362">
        <v>6</v>
      </c>
      <c r="H362">
        <v>0</v>
      </c>
      <c r="I362">
        <v>1</v>
      </c>
      <c r="J362">
        <v>248727</v>
      </c>
      <c r="K362">
        <v>33</v>
      </c>
      <c r="M362" s="4" t="s">
        <v>1262</v>
      </c>
      <c r="N362" t="s">
        <v>20</v>
      </c>
    </row>
    <row r="363" spans="1:14" x14ac:dyDescent="0.25">
      <c r="A363">
        <v>723</v>
      </c>
      <c r="B363">
        <v>0</v>
      </c>
      <c r="C363">
        <v>2</v>
      </c>
      <c r="D363" t="s">
        <v>610</v>
      </c>
      <c r="E363" s="4">
        <v>28</v>
      </c>
      <c r="F363" t="s">
        <v>24</v>
      </c>
      <c r="G363">
        <v>34</v>
      </c>
      <c r="H363">
        <v>0</v>
      </c>
      <c r="I363">
        <v>0</v>
      </c>
      <c r="J363">
        <v>12233</v>
      </c>
      <c r="K363">
        <v>13</v>
      </c>
      <c r="M363" s="4" t="s">
        <v>1262</v>
      </c>
      <c r="N363" t="s">
        <v>20</v>
      </c>
    </row>
    <row r="364" spans="1:14" x14ac:dyDescent="0.25">
      <c r="A364">
        <v>724</v>
      </c>
      <c r="B364">
        <v>0</v>
      </c>
      <c r="C364">
        <v>2</v>
      </c>
      <c r="D364" t="s">
        <v>611</v>
      </c>
      <c r="E364" s="4">
        <v>23</v>
      </c>
      <c r="F364" t="s">
        <v>24</v>
      </c>
      <c r="G364">
        <v>50</v>
      </c>
      <c r="H364">
        <v>0</v>
      </c>
      <c r="I364">
        <v>0</v>
      </c>
      <c r="J364">
        <v>250643</v>
      </c>
      <c r="K364">
        <v>13</v>
      </c>
      <c r="M364" s="4" t="s">
        <v>1262</v>
      </c>
      <c r="N364" t="s">
        <v>20</v>
      </c>
    </row>
    <row r="365" spans="1:14" x14ac:dyDescent="0.25">
      <c r="A365">
        <v>727</v>
      </c>
      <c r="B365">
        <v>1</v>
      </c>
      <c r="C365">
        <v>2</v>
      </c>
      <c r="D365" t="s">
        <v>612</v>
      </c>
      <c r="E365" s="4">
        <v>43</v>
      </c>
      <c r="F365" t="s">
        <v>14</v>
      </c>
      <c r="G365">
        <v>30</v>
      </c>
      <c r="H365">
        <v>3</v>
      </c>
      <c r="I365">
        <v>0</v>
      </c>
      <c r="J365">
        <v>31027</v>
      </c>
      <c r="K365">
        <v>21</v>
      </c>
      <c r="M365" s="4" t="s">
        <v>1262</v>
      </c>
      <c r="N365" t="s">
        <v>20</v>
      </c>
    </row>
    <row r="366" spans="1:14" x14ac:dyDescent="0.25">
      <c r="A366">
        <v>729</v>
      </c>
      <c r="B366">
        <v>0</v>
      </c>
      <c r="C366">
        <v>2</v>
      </c>
      <c r="D366" t="s">
        <v>613</v>
      </c>
      <c r="E366" s="4">
        <v>31</v>
      </c>
      <c r="F366" t="s">
        <v>24</v>
      </c>
      <c r="G366">
        <v>25</v>
      </c>
      <c r="H366">
        <v>1</v>
      </c>
      <c r="I366">
        <v>0</v>
      </c>
      <c r="J366">
        <v>236853</v>
      </c>
      <c r="K366">
        <v>26</v>
      </c>
      <c r="M366" s="4" t="s">
        <v>1262</v>
      </c>
      <c r="N366" t="s">
        <v>20</v>
      </c>
    </row>
    <row r="367" spans="1:14" x14ac:dyDescent="0.25">
      <c r="A367">
        <v>734</v>
      </c>
      <c r="B367">
        <v>0</v>
      </c>
      <c r="C367">
        <v>2</v>
      </c>
      <c r="D367" t="s">
        <v>614</v>
      </c>
      <c r="E367" s="4">
        <v>26</v>
      </c>
      <c r="F367" t="s">
        <v>24</v>
      </c>
      <c r="G367">
        <v>23</v>
      </c>
      <c r="H367">
        <v>0</v>
      </c>
      <c r="I367">
        <v>0</v>
      </c>
      <c r="J367">
        <v>28425</v>
      </c>
      <c r="K367">
        <v>13</v>
      </c>
      <c r="M367" s="4" t="s">
        <v>1262</v>
      </c>
      <c r="N367" t="s">
        <v>20</v>
      </c>
    </row>
    <row r="368" spans="1:14" x14ac:dyDescent="0.25">
      <c r="A368">
        <v>735</v>
      </c>
      <c r="B368">
        <v>0</v>
      </c>
      <c r="C368">
        <v>2</v>
      </c>
      <c r="D368" t="s">
        <v>615</v>
      </c>
      <c r="E368" s="4">
        <v>28</v>
      </c>
      <c r="F368" t="s">
        <v>24</v>
      </c>
      <c r="G368">
        <v>23</v>
      </c>
      <c r="H368">
        <v>0</v>
      </c>
      <c r="I368">
        <v>0</v>
      </c>
      <c r="J368">
        <v>233639</v>
      </c>
      <c r="K368">
        <v>13</v>
      </c>
      <c r="M368" s="4" t="s">
        <v>1262</v>
      </c>
      <c r="N368" t="s">
        <v>20</v>
      </c>
    </row>
    <row r="369" spans="1:14" x14ac:dyDescent="0.25">
      <c r="A369">
        <v>748</v>
      </c>
      <c r="B369">
        <v>1</v>
      </c>
      <c r="C369">
        <v>2</v>
      </c>
      <c r="D369" t="s">
        <v>616</v>
      </c>
      <c r="E369" s="4">
        <v>21</v>
      </c>
      <c r="F369" t="s">
        <v>14</v>
      </c>
      <c r="G369">
        <v>30</v>
      </c>
      <c r="H369">
        <v>0</v>
      </c>
      <c r="I369">
        <v>0</v>
      </c>
      <c r="J369">
        <v>250648</v>
      </c>
      <c r="K369">
        <v>13</v>
      </c>
      <c r="M369" s="4" t="s">
        <v>1262</v>
      </c>
      <c r="N369" t="s">
        <v>20</v>
      </c>
    </row>
    <row r="370" spans="1:14" x14ac:dyDescent="0.25">
      <c r="A370">
        <v>751</v>
      </c>
      <c r="B370">
        <v>1</v>
      </c>
      <c r="C370">
        <v>2</v>
      </c>
      <c r="D370" t="s">
        <v>617</v>
      </c>
      <c r="E370" s="4">
        <v>17</v>
      </c>
      <c r="F370" t="s">
        <v>14</v>
      </c>
      <c r="G370">
        <v>4</v>
      </c>
      <c r="H370">
        <v>1</v>
      </c>
      <c r="I370">
        <v>1</v>
      </c>
      <c r="J370">
        <v>29103</v>
      </c>
      <c r="K370">
        <v>23</v>
      </c>
      <c r="M370" s="4" t="s">
        <v>1262</v>
      </c>
      <c r="N370" t="s">
        <v>20</v>
      </c>
    </row>
    <row r="371" spans="1:14" x14ac:dyDescent="0.25">
      <c r="A371">
        <v>755</v>
      </c>
      <c r="B371">
        <v>1</v>
      </c>
      <c r="C371">
        <v>2</v>
      </c>
      <c r="D371" t="s">
        <v>618</v>
      </c>
      <c r="E371" s="4">
        <v>32</v>
      </c>
      <c r="F371" t="s">
        <v>14</v>
      </c>
      <c r="G371">
        <v>48</v>
      </c>
      <c r="H371">
        <v>1</v>
      </c>
      <c r="I371">
        <v>2</v>
      </c>
      <c r="J371">
        <v>220845</v>
      </c>
      <c r="K371">
        <v>65</v>
      </c>
      <c r="M371" s="4" t="s">
        <v>1262</v>
      </c>
      <c r="N371" t="s">
        <v>20</v>
      </c>
    </row>
    <row r="372" spans="1:14" x14ac:dyDescent="0.25">
      <c r="A372">
        <v>756</v>
      </c>
      <c r="B372">
        <v>1</v>
      </c>
      <c r="C372">
        <v>2</v>
      </c>
      <c r="D372" t="s">
        <v>619</v>
      </c>
      <c r="E372" s="4">
        <v>25</v>
      </c>
      <c r="F372" t="s">
        <v>24</v>
      </c>
      <c r="G372">
        <v>0.67</v>
      </c>
      <c r="H372">
        <v>1</v>
      </c>
      <c r="I372">
        <v>1</v>
      </c>
      <c r="J372">
        <v>250649</v>
      </c>
      <c r="K372">
        <v>14.5</v>
      </c>
      <c r="M372" s="4" t="s">
        <v>1262</v>
      </c>
      <c r="N372" t="s">
        <v>20</v>
      </c>
    </row>
    <row r="373" spans="1:14" x14ac:dyDescent="0.25">
      <c r="A373">
        <v>758</v>
      </c>
      <c r="B373">
        <v>0</v>
      </c>
      <c r="C373">
        <v>2</v>
      </c>
      <c r="D373" t="s">
        <v>620</v>
      </c>
      <c r="E373" s="4">
        <v>24</v>
      </c>
      <c r="F373" t="s">
        <v>24</v>
      </c>
      <c r="G373">
        <v>18</v>
      </c>
      <c r="H373">
        <v>0</v>
      </c>
      <c r="I373">
        <v>0</v>
      </c>
      <c r="J373">
        <v>29108</v>
      </c>
      <c r="K373">
        <v>11.5</v>
      </c>
      <c r="M373" s="4" t="s">
        <v>1262</v>
      </c>
      <c r="N373" t="s">
        <v>20</v>
      </c>
    </row>
    <row r="374" spans="1:14" x14ac:dyDescent="0.25">
      <c r="A374">
        <v>773</v>
      </c>
      <c r="B374">
        <v>0</v>
      </c>
      <c r="C374">
        <v>2</v>
      </c>
      <c r="D374" t="s">
        <v>621</v>
      </c>
      <c r="E374" s="4">
        <v>17</v>
      </c>
      <c r="F374" t="s">
        <v>14</v>
      </c>
      <c r="G374">
        <v>57</v>
      </c>
      <c r="H374">
        <v>0</v>
      </c>
      <c r="I374">
        <v>0</v>
      </c>
      <c r="J374" t="s">
        <v>622</v>
      </c>
      <c r="K374">
        <v>10.5</v>
      </c>
      <c r="L374" t="s">
        <v>623</v>
      </c>
      <c r="M374" s="4" t="s">
        <v>31</v>
      </c>
      <c r="N374" t="s">
        <v>20</v>
      </c>
    </row>
    <row r="375" spans="1:14" x14ac:dyDescent="0.25">
      <c r="A375">
        <v>775</v>
      </c>
      <c r="B375">
        <v>1</v>
      </c>
      <c r="C375">
        <v>2</v>
      </c>
      <c r="D375" t="s">
        <v>624</v>
      </c>
      <c r="E375" s="4">
        <v>37</v>
      </c>
      <c r="F375" t="s">
        <v>14</v>
      </c>
      <c r="G375">
        <v>54</v>
      </c>
      <c r="H375">
        <v>1</v>
      </c>
      <c r="I375">
        <v>3</v>
      </c>
      <c r="J375">
        <v>29105</v>
      </c>
      <c r="K375">
        <v>23</v>
      </c>
      <c r="M375" s="4" t="s">
        <v>1262</v>
      </c>
      <c r="N375" t="s">
        <v>20</v>
      </c>
    </row>
    <row r="376" spans="1:14" x14ac:dyDescent="0.25">
      <c r="A376">
        <v>792</v>
      </c>
      <c r="B376">
        <v>0</v>
      </c>
      <c r="C376">
        <v>2</v>
      </c>
      <c r="D376" t="s">
        <v>625</v>
      </c>
      <c r="E376" s="4">
        <v>19</v>
      </c>
      <c r="F376" t="s">
        <v>24</v>
      </c>
      <c r="G376">
        <v>16</v>
      </c>
      <c r="H376">
        <v>0</v>
      </c>
      <c r="I376">
        <v>0</v>
      </c>
      <c r="J376">
        <v>239865</v>
      </c>
      <c r="K376">
        <v>26</v>
      </c>
      <c r="M376" s="4" t="s">
        <v>1262</v>
      </c>
      <c r="N376" t="s">
        <v>20</v>
      </c>
    </row>
    <row r="377" spans="1:14" x14ac:dyDescent="0.25">
      <c r="A377">
        <v>796</v>
      </c>
      <c r="B377">
        <v>0</v>
      </c>
      <c r="C377">
        <v>2</v>
      </c>
      <c r="D377" t="s">
        <v>626</v>
      </c>
      <c r="E377" s="4">
        <v>18</v>
      </c>
      <c r="F377" t="s">
        <v>24</v>
      </c>
      <c r="G377">
        <v>39</v>
      </c>
      <c r="H377">
        <v>0</v>
      </c>
      <c r="I377">
        <v>0</v>
      </c>
      <c r="J377">
        <v>28213</v>
      </c>
      <c r="K377">
        <v>13</v>
      </c>
      <c r="M377" s="4" t="s">
        <v>1262</v>
      </c>
      <c r="N377" t="s">
        <v>20</v>
      </c>
    </row>
    <row r="378" spans="1:14" x14ac:dyDescent="0.25">
      <c r="A378">
        <v>801</v>
      </c>
      <c r="B378">
        <v>0</v>
      </c>
      <c r="C378">
        <v>2</v>
      </c>
      <c r="D378" t="s">
        <v>627</v>
      </c>
      <c r="E378" s="4">
        <v>20</v>
      </c>
      <c r="F378" t="s">
        <v>24</v>
      </c>
      <c r="G378">
        <v>34</v>
      </c>
      <c r="H378">
        <v>0</v>
      </c>
      <c r="I378">
        <v>0</v>
      </c>
      <c r="J378">
        <v>250647</v>
      </c>
      <c r="K378">
        <v>13</v>
      </c>
      <c r="M378" s="4" t="s">
        <v>1262</v>
      </c>
      <c r="N378" t="s">
        <v>20</v>
      </c>
    </row>
    <row r="379" spans="1:14" x14ac:dyDescent="0.25">
      <c r="A379">
        <v>802</v>
      </c>
      <c r="B379">
        <v>1</v>
      </c>
      <c r="C379">
        <v>2</v>
      </c>
      <c r="D379" t="s">
        <v>628</v>
      </c>
      <c r="E379" s="4">
        <v>43</v>
      </c>
      <c r="F379" t="s">
        <v>14</v>
      </c>
      <c r="G379">
        <v>31</v>
      </c>
      <c r="H379">
        <v>1</v>
      </c>
      <c r="I379">
        <v>1</v>
      </c>
      <c r="J379" t="s">
        <v>493</v>
      </c>
      <c r="K379">
        <v>26.25</v>
      </c>
      <c r="M379" s="4" t="s">
        <v>1262</v>
      </c>
      <c r="N379" t="s">
        <v>20</v>
      </c>
    </row>
    <row r="380" spans="1:14" x14ac:dyDescent="0.25">
      <c r="A380">
        <v>809</v>
      </c>
      <c r="B380">
        <v>0</v>
      </c>
      <c r="C380">
        <v>2</v>
      </c>
      <c r="D380" t="s">
        <v>629</v>
      </c>
      <c r="E380" s="4">
        <v>17</v>
      </c>
      <c r="F380" t="s">
        <v>24</v>
      </c>
      <c r="G380">
        <v>39</v>
      </c>
      <c r="H380">
        <v>0</v>
      </c>
      <c r="I380">
        <v>0</v>
      </c>
      <c r="J380">
        <v>248723</v>
      </c>
      <c r="K380">
        <v>13</v>
      </c>
      <c r="M380" s="4" t="s">
        <v>1262</v>
      </c>
      <c r="N380" t="s">
        <v>20</v>
      </c>
    </row>
    <row r="381" spans="1:14" x14ac:dyDescent="0.25">
      <c r="A381">
        <v>813</v>
      </c>
      <c r="B381">
        <v>0</v>
      </c>
      <c r="C381">
        <v>2</v>
      </c>
      <c r="D381" t="s">
        <v>630</v>
      </c>
      <c r="E381" s="4">
        <v>25</v>
      </c>
      <c r="F381" t="s">
        <v>24</v>
      </c>
      <c r="G381">
        <v>35</v>
      </c>
      <c r="H381">
        <v>0</v>
      </c>
      <c r="I381">
        <v>0</v>
      </c>
      <c r="J381">
        <v>28206</v>
      </c>
      <c r="K381">
        <v>10.5</v>
      </c>
      <c r="M381" s="4" t="s">
        <v>1262</v>
      </c>
      <c r="N381" t="s">
        <v>20</v>
      </c>
    </row>
    <row r="382" spans="1:14" x14ac:dyDescent="0.25">
      <c r="A382">
        <v>818</v>
      </c>
      <c r="B382">
        <v>0</v>
      </c>
      <c r="C382">
        <v>2</v>
      </c>
      <c r="D382" t="s">
        <v>631</v>
      </c>
      <c r="E382" s="4">
        <v>18</v>
      </c>
      <c r="F382" t="s">
        <v>24</v>
      </c>
      <c r="G382">
        <v>31</v>
      </c>
      <c r="H382">
        <v>1</v>
      </c>
      <c r="I382">
        <v>1</v>
      </c>
      <c r="J382" t="s">
        <v>632</v>
      </c>
      <c r="K382">
        <v>37.004199999999997</v>
      </c>
      <c r="M382" s="4" t="s">
        <v>1262</v>
      </c>
      <c r="N382" t="s">
        <v>17</v>
      </c>
    </row>
    <row r="383" spans="1:14" x14ac:dyDescent="0.25">
      <c r="A383">
        <v>828</v>
      </c>
      <c r="B383">
        <v>1</v>
      </c>
      <c r="C383">
        <v>2</v>
      </c>
      <c r="D383" t="s">
        <v>633</v>
      </c>
      <c r="E383" s="4">
        <v>21</v>
      </c>
      <c r="F383" t="s">
        <v>24</v>
      </c>
      <c r="G383">
        <v>1</v>
      </c>
      <c r="H383">
        <v>0</v>
      </c>
      <c r="I383">
        <v>2</v>
      </c>
      <c r="J383" t="s">
        <v>632</v>
      </c>
      <c r="K383">
        <v>37.004199999999997</v>
      </c>
      <c r="M383" s="4" t="s">
        <v>1262</v>
      </c>
      <c r="N383" t="s">
        <v>17</v>
      </c>
    </row>
    <row r="384" spans="1:14" x14ac:dyDescent="0.25">
      <c r="A384">
        <v>832</v>
      </c>
      <c r="B384">
        <v>1</v>
      </c>
      <c r="C384">
        <v>2</v>
      </c>
      <c r="D384" t="s">
        <v>634</v>
      </c>
      <c r="E384" s="4">
        <v>31</v>
      </c>
      <c r="F384" t="s">
        <v>24</v>
      </c>
      <c r="G384">
        <v>0.83</v>
      </c>
      <c r="H384">
        <v>1</v>
      </c>
      <c r="I384">
        <v>1</v>
      </c>
      <c r="J384">
        <v>29106</v>
      </c>
      <c r="K384">
        <v>18.75</v>
      </c>
      <c r="M384" s="4" t="s">
        <v>1262</v>
      </c>
      <c r="N384" t="s">
        <v>20</v>
      </c>
    </row>
    <row r="385" spans="1:14" x14ac:dyDescent="0.25">
      <c r="A385">
        <v>278</v>
      </c>
      <c r="B385">
        <v>0</v>
      </c>
      <c r="C385">
        <v>2</v>
      </c>
      <c r="D385" t="s">
        <v>635</v>
      </c>
      <c r="E385" s="4">
        <v>27</v>
      </c>
      <c r="F385" t="s">
        <v>24</v>
      </c>
      <c r="H385">
        <v>0</v>
      </c>
      <c r="I385">
        <v>0</v>
      </c>
      <c r="J385">
        <v>239853</v>
      </c>
      <c r="K385">
        <v>0</v>
      </c>
      <c r="M385" s="4" t="s">
        <v>1262</v>
      </c>
      <c r="N385" t="s">
        <v>20</v>
      </c>
    </row>
    <row r="386" spans="1:14" x14ac:dyDescent="0.25">
      <c r="A386">
        <v>842</v>
      </c>
      <c r="B386">
        <v>0</v>
      </c>
      <c r="C386">
        <v>2</v>
      </c>
      <c r="D386" t="s">
        <v>636</v>
      </c>
      <c r="E386" s="4">
        <v>24</v>
      </c>
      <c r="F386" t="s">
        <v>24</v>
      </c>
      <c r="G386">
        <v>16</v>
      </c>
      <c r="H386">
        <v>0</v>
      </c>
      <c r="I386">
        <v>0</v>
      </c>
      <c r="J386" t="s">
        <v>622</v>
      </c>
      <c r="K386">
        <v>10.5</v>
      </c>
      <c r="M386" s="4" t="s">
        <v>1262</v>
      </c>
      <c r="N386" t="s">
        <v>20</v>
      </c>
    </row>
    <row r="387" spans="1:14" x14ac:dyDescent="0.25">
      <c r="A387">
        <v>414</v>
      </c>
      <c r="B387">
        <v>0</v>
      </c>
      <c r="C387">
        <v>2</v>
      </c>
      <c r="D387" t="s">
        <v>637</v>
      </c>
      <c r="E387" s="4">
        <v>30</v>
      </c>
      <c r="F387" t="s">
        <v>24</v>
      </c>
      <c r="H387">
        <v>0</v>
      </c>
      <c r="I387">
        <v>0</v>
      </c>
      <c r="J387">
        <v>239853</v>
      </c>
      <c r="K387">
        <v>0</v>
      </c>
      <c r="M387" s="4" t="s">
        <v>1262</v>
      </c>
      <c r="N387" t="s">
        <v>20</v>
      </c>
    </row>
    <row r="388" spans="1:14" x14ac:dyDescent="0.25">
      <c r="A388">
        <v>849</v>
      </c>
      <c r="B388">
        <v>0</v>
      </c>
      <c r="C388">
        <v>2</v>
      </c>
      <c r="D388" t="s">
        <v>638</v>
      </c>
      <c r="E388" s="4">
        <v>17</v>
      </c>
      <c r="F388" t="s">
        <v>24</v>
      </c>
      <c r="G388">
        <v>28</v>
      </c>
      <c r="H388">
        <v>0</v>
      </c>
      <c r="I388">
        <v>1</v>
      </c>
      <c r="J388">
        <v>248727</v>
      </c>
      <c r="K388">
        <v>33</v>
      </c>
      <c r="M388" s="4" t="s">
        <v>1262</v>
      </c>
      <c r="N388" t="s">
        <v>20</v>
      </c>
    </row>
    <row r="389" spans="1:14" x14ac:dyDescent="0.25">
      <c r="A389">
        <v>467</v>
      </c>
      <c r="B389">
        <v>0</v>
      </c>
      <c r="C389">
        <v>2</v>
      </c>
      <c r="D389" t="s">
        <v>639</v>
      </c>
      <c r="E389" s="4">
        <v>21</v>
      </c>
      <c r="F389" t="s">
        <v>24</v>
      </c>
      <c r="H389">
        <v>0</v>
      </c>
      <c r="I389">
        <v>0</v>
      </c>
      <c r="J389">
        <v>239853</v>
      </c>
      <c r="K389">
        <v>0</v>
      </c>
      <c r="M389" s="4" t="s">
        <v>1262</v>
      </c>
      <c r="N389" t="s">
        <v>20</v>
      </c>
    </row>
    <row r="390" spans="1:14" x14ac:dyDescent="0.25">
      <c r="A390">
        <v>855</v>
      </c>
      <c r="B390">
        <v>0</v>
      </c>
      <c r="C390">
        <v>2</v>
      </c>
      <c r="D390" t="s">
        <v>640</v>
      </c>
      <c r="E390" s="4">
        <v>45</v>
      </c>
      <c r="F390" t="s">
        <v>14</v>
      </c>
      <c r="G390">
        <v>44</v>
      </c>
      <c r="H390">
        <v>1</v>
      </c>
      <c r="I390">
        <v>0</v>
      </c>
      <c r="J390">
        <v>244252</v>
      </c>
      <c r="K390">
        <v>26</v>
      </c>
      <c r="M390" s="4" t="s">
        <v>1262</v>
      </c>
      <c r="N390" t="s">
        <v>20</v>
      </c>
    </row>
    <row r="391" spans="1:14" x14ac:dyDescent="0.25">
      <c r="A391">
        <v>482</v>
      </c>
      <c r="B391">
        <v>0</v>
      </c>
      <c r="C391">
        <v>2</v>
      </c>
      <c r="D391" t="s">
        <v>641</v>
      </c>
      <c r="E391" s="4">
        <v>32</v>
      </c>
      <c r="F391" t="s">
        <v>24</v>
      </c>
      <c r="H391">
        <v>0</v>
      </c>
      <c r="I391">
        <v>0</v>
      </c>
      <c r="J391">
        <v>239854</v>
      </c>
      <c r="K391">
        <v>0</v>
      </c>
      <c r="M391" s="4" t="s">
        <v>1262</v>
      </c>
      <c r="N391" t="s">
        <v>20</v>
      </c>
    </row>
    <row r="392" spans="1:14" x14ac:dyDescent="0.25">
      <c r="A392">
        <v>862</v>
      </c>
      <c r="B392">
        <v>0</v>
      </c>
      <c r="C392">
        <v>2</v>
      </c>
      <c r="D392" t="s">
        <v>642</v>
      </c>
      <c r="E392" s="4">
        <v>27</v>
      </c>
      <c r="F392" t="s">
        <v>24</v>
      </c>
      <c r="G392">
        <v>21</v>
      </c>
      <c r="H392">
        <v>1</v>
      </c>
      <c r="I392">
        <v>0</v>
      </c>
      <c r="J392">
        <v>28134</v>
      </c>
      <c r="K392">
        <v>11.5</v>
      </c>
      <c r="M392" s="4" t="s">
        <v>1262</v>
      </c>
      <c r="N392" t="s">
        <v>20</v>
      </c>
    </row>
    <row r="393" spans="1:14" x14ac:dyDescent="0.25">
      <c r="A393">
        <v>865</v>
      </c>
      <c r="B393">
        <v>0</v>
      </c>
      <c r="C393">
        <v>2</v>
      </c>
      <c r="D393" t="s">
        <v>643</v>
      </c>
      <c r="E393" s="4">
        <v>22</v>
      </c>
      <c r="F393" t="s">
        <v>24</v>
      </c>
      <c r="G393">
        <v>24</v>
      </c>
      <c r="H393">
        <v>0</v>
      </c>
      <c r="I393">
        <v>0</v>
      </c>
      <c r="J393">
        <v>233866</v>
      </c>
      <c r="K393">
        <v>13</v>
      </c>
      <c r="M393" s="4" t="s">
        <v>1262</v>
      </c>
      <c r="N393" t="s">
        <v>20</v>
      </c>
    </row>
    <row r="394" spans="1:14" x14ac:dyDescent="0.25">
      <c r="A394">
        <v>866</v>
      </c>
      <c r="B394">
        <v>1</v>
      </c>
      <c r="C394">
        <v>2</v>
      </c>
      <c r="D394" t="s">
        <v>644</v>
      </c>
      <c r="E394" s="4">
        <v>24</v>
      </c>
      <c r="F394" t="s">
        <v>14</v>
      </c>
      <c r="G394">
        <v>42</v>
      </c>
      <c r="H394">
        <v>0</v>
      </c>
      <c r="I394">
        <v>0</v>
      </c>
      <c r="J394">
        <v>236852</v>
      </c>
      <c r="K394">
        <v>13</v>
      </c>
      <c r="M394" s="4" t="s">
        <v>1262</v>
      </c>
      <c r="N394" t="s">
        <v>20</v>
      </c>
    </row>
    <row r="395" spans="1:14" x14ac:dyDescent="0.25">
      <c r="A395">
        <v>867</v>
      </c>
      <c r="B395">
        <v>1</v>
      </c>
      <c r="C395">
        <v>2</v>
      </c>
      <c r="D395" t="s">
        <v>645</v>
      </c>
      <c r="E395" s="4">
        <v>28</v>
      </c>
      <c r="F395" t="s">
        <v>14</v>
      </c>
      <c r="G395">
        <v>27</v>
      </c>
      <c r="H395">
        <v>1</v>
      </c>
      <c r="I395">
        <v>0</v>
      </c>
      <c r="J395" t="s">
        <v>646</v>
      </c>
      <c r="K395">
        <v>13.8583</v>
      </c>
      <c r="M395" s="4" t="s">
        <v>1262</v>
      </c>
      <c r="N395" t="s">
        <v>17</v>
      </c>
    </row>
    <row r="396" spans="1:14" x14ac:dyDescent="0.25">
      <c r="A396">
        <v>675</v>
      </c>
      <c r="B396">
        <v>0</v>
      </c>
      <c r="C396">
        <v>2</v>
      </c>
      <c r="D396" t="s">
        <v>647</v>
      </c>
      <c r="E396" s="4">
        <v>26</v>
      </c>
      <c r="F396" t="s">
        <v>24</v>
      </c>
      <c r="H396">
        <v>0</v>
      </c>
      <c r="I396">
        <v>0</v>
      </c>
      <c r="J396">
        <v>239856</v>
      </c>
      <c r="K396">
        <v>0</v>
      </c>
      <c r="M396" s="4" t="s">
        <v>1262</v>
      </c>
      <c r="N396" t="s">
        <v>20</v>
      </c>
    </row>
    <row r="397" spans="1:14" x14ac:dyDescent="0.25">
      <c r="A397">
        <v>875</v>
      </c>
      <c r="B397">
        <v>1</v>
      </c>
      <c r="C397">
        <v>2</v>
      </c>
      <c r="D397" t="s">
        <v>648</v>
      </c>
      <c r="E397" s="4">
        <v>37</v>
      </c>
      <c r="F397" t="s">
        <v>14</v>
      </c>
      <c r="G397">
        <v>28</v>
      </c>
      <c r="H397">
        <v>1</v>
      </c>
      <c r="I397">
        <v>0</v>
      </c>
      <c r="J397" t="s">
        <v>509</v>
      </c>
      <c r="K397">
        <v>24</v>
      </c>
      <c r="M397" s="4" t="s">
        <v>1262</v>
      </c>
      <c r="N397" t="s">
        <v>17</v>
      </c>
    </row>
    <row r="398" spans="1:14" x14ac:dyDescent="0.25">
      <c r="A398">
        <v>733</v>
      </c>
      <c r="B398">
        <v>0</v>
      </c>
      <c r="C398">
        <v>2</v>
      </c>
      <c r="D398" t="s">
        <v>649</v>
      </c>
      <c r="E398" s="4">
        <v>20</v>
      </c>
      <c r="F398" t="s">
        <v>24</v>
      </c>
      <c r="H398">
        <v>0</v>
      </c>
      <c r="I398">
        <v>0</v>
      </c>
      <c r="J398">
        <v>239855</v>
      </c>
      <c r="K398">
        <v>0</v>
      </c>
      <c r="M398" s="4" t="s">
        <v>1262</v>
      </c>
      <c r="N398" t="s">
        <v>20</v>
      </c>
    </row>
    <row r="399" spans="1:14" x14ac:dyDescent="0.25">
      <c r="A399">
        <v>881</v>
      </c>
      <c r="B399">
        <v>1</v>
      </c>
      <c r="C399">
        <v>2</v>
      </c>
      <c r="D399" t="s">
        <v>650</v>
      </c>
      <c r="E399" s="4">
        <v>44</v>
      </c>
      <c r="F399" t="s">
        <v>14</v>
      </c>
      <c r="G399">
        <v>25</v>
      </c>
      <c r="H399">
        <v>0</v>
      </c>
      <c r="I399">
        <v>1</v>
      </c>
      <c r="J399">
        <v>230433</v>
      </c>
      <c r="K399">
        <v>26</v>
      </c>
      <c r="M399" s="4" t="s">
        <v>1262</v>
      </c>
      <c r="N399" t="s">
        <v>20</v>
      </c>
    </row>
    <row r="400" spans="1:14" x14ac:dyDescent="0.25">
      <c r="A400">
        <v>884</v>
      </c>
      <c r="B400">
        <v>0</v>
      </c>
      <c r="C400">
        <v>2</v>
      </c>
      <c r="D400" t="s">
        <v>651</v>
      </c>
      <c r="E400" s="4">
        <v>29</v>
      </c>
      <c r="F400" t="s">
        <v>24</v>
      </c>
      <c r="G400">
        <v>28</v>
      </c>
      <c r="H400">
        <v>0</v>
      </c>
      <c r="I400">
        <v>0</v>
      </c>
      <c r="J400" t="s">
        <v>652</v>
      </c>
      <c r="K400">
        <v>10.5</v>
      </c>
      <c r="M400" s="4" t="s">
        <v>1262</v>
      </c>
      <c r="N400" t="s">
        <v>20</v>
      </c>
    </row>
    <row r="401" spans="1:14" x14ac:dyDescent="0.25">
      <c r="A401">
        <v>887</v>
      </c>
      <c r="B401">
        <v>0</v>
      </c>
      <c r="C401">
        <v>2</v>
      </c>
      <c r="D401" t="s">
        <v>653</v>
      </c>
      <c r="E401" s="4">
        <v>21</v>
      </c>
      <c r="F401" t="s">
        <v>24</v>
      </c>
      <c r="G401">
        <v>27</v>
      </c>
      <c r="H401">
        <v>0</v>
      </c>
      <c r="I401">
        <v>0</v>
      </c>
      <c r="J401">
        <v>211536</v>
      </c>
      <c r="K401">
        <v>13</v>
      </c>
      <c r="M401" s="4" t="s">
        <v>1262</v>
      </c>
      <c r="N401" t="s">
        <v>20</v>
      </c>
    </row>
    <row r="402" spans="1:14" x14ac:dyDescent="0.25">
      <c r="A402">
        <v>1</v>
      </c>
      <c r="B402">
        <v>0</v>
      </c>
      <c r="C402">
        <v>3</v>
      </c>
      <c r="D402" t="s">
        <v>654</v>
      </c>
      <c r="E402" s="4">
        <v>23</v>
      </c>
      <c r="F402" t="s">
        <v>24</v>
      </c>
      <c r="G402">
        <v>22</v>
      </c>
      <c r="H402">
        <v>1</v>
      </c>
      <c r="I402">
        <v>0</v>
      </c>
      <c r="J402" t="s">
        <v>655</v>
      </c>
      <c r="K402">
        <v>7.25</v>
      </c>
      <c r="M402" s="4" t="s">
        <v>1262</v>
      </c>
      <c r="N402" t="s">
        <v>20</v>
      </c>
    </row>
    <row r="403" spans="1:14" x14ac:dyDescent="0.25">
      <c r="A403">
        <v>3</v>
      </c>
      <c r="B403">
        <v>1</v>
      </c>
      <c r="C403">
        <v>3</v>
      </c>
      <c r="D403" t="s">
        <v>656</v>
      </c>
      <c r="E403" s="4">
        <v>22</v>
      </c>
      <c r="F403" t="s">
        <v>14</v>
      </c>
      <c r="G403">
        <v>26</v>
      </c>
      <c r="H403">
        <v>0</v>
      </c>
      <c r="I403">
        <v>0</v>
      </c>
      <c r="J403" t="s">
        <v>657</v>
      </c>
      <c r="K403">
        <v>7.9249999999999998</v>
      </c>
      <c r="M403" s="4" t="s">
        <v>1262</v>
      </c>
      <c r="N403" t="s">
        <v>20</v>
      </c>
    </row>
    <row r="404" spans="1:14" x14ac:dyDescent="0.25">
      <c r="A404">
        <v>5</v>
      </c>
      <c r="B404">
        <v>0</v>
      </c>
      <c r="C404">
        <v>3</v>
      </c>
      <c r="D404" t="s">
        <v>658</v>
      </c>
      <c r="E404" s="4">
        <v>24</v>
      </c>
      <c r="F404" t="s">
        <v>24</v>
      </c>
      <c r="G404">
        <v>35</v>
      </c>
      <c r="H404">
        <v>0</v>
      </c>
      <c r="I404">
        <v>0</v>
      </c>
      <c r="J404">
        <v>373450</v>
      </c>
      <c r="K404">
        <v>8.0500000000000007</v>
      </c>
      <c r="M404" s="4" t="s">
        <v>1262</v>
      </c>
      <c r="N404" t="s">
        <v>20</v>
      </c>
    </row>
    <row r="405" spans="1:14" x14ac:dyDescent="0.25">
      <c r="A405">
        <v>8</v>
      </c>
      <c r="B405">
        <v>0</v>
      </c>
      <c r="C405">
        <v>3</v>
      </c>
      <c r="D405" t="s">
        <v>659</v>
      </c>
      <c r="E405" s="4">
        <v>30</v>
      </c>
      <c r="F405" t="s">
        <v>24</v>
      </c>
      <c r="G405">
        <v>2</v>
      </c>
      <c r="H405">
        <v>3</v>
      </c>
      <c r="I405">
        <v>1</v>
      </c>
      <c r="J405">
        <v>349909</v>
      </c>
      <c r="K405">
        <v>21.074999999999999</v>
      </c>
      <c r="M405" s="4" t="s">
        <v>1262</v>
      </c>
      <c r="N405" t="s">
        <v>20</v>
      </c>
    </row>
    <row r="406" spans="1:14" x14ac:dyDescent="0.25">
      <c r="A406">
        <v>9</v>
      </c>
      <c r="B406">
        <v>1</v>
      </c>
      <c r="C406">
        <v>3</v>
      </c>
      <c r="D406" t="s">
        <v>660</v>
      </c>
      <c r="E406" s="4">
        <v>49</v>
      </c>
      <c r="F406" t="s">
        <v>14</v>
      </c>
      <c r="G406">
        <v>27</v>
      </c>
      <c r="H406">
        <v>0</v>
      </c>
      <c r="I406">
        <v>2</v>
      </c>
      <c r="J406">
        <v>347742</v>
      </c>
      <c r="K406">
        <v>11.1333</v>
      </c>
      <c r="M406" s="4" t="s">
        <v>1262</v>
      </c>
      <c r="N406" t="s">
        <v>20</v>
      </c>
    </row>
    <row r="407" spans="1:14" x14ac:dyDescent="0.25">
      <c r="A407">
        <v>11</v>
      </c>
      <c r="B407">
        <v>1</v>
      </c>
      <c r="C407">
        <v>3</v>
      </c>
      <c r="D407" t="s">
        <v>661</v>
      </c>
      <c r="E407" s="4">
        <v>31</v>
      </c>
      <c r="F407" t="s">
        <v>14</v>
      </c>
      <c r="G407">
        <v>4</v>
      </c>
      <c r="H407">
        <v>1</v>
      </c>
      <c r="I407">
        <v>1</v>
      </c>
      <c r="J407" t="s">
        <v>662</v>
      </c>
      <c r="K407">
        <v>16.7</v>
      </c>
      <c r="L407" t="s">
        <v>663</v>
      </c>
      <c r="M407" s="4" t="s">
        <v>187</v>
      </c>
      <c r="N407" t="s">
        <v>20</v>
      </c>
    </row>
    <row r="408" spans="1:14" x14ac:dyDescent="0.25">
      <c r="A408">
        <v>13</v>
      </c>
      <c r="B408">
        <v>0</v>
      </c>
      <c r="C408">
        <v>3</v>
      </c>
      <c r="D408" t="s">
        <v>664</v>
      </c>
      <c r="E408" s="4">
        <v>30</v>
      </c>
      <c r="F408" t="s">
        <v>24</v>
      </c>
      <c r="G408">
        <v>20</v>
      </c>
      <c r="H408">
        <v>0</v>
      </c>
      <c r="I408">
        <v>0</v>
      </c>
      <c r="J408" t="s">
        <v>665</v>
      </c>
      <c r="K408">
        <v>8.0500000000000007</v>
      </c>
      <c r="M408" s="4" t="s">
        <v>1262</v>
      </c>
      <c r="N408" t="s">
        <v>20</v>
      </c>
    </row>
    <row r="409" spans="1:14" x14ac:dyDescent="0.25">
      <c r="A409">
        <v>14</v>
      </c>
      <c r="B409">
        <v>0</v>
      </c>
      <c r="C409">
        <v>3</v>
      </c>
      <c r="D409" t="s">
        <v>666</v>
      </c>
      <c r="E409" s="4">
        <v>27</v>
      </c>
      <c r="F409" t="s">
        <v>24</v>
      </c>
      <c r="G409">
        <v>39</v>
      </c>
      <c r="H409">
        <v>1</v>
      </c>
      <c r="I409">
        <v>5</v>
      </c>
      <c r="J409">
        <v>347082</v>
      </c>
      <c r="K409">
        <v>31.274999999999999</v>
      </c>
      <c r="M409" s="4" t="s">
        <v>1262</v>
      </c>
      <c r="N409" t="s">
        <v>20</v>
      </c>
    </row>
    <row r="410" spans="1:14" x14ac:dyDescent="0.25">
      <c r="A410">
        <v>15</v>
      </c>
      <c r="B410">
        <v>0</v>
      </c>
      <c r="C410">
        <v>3</v>
      </c>
      <c r="D410" t="s">
        <v>667</v>
      </c>
      <c r="E410" s="4">
        <v>36</v>
      </c>
      <c r="F410" t="s">
        <v>14</v>
      </c>
      <c r="G410">
        <v>14</v>
      </c>
      <c r="H410">
        <v>0</v>
      </c>
      <c r="I410">
        <v>0</v>
      </c>
      <c r="J410">
        <v>350406</v>
      </c>
      <c r="K410">
        <v>7.8541999999999996</v>
      </c>
      <c r="M410" s="4" t="s">
        <v>1262</v>
      </c>
      <c r="N410" t="s">
        <v>20</v>
      </c>
    </row>
    <row r="411" spans="1:14" x14ac:dyDescent="0.25">
      <c r="A411">
        <v>17</v>
      </c>
      <c r="B411">
        <v>0</v>
      </c>
      <c r="C411">
        <v>3</v>
      </c>
      <c r="D411" t="s">
        <v>668</v>
      </c>
      <c r="E411" s="4">
        <v>20</v>
      </c>
      <c r="F411" t="s">
        <v>24</v>
      </c>
      <c r="G411">
        <v>2</v>
      </c>
      <c r="H411">
        <v>4</v>
      </c>
      <c r="I411">
        <v>1</v>
      </c>
      <c r="J411">
        <v>382652</v>
      </c>
      <c r="K411">
        <v>29.125</v>
      </c>
      <c r="M411" s="4" t="s">
        <v>1262</v>
      </c>
      <c r="N411" t="s">
        <v>161</v>
      </c>
    </row>
    <row r="412" spans="1:14" x14ac:dyDescent="0.25">
      <c r="A412">
        <v>19</v>
      </c>
      <c r="B412">
        <v>0</v>
      </c>
      <c r="C412">
        <v>3</v>
      </c>
      <c r="D412" t="s">
        <v>669</v>
      </c>
      <c r="E412" s="4">
        <v>55</v>
      </c>
      <c r="F412" t="s">
        <v>14</v>
      </c>
      <c r="G412">
        <v>31</v>
      </c>
      <c r="H412">
        <v>1</v>
      </c>
      <c r="I412">
        <v>0</v>
      </c>
      <c r="J412">
        <v>345763</v>
      </c>
      <c r="K412">
        <v>18</v>
      </c>
      <c r="M412" s="4" t="s">
        <v>1262</v>
      </c>
      <c r="N412" t="s">
        <v>20</v>
      </c>
    </row>
    <row r="413" spans="1:14" x14ac:dyDescent="0.25">
      <c r="A413">
        <v>23</v>
      </c>
      <c r="B413">
        <v>1</v>
      </c>
      <c r="C413">
        <v>3</v>
      </c>
      <c r="D413" t="s">
        <v>670</v>
      </c>
      <c r="E413" s="4">
        <v>27</v>
      </c>
      <c r="F413" t="s">
        <v>14</v>
      </c>
      <c r="G413">
        <v>15</v>
      </c>
      <c r="H413">
        <v>0</v>
      </c>
      <c r="I413">
        <v>0</v>
      </c>
      <c r="J413">
        <v>330923</v>
      </c>
      <c r="K413">
        <v>8.0291999999999994</v>
      </c>
      <c r="M413" s="4" t="s">
        <v>1262</v>
      </c>
      <c r="N413" t="s">
        <v>161</v>
      </c>
    </row>
    <row r="414" spans="1:14" x14ac:dyDescent="0.25">
      <c r="A414">
        <v>25</v>
      </c>
      <c r="B414">
        <v>0</v>
      </c>
      <c r="C414">
        <v>3</v>
      </c>
      <c r="D414" t="s">
        <v>671</v>
      </c>
      <c r="E414" s="4">
        <v>29</v>
      </c>
      <c r="F414" t="s">
        <v>14</v>
      </c>
      <c r="G414">
        <v>8</v>
      </c>
      <c r="H414">
        <v>3</v>
      </c>
      <c r="I414">
        <v>1</v>
      </c>
      <c r="J414">
        <v>349909</v>
      </c>
      <c r="K414">
        <v>21.074999999999999</v>
      </c>
      <c r="M414" s="4" t="s">
        <v>1262</v>
      </c>
      <c r="N414" t="s">
        <v>20</v>
      </c>
    </row>
    <row r="415" spans="1:14" x14ac:dyDescent="0.25">
      <c r="A415">
        <v>26</v>
      </c>
      <c r="B415">
        <v>1</v>
      </c>
      <c r="C415">
        <v>3</v>
      </c>
      <c r="D415" t="s">
        <v>672</v>
      </c>
      <c r="E415" s="4">
        <v>57</v>
      </c>
      <c r="F415" t="s">
        <v>14</v>
      </c>
      <c r="G415">
        <v>38</v>
      </c>
      <c r="H415">
        <v>1</v>
      </c>
      <c r="I415">
        <v>5</v>
      </c>
      <c r="J415">
        <v>347077</v>
      </c>
      <c r="K415">
        <v>31.387499999999999</v>
      </c>
      <c r="M415" s="4" t="s">
        <v>1262</v>
      </c>
      <c r="N415" t="s">
        <v>20</v>
      </c>
    </row>
    <row r="416" spans="1:14" x14ac:dyDescent="0.25">
      <c r="A416">
        <v>160</v>
      </c>
      <c r="B416">
        <v>0</v>
      </c>
      <c r="C416">
        <v>3</v>
      </c>
      <c r="D416" t="s">
        <v>673</v>
      </c>
      <c r="E416" s="4">
        <v>26</v>
      </c>
      <c r="F416" t="s">
        <v>24</v>
      </c>
      <c r="H416">
        <v>8</v>
      </c>
      <c r="I416">
        <v>2</v>
      </c>
      <c r="J416" t="s">
        <v>674</v>
      </c>
      <c r="K416">
        <v>69.55</v>
      </c>
      <c r="M416" s="4" t="s">
        <v>1262</v>
      </c>
      <c r="N416" t="s">
        <v>20</v>
      </c>
    </row>
    <row r="417" spans="1:14" x14ac:dyDescent="0.25">
      <c r="A417">
        <v>38</v>
      </c>
      <c r="B417">
        <v>0</v>
      </c>
      <c r="C417">
        <v>3</v>
      </c>
      <c r="D417" t="s">
        <v>675</v>
      </c>
      <c r="E417" s="4">
        <v>24</v>
      </c>
      <c r="F417" t="s">
        <v>24</v>
      </c>
      <c r="G417">
        <v>21</v>
      </c>
      <c r="H417">
        <v>0</v>
      </c>
      <c r="I417">
        <v>0</v>
      </c>
      <c r="J417" t="s">
        <v>676</v>
      </c>
      <c r="K417">
        <v>8.0500000000000007</v>
      </c>
      <c r="M417" s="4" t="s">
        <v>1262</v>
      </c>
      <c r="N417" t="s">
        <v>20</v>
      </c>
    </row>
    <row r="418" spans="1:14" x14ac:dyDescent="0.25">
      <c r="A418">
        <v>39</v>
      </c>
      <c r="B418">
        <v>0</v>
      </c>
      <c r="C418">
        <v>3</v>
      </c>
      <c r="D418" t="s">
        <v>677</v>
      </c>
      <c r="E418" s="4">
        <v>34</v>
      </c>
      <c r="F418" t="s">
        <v>14</v>
      </c>
      <c r="G418">
        <v>18</v>
      </c>
      <c r="H418">
        <v>2</v>
      </c>
      <c r="I418">
        <v>0</v>
      </c>
      <c r="J418">
        <v>345764</v>
      </c>
      <c r="K418">
        <v>18</v>
      </c>
      <c r="M418" s="4" t="s">
        <v>1262</v>
      </c>
      <c r="N418" t="s">
        <v>20</v>
      </c>
    </row>
    <row r="419" spans="1:14" x14ac:dyDescent="0.25">
      <c r="A419">
        <v>40</v>
      </c>
      <c r="B419">
        <v>1</v>
      </c>
      <c r="C419">
        <v>3</v>
      </c>
      <c r="D419" t="s">
        <v>678</v>
      </c>
      <c r="E419" s="4">
        <v>27</v>
      </c>
      <c r="F419" t="s">
        <v>14</v>
      </c>
      <c r="G419">
        <v>14</v>
      </c>
      <c r="H419">
        <v>1</v>
      </c>
      <c r="I419">
        <v>0</v>
      </c>
      <c r="J419">
        <v>2651</v>
      </c>
      <c r="K419">
        <v>11.2417</v>
      </c>
      <c r="M419" s="4" t="s">
        <v>1262</v>
      </c>
      <c r="N419" t="s">
        <v>17</v>
      </c>
    </row>
    <row r="420" spans="1:14" x14ac:dyDescent="0.25">
      <c r="A420">
        <v>41</v>
      </c>
      <c r="B420">
        <v>0</v>
      </c>
      <c r="C420">
        <v>3</v>
      </c>
      <c r="D420" t="s">
        <v>679</v>
      </c>
      <c r="E420" s="4">
        <v>46</v>
      </c>
      <c r="F420" t="s">
        <v>14</v>
      </c>
      <c r="G420">
        <v>40</v>
      </c>
      <c r="H420">
        <v>1</v>
      </c>
      <c r="I420">
        <v>0</v>
      </c>
      <c r="J420">
        <v>7546</v>
      </c>
      <c r="K420">
        <v>9.4749999999999996</v>
      </c>
      <c r="M420" s="4" t="s">
        <v>1262</v>
      </c>
      <c r="N420" t="s">
        <v>20</v>
      </c>
    </row>
    <row r="421" spans="1:14" x14ac:dyDescent="0.25">
      <c r="A421">
        <v>181</v>
      </c>
      <c r="B421">
        <v>0</v>
      </c>
      <c r="C421">
        <v>3</v>
      </c>
      <c r="D421" t="s">
        <v>680</v>
      </c>
      <c r="E421" s="4">
        <v>28</v>
      </c>
      <c r="F421" t="s">
        <v>14</v>
      </c>
      <c r="H421">
        <v>8</v>
      </c>
      <c r="I421">
        <v>2</v>
      </c>
      <c r="J421" t="s">
        <v>674</v>
      </c>
      <c r="K421">
        <v>69.55</v>
      </c>
      <c r="M421" s="4" t="s">
        <v>1262</v>
      </c>
      <c r="N421" t="s">
        <v>20</v>
      </c>
    </row>
    <row r="422" spans="1:14" x14ac:dyDescent="0.25">
      <c r="A422">
        <v>45</v>
      </c>
      <c r="B422">
        <v>1</v>
      </c>
      <c r="C422">
        <v>3</v>
      </c>
      <c r="D422" t="s">
        <v>681</v>
      </c>
      <c r="E422" s="4">
        <v>29</v>
      </c>
      <c r="F422" t="s">
        <v>14</v>
      </c>
      <c r="G422">
        <v>19</v>
      </c>
      <c r="H422">
        <v>0</v>
      </c>
      <c r="I422">
        <v>0</v>
      </c>
      <c r="J422">
        <v>330958</v>
      </c>
      <c r="K422">
        <v>7.8792</v>
      </c>
      <c r="M422" s="4" t="s">
        <v>1262</v>
      </c>
      <c r="N422" t="s">
        <v>161</v>
      </c>
    </row>
    <row r="423" spans="1:14" x14ac:dyDescent="0.25">
      <c r="A423">
        <v>202</v>
      </c>
      <c r="B423">
        <v>0</v>
      </c>
      <c r="C423">
        <v>3</v>
      </c>
      <c r="D423" t="s">
        <v>682</v>
      </c>
      <c r="E423" s="4">
        <v>19</v>
      </c>
      <c r="F423" t="s">
        <v>24</v>
      </c>
      <c r="H423">
        <v>8</v>
      </c>
      <c r="I423">
        <v>2</v>
      </c>
      <c r="J423" t="s">
        <v>674</v>
      </c>
      <c r="K423">
        <v>69.55</v>
      </c>
      <c r="M423" s="4" t="s">
        <v>1262</v>
      </c>
      <c r="N423" t="s">
        <v>20</v>
      </c>
    </row>
    <row r="424" spans="1:14" x14ac:dyDescent="0.25">
      <c r="A424">
        <v>325</v>
      </c>
      <c r="B424">
        <v>0</v>
      </c>
      <c r="C424">
        <v>3</v>
      </c>
      <c r="D424" t="s">
        <v>683</v>
      </c>
      <c r="E424" s="4">
        <v>24</v>
      </c>
      <c r="F424" t="s">
        <v>24</v>
      </c>
      <c r="H424">
        <v>8</v>
      </c>
      <c r="I424">
        <v>2</v>
      </c>
      <c r="J424" t="s">
        <v>674</v>
      </c>
      <c r="K424">
        <v>69.55</v>
      </c>
      <c r="M424" s="4" t="s">
        <v>1262</v>
      </c>
      <c r="N424" t="s">
        <v>20</v>
      </c>
    </row>
    <row r="425" spans="1:14" x14ac:dyDescent="0.25">
      <c r="A425">
        <v>793</v>
      </c>
      <c r="B425">
        <v>0</v>
      </c>
      <c r="C425">
        <v>3</v>
      </c>
      <c r="D425" t="s">
        <v>684</v>
      </c>
      <c r="E425" s="4">
        <v>23</v>
      </c>
      <c r="F425" t="s">
        <v>14</v>
      </c>
      <c r="H425">
        <v>8</v>
      </c>
      <c r="I425">
        <v>2</v>
      </c>
      <c r="J425" t="s">
        <v>674</v>
      </c>
      <c r="K425">
        <v>69.55</v>
      </c>
      <c r="M425" s="4" t="s">
        <v>1262</v>
      </c>
      <c r="N425" t="s">
        <v>20</v>
      </c>
    </row>
    <row r="426" spans="1:14" x14ac:dyDescent="0.25">
      <c r="A426">
        <v>847</v>
      </c>
      <c r="B426">
        <v>0</v>
      </c>
      <c r="C426">
        <v>3</v>
      </c>
      <c r="D426" t="s">
        <v>685</v>
      </c>
      <c r="E426" s="4">
        <v>24</v>
      </c>
      <c r="F426" t="s">
        <v>24</v>
      </c>
      <c r="H426">
        <v>8</v>
      </c>
      <c r="I426">
        <v>2</v>
      </c>
      <c r="J426" t="s">
        <v>674</v>
      </c>
      <c r="K426">
        <v>69.55</v>
      </c>
      <c r="M426" s="4" t="s">
        <v>1262</v>
      </c>
      <c r="N426" t="s">
        <v>20</v>
      </c>
    </row>
    <row r="427" spans="1:14" x14ac:dyDescent="0.25">
      <c r="A427">
        <v>50</v>
      </c>
      <c r="B427">
        <v>0</v>
      </c>
      <c r="C427">
        <v>3</v>
      </c>
      <c r="D427" t="s">
        <v>686</v>
      </c>
      <c r="E427" s="4">
        <v>45</v>
      </c>
      <c r="F427" t="s">
        <v>14</v>
      </c>
      <c r="G427">
        <v>18</v>
      </c>
      <c r="H427">
        <v>1</v>
      </c>
      <c r="I427">
        <v>0</v>
      </c>
      <c r="J427">
        <v>349237</v>
      </c>
      <c r="K427">
        <v>17.8</v>
      </c>
      <c r="M427" s="4" t="s">
        <v>1262</v>
      </c>
      <c r="N427" t="s">
        <v>20</v>
      </c>
    </row>
    <row r="428" spans="1:14" x14ac:dyDescent="0.25">
      <c r="A428">
        <v>51</v>
      </c>
      <c r="B428">
        <v>0</v>
      </c>
      <c r="C428">
        <v>3</v>
      </c>
      <c r="D428" t="s">
        <v>687</v>
      </c>
      <c r="E428" s="4">
        <v>26</v>
      </c>
      <c r="F428" t="s">
        <v>24</v>
      </c>
      <c r="G428">
        <v>7</v>
      </c>
      <c r="H428">
        <v>4</v>
      </c>
      <c r="I428">
        <v>1</v>
      </c>
      <c r="J428">
        <v>3101295</v>
      </c>
      <c r="K428">
        <v>39.6875</v>
      </c>
      <c r="M428" s="4" t="s">
        <v>1262</v>
      </c>
      <c r="N428" t="s">
        <v>20</v>
      </c>
    </row>
    <row r="429" spans="1:14" x14ac:dyDescent="0.25">
      <c r="A429">
        <v>52</v>
      </c>
      <c r="B429">
        <v>0</v>
      </c>
      <c r="C429">
        <v>3</v>
      </c>
      <c r="D429" t="s">
        <v>688</v>
      </c>
      <c r="E429" s="4">
        <v>28</v>
      </c>
      <c r="F429" t="s">
        <v>24</v>
      </c>
      <c r="G429">
        <v>21</v>
      </c>
      <c r="H429">
        <v>0</v>
      </c>
      <c r="I429">
        <v>0</v>
      </c>
      <c r="J429" t="s">
        <v>689</v>
      </c>
      <c r="K429">
        <v>7.8</v>
      </c>
      <c r="M429" s="4" t="s">
        <v>1262</v>
      </c>
      <c r="N429" t="s">
        <v>20</v>
      </c>
    </row>
    <row r="430" spans="1:14" x14ac:dyDescent="0.25">
      <c r="A430">
        <v>864</v>
      </c>
      <c r="B430">
        <v>0</v>
      </c>
      <c r="C430">
        <v>3</v>
      </c>
      <c r="D430" t="s">
        <v>690</v>
      </c>
      <c r="E430" s="4">
        <v>33</v>
      </c>
      <c r="F430" t="s">
        <v>14</v>
      </c>
      <c r="H430">
        <v>8</v>
      </c>
      <c r="I430">
        <v>2</v>
      </c>
      <c r="J430" t="s">
        <v>674</v>
      </c>
      <c r="K430">
        <v>69.55</v>
      </c>
      <c r="M430" s="4" t="s">
        <v>1262</v>
      </c>
      <c r="N430" t="s">
        <v>20</v>
      </c>
    </row>
    <row r="431" spans="1:14" x14ac:dyDescent="0.25">
      <c r="A431">
        <v>58</v>
      </c>
      <c r="B431">
        <v>0</v>
      </c>
      <c r="C431">
        <v>3</v>
      </c>
      <c r="D431" t="s">
        <v>691</v>
      </c>
      <c r="E431" s="4">
        <v>19</v>
      </c>
      <c r="F431" t="s">
        <v>24</v>
      </c>
      <c r="G431">
        <v>28.5</v>
      </c>
      <c r="H431">
        <v>0</v>
      </c>
      <c r="I431">
        <v>0</v>
      </c>
      <c r="J431">
        <v>2697</v>
      </c>
      <c r="K431">
        <v>7.2291999999999996</v>
      </c>
      <c r="M431" s="4" t="s">
        <v>1262</v>
      </c>
      <c r="N431" t="s">
        <v>17</v>
      </c>
    </row>
    <row r="432" spans="1:14" x14ac:dyDescent="0.25">
      <c r="A432">
        <v>60</v>
      </c>
      <c r="B432">
        <v>0</v>
      </c>
      <c r="C432">
        <v>3</v>
      </c>
      <c r="D432" t="s">
        <v>692</v>
      </c>
      <c r="E432" s="4">
        <v>34</v>
      </c>
      <c r="F432" t="s">
        <v>24</v>
      </c>
      <c r="G432">
        <v>11</v>
      </c>
      <c r="H432">
        <v>5</v>
      </c>
      <c r="I432">
        <v>2</v>
      </c>
      <c r="J432" t="s">
        <v>693</v>
      </c>
      <c r="K432">
        <v>46.9</v>
      </c>
      <c r="M432" s="4" t="s">
        <v>1262</v>
      </c>
      <c r="N432" t="s">
        <v>20</v>
      </c>
    </row>
    <row r="433" spans="1:14" x14ac:dyDescent="0.25">
      <c r="A433">
        <v>61</v>
      </c>
      <c r="B433">
        <v>0</v>
      </c>
      <c r="C433">
        <v>3</v>
      </c>
      <c r="D433" t="s">
        <v>694</v>
      </c>
      <c r="E433" s="4">
        <v>21</v>
      </c>
      <c r="F433" t="s">
        <v>24</v>
      </c>
      <c r="G433">
        <v>22</v>
      </c>
      <c r="H433">
        <v>0</v>
      </c>
      <c r="I433">
        <v>0</v>
      </c>
      <c r="J433">
        <v>2669</v>
      </c>
      <c r="K433">
        <v>7.2291999999999996</v>
      </c>
      <c r="M433" s="4" t="s">
        <v>1262</v>
      </c>
      <c r="N433" t="s">
        <v>17</v>
      </c>
    </row>
    <row r="434" spans="1:14" x14ac:dyDescent="0.25">
      <c r="A434">
        <v>64</v>
      </c>
      <c r="B434">
        <v>0</v>
      </c>
      <c r="C434">
        <v>3</v>
      </c>
      <c r="D434" t="s">
        <v>695</v>
      </c>
      <c r="E434" s="4">
        <v>21</v>
      </c>
      <c r="F434" t="s">
        <v>24</v>
      </c>
      <c r="G434">
        <v>4</v>
      </c>
      <c r="H434">
        <v>3</v>
      </c>
      <c r="I434">
        <v>2</v>
      </c>
      <c r="J434">
        <v>347088</v>
      </c>
      <c r="K434">
        <v>27.9</v>
      </c>
      <c r="M434" s="4" t="s">
        <v>1262</v>
      </c>
      <c r="N434" t="s">
        <v>20</v>
      </c>
    </row>
    <row r="435" spans="1:14" x14ac:dyDescent="0.25">
      <c r="A435">
        <v>827</v>
      </c>
      <c r="B435">
        <v>0</v>
      </c>
      <c r="C435">
        <v>3</v>
      </c>
      <c r="D435" t="s">
        <v>696</v>
      </c>
      <c r="E435" s="4">
        <v>12</v>
      </c>
      <c r="F435" t="s">
        <v>24</v>
      </c>
      <c r="H435">
        <v>0</v>
      </c>
      <c r="I435">
        <v>0</v>
      </c>
      <c r="J435">
        <v>1601</v>
      </c>
      <c r="K435">
        <v>56.495800000000003</v>
      </c>
      <c r="M435" s="4" t="s">
        <v>1262</v>
      </c>
      <c r="N435" t="s">
        <v>20</v>
      </c>
    </row>
    <row r="436" spans="1:14" x14ac:dyDescent="0.25">
      <c r="A436">
        <v>644</v>
      </c>
      <c r="B436">
        <v>1</v>
      </c>
      <c r="C436">
        <v>3</v>
      </c>
      <c r="D436" t="s">
        <v>697</v>
      </c>
      <c r="E436" s="4">
        <v>15</v>
      </c>
      <c r="F436" t="s">
        <v>24</v>
      </c>
      <c r="H436">
        <v>0</v>
      </c>
      <c r="I436">
        <v>0</v>
      </c>
      <c r="J436">
        <v>1601</v>
      </c>
      <c r="K436">
        <v>56.495800000000003</v>
      </c>
      <c r="M436" s="4" t="s">
        <v>1262</v>
      </c>
      <c r="N436" t="s">
        <v>20</v>
      </c>
    </row>
    <row r="437" spans="1:14" x14ac:dyDescent="0.25">
      <c r="A437">
        <v>68</v>
      </c>
      <c r="B437">
        <v>0</v>
      </c>
      <c r="C437">
        <v>3</v>
      </c>
      <c r="D437" t="s">
        <v>698</v>
      </c>
      <c r="E437" s="4">
        <v>24</v>
      </c>
      <c r="F437" t="s">
        <v>24</v>
      </c>
      <c r="G437">
        <v>19</v>
      </c>
      <c r="H437">
        <v>0</v>
      </c>
      <c r="I437">
        <v>0</v>
      </c>
      <c r="J437" t="s">
        <v>699</v>
      </c>
      <c r="K437">
        <v>8.1583000000000006</v>
      </c>
      <c r="M437" s="4" t="s">
        <v>1262</v>
      </c>
      <c r="N437" t="s">
        <v>20</v>
      </c>
    </row>
    <row r="438" spans="1:14" x14ac:dyDescent="0.25">
      <c r="A438">
        <v>69</v>
      </c>
      <c r="B438">
        <v>1</v>
      </c>
      <c r="C438">
        <v>3</v>
      </c>
      <c r="D438" t="s">
        <v>700</v>
      </c>
      <c r="E438" s="4">
        <v>31</v>
      </c>
      <c r="F438" t="s">
        <v>14</v>
      </c>
      <c r="G438">
        <v>17</v>
      </c>
      <c r="H438">
        <v>4</v>
      </c>
      <c r="I438">
        <v>2</v>
      </c>
      <c r="J438">
        <v>3101281</v>
      </c>
      <c r="K438">
        <v>7.9249999999999998</v>
      </c>
      <c r="M438" s="4" t="s">
        <v>1262</v>
      </c>
      <c r="N438" t="s">
        <v>20</v>
      </c>
    </row>
    <row r="439" spans="1:14" x14ac:dyDescent="0.25">
      <c r="A439">
        <v>70</v>
      </c>
      <c r="B439">
        <v>0</v>
      </c>
      <c r="C439">
        <v>3</v>
      </c>
      <c r="D439" t="s">
        <v>701</v>
      </c>
      <c r="E439" s="4">
        <v>17</v>
      </c>
      <c r="F439" t="s">
        <v>24</v>
      </c>
      <c r="G439">
        <v>26</v>
      </c>
      <c r="H439">
        <v>2</v>
      </c>
      <c r="I439">
        <v>0</v>
      </c>
      <c r="J439">
        <v>315151</v>
      </c>
      <c r="K439">
        <v>8.6624999999999996</v>
      </c>
      <c r="M439" s="4" t="s">
        <v>1262</v>
      </c>
      <c r="N439" t="s">
        <v>20</v>
      </c>
    </row>
    <row r="440" spans="1:14" x14ac:dyDescent="0.25">
      <c r="A440">
        <v>72</v>
      </c>
      <c r="B440">
        <v>0</v>
      </c>
      <c r="C440">
        <v>3</v>
      </c>
      <c r="D440" t="s">
        <v>702</v>
      </c>
      <c r="E440" s="4">
        <v>26</v>
      </c>
      <c r="F440" t="s">
        <v>14</v>
      </c>
      <c r="G440">
        <v>16</v>
      </c>
      <c r="H440">
        <v>5</v>
      </c>
      <c r="I440">
        <v>2</v>
      </c>
      <c r="J440" t="s">
        <v>693</v>
      </c>
      <c r="K440">
        <v>46.9</v>
      </c>
      <c r="M440" s="4" t="s">
        <v>1262</v>
      </c>
      <c r="N440" t="s">
        <v>20</v>
      </c>
    </row>
    <row r="441" spans="1:14" x14ac:dyDescent="0.25">
      <c r="A441">
        <v>74</v>
      </c>
      <c r="B441">
        <v>0</v>
      </c>
      <c r="C441">
        <v>3</v>
      </c>
      <c r="D441" t="s">
        <v>703</v>
      </c>
      <c r="E441" s="4">
        <v>27</v>
      </c>
      <c r="F441" t="s">
        <v>24</v>
      </c>
      <c r="G441">
        <v>26</v>
      </c>
      <c r="H441">
        <v>1</v>
      </c>
      <c r="I441">
        <v>0</v>
      </c>
      <c r="J441">
        <v>2680</v>
      </c>
      <c r="K441">
        <v>14.4542</v>
      </c>
      <c r="M441" s="4" t="s">
        <v>1262</v>
      </c>
      <c r="N441" t="s">
        <v>17</v>
      </c>
    </row>
    <row r="442" spans="1:14" x14ac:dyDescent="0.25">
      <c r="A442">
        <v>75</v>
      </c>
      <c r="B442">
        <v>1</v>
      </c>
      <c r="C442">
        <v>3</v>
      </c>
      <c r="D442" t="s">
        <v>704</v>
      </c>
      <c r="E442" s="4">
        <v>13</v>
      </c>
      <c r="F442" t="s">
        <v>24</v>
      </c>
      <c r="G442">
        <v>32</v>
      </c>
      <c r="H442">
        <v>0</v>
      </c>
      <c r="I442">
        <v>0</v>
      </c>
      <c r="J442">
        <v>1601</v>
      </c>
      <c r="K442">
        <v>56.495800000000003</v>
      </c>
      <c r="M442" s="4" t="s">
        <v>1262</v>
      </c>
      <c r="N442" t="s">
        <v>20</v>
      </c>
    </row>
    <row r="443" spans="1:14" x14ac:dyDescent="0.25">
      <c r="A443">
        <v>76</v>
      </c>
      <c r="B443">
        <v>0</v>
      </c>
      <c r="C443">
        <v>3</v>
      </c>
      <c r="D443" t="s">
        <v>705</v>
      </c>
      <c r="E443" s="4">
        <v>23</v>
      </c>
      <c r="F443" t="s">
        <v>24</v>
      </c>
      <c r="G443">
        <v>25</v>
      </c>
      <c r="H443">
        <v>0</v>
      </c>
      <c r="I443">
        <v>0</v>
      </c>
      <c r="J443">
        <v>348123</v>
      </c>
      <c r="K443">
        <v>7.65</v>
      </c>
      <c r="L443" t="s">
        <v>706</v>
      </c>
      <c r="M443" s="4" t="s">
        <v>185</v>
      </c>
      <c r="N443" t="s">
        <v>20</v>
      </c>
    </row>
    <row r="444" spans="1:14" x14ac:dyDescent="0.25">
      <c r="A444">
        <v>693</v>
      </c>
      <c r="B444">
        <v>1</v>
      </c>
      <c r="C444">
        <v>3</v>
      </c>
      <c r="D444" t="s">
        <v>707</v>
      </c>
      <c r="E444" s="4">
        <v>12</v>
      </c>
      <c r="F444" t="s">
        <v>24</v>
      </c>
      <c r="H444">
        <v>0</v>
      </c>
      <c r="I444">
        <v>0</v>
      </c>
      <c r="J444">
        <v>1601</v>
      </c>
      <c r="K444">
        <v>56.495800000000003</v>
      </c>
      <c r="M444" s="4" t="s">
        <v>1262</v>
      </c>
      <c r="N444" t="s">
        <v>20</v>
      </c>
    </row>
    <row r="445" spans="1:14" x14ac:dyDescent="0.25">
      <c r="A445">
        <v>80</v>
      </c>
      <c r="B445">
        <v>1</v>
      </c>
      <c r="C445">
        <v>3</v>
      </c>
      <c r="D445" t="s">
        <v>708</v>
      </c>
      <c r="E445" s="4">
        <v>24</v>
      </c>
      <c r="F445" t="s">
        <v>14</v>
      </c>
      <c r="G445">
        <v>30</v>
      </c>
      <c r="H445">
        <v>0</v>
      </c>
      <c r="I445">
        <v>0</v>
      </c>
      <c r="J445">
        <v>364516</v>
      </c>
      <c r="K445">
        <v>12.475</v>
      </c>
      <c r="M445" s="4" t="s">
        <v>1262</v>
      </c>
      <c r="N445" t="s">
        <v>20</v>
      </c>
    </row>
    <row r="446" spans="1:14" x14ac:dyDescent="0.25">
      <c r="A446">
        <v>81</v>
      </c>
      <c r="B446">
        <v>0</v>
      </c>
      <c r="C446">
        <v>3</v>
      </c>
      <c r="D446" t="s">
        <v>709</v>
      </c>
      <c r="E446" s="4">
        <v>20</v>
      </c>
      <c r="F446" t="s">
        <v>24</v>
      </c>
      <c r="G446">
        <v>22</v>
      </c>
      <c r="H446">
        <v>0</v>
      </c>
      <c r="I446">
        <v>0</v>
      </c>
      <c r="J446">
        <v>345767</v>
      </c>
      <c r="K446">
        <v>9</v>
      </c>
      <c r="M446" s="4" t="s">
        <v>1262</v>
      </c>
      <c r="N446" t="s">
        <v>20</v>
      </c>
    </row>
    <row r="447" spans="1:14" x14ac:dyDescent="0.25">
      <c r="A447">
        <v>82</v>
      </c>
      <c r="B447">
        <v>1</v>
      </c>
      <c r="C447">
        <v>3</v>
      </c>
      <c r="D447" t="s">
        <v>710</v>
      </c>
      <c r="E447" s="4">
        <v>27</v>
      </c>
      <c r="F447" t="s">
        <v>24</v>
      </c>
      <c r="G447">
        <v>29</v>
      </c>
      <c r="H447">
        <v>0</v>
      </c>
      <c r="I447">
        <v>0</v>
      </c>
      <c r="J447">
        <v>345779</v>
      </c>
      <c r="K447">
        <v>9.5</v>
      </c>
      <c r="M447" s="4" t="s">
        <v>1262</v>
      </c>
      <c r="N447" t="s">
        <v>20</v>
      </c>
    </row>
    <row r="448" spans="1:14" x14ac:dyDescent="0.25">
      <c r="A448">
        <v>86</v>
      </c>
      <c r="B448">
        <v>1</v>
      </c>
      <c r="C448">
        <v>3</v>
      </c>
      <c r="D448" t="s">
        <v>711</v>
      </c>
      <c r="E448" s="4">
        <v>55</v>
      </c>
      <c r="F448" t="s">
        <v>14</v>
      </c>
      <c r="G448">
        <v>33</v>
      </c>
      <c r="H448">
        <v>3</v>
      </c>
      <c r="I448">
        <v>0</v>
      </c>
      <c r="J448">
        <v>3101278</v>
      </c>
      <c r="K448">
        <v>15.85</v>
      </c>
      <c r="M448" s="4" t="s">
        <v>1262</v>
      </c>
      <c r="N448" t="s">
        <v>20</v>
      </c>
    </row>
    <row r="449" spans="1:14" x14ac:dyDescent="0.25">
      <c r="A449">
        <v>87</v>
      </c>
      <c r="B449">
        <v>0</v>
      </c>
      <c r="C449">
        <v>3</v>
      </c>
      <c r="D449" t="s">
        <v>712</v>
      </c>
      <c r="E449" s="4">
        <v>22</v>
      </c>
      <c r="F449" t="s">
        <v>24</v>
      </c>
      <c r="G449">
        <v>16</v>
      </c>
      <c r="H449">
        <v>1</v>
      </c>
      <c r="I449">
        <v>3</v>
      </c>
      <c r="J449" t="s">
        <v>713</v>
      </c>
      <c r="K449">
        <v>34.375</v>
      </c>
      <c r="M449" s="4" t="s">
        <v>1262</v>
      </c>
      <c r="N449" t="s">
        <v>20</v>
      </c>
    </row>
    <row r="450" spans="1:14" x14ac:dyDescent="0.25">
      <c r="A450">
        <v>90</v>
      </c>
      <c r="B450">
        <v>0</v>
      </c>
      <c r="C450">
        <v>3</v>
      </c>
      <c r="D450" t="s">
        <v>714</v>
      </c>
      <c r="E450" s="4">
        <v>22</v>
      </c>
      <c r="F450" t="s">
        <v>24</v>
      </c>
      <c r="G450">
        <v>24</v>
      </c>
      <c r="H450">
        <v>0</v>
      </c>
      <c r="I450">
        <v>0</v>
      </c>
      <c r="J450">
        <v>343275</v>
      </c>
      <c r="K450">
        <v>8.0500000000000007</v>
      </c>
      <c r="M450" s="4" t="s">
        <v>1262</v>
      </c>
      <c r="N450" t="s">
        <v>20</v>
      </c>
    </row>
    <row r="451" spans="1:14" x14ac:dyDescent="0.25">
      <c r="A451">
        <v>91</v>
      </c>
      <c r="B451">
        <v>0</v>
      </c>
      <c r="C451">
        <v>3</v>
      </c>
      <c r="D451" t="s">
        <v>715</v>
      </c>
      <c r="E451" s="4">
        <v>20</v>
      </c>
      <c r="F451" t="s">
        <v>24</v>
      </c>
      <c r="G451">
        <v>29</v>
      </c>
      <c r="H451">
        <v>0</v>
      </c>
      <c r="I451">
        <v>0</v>
      </c>
      <c r="J451">
        <v>343276</v>
      </c>
      <c r="K451">
        <v>8.0500000000000007</v>
      </c>
      <c r="M451" s="4" t="s">
        <v>1262</v>
      </c>
      <c r="N451" t="s">
        <v>20</v>
      </c>
    </row>
    <row r="452" spans="1:14" x14ac:dyDescent="0.25">
      <c r="A452">
        <v>92</v>
      </c>
      <c r="B452">
        <v>0</v>
      </c>
      <c r="C452">
        <v>3</v>
      </c>
      <c r="D452" t="s">
        <v>716</v>
      </c>
      <c r="E452" s="4">
        <v>26</v>
      </c>
      <c r="F452" t="s">
        <v>24</v>
      </c>
      <c r="G452">
        <v>20</v>
      </c>
      <c r="H452">
        <v>0</v>
      </c>
      <c r="I452">
        <v>0</v>
      </c>
      <c r="J452">
        <v>347466</v>
      </c>
      <c r="K452">
        <v>7.8541999999999996</v>
      </c>
      <c r="M452" s="4" t="s">
        <v>1262</v>
      </c>
      <c r="N452" t="s">
        <v>20</v>
      </c>
    </row>
    <row r="453" spans="1:14" x14ac:dyDescent="0.25">
      <c r="A453">
        <v>94</v>
      </c>
      <c r="B453">
        <v>0</v>
      </c>
      <c r="C453">
        <v>3</v>
      </c>
      <c r="D453" t="s">
        <v>717</v>
      </c>
      <c r="E453" s="4">
        <v>23</v>
      </c>
      <c r="F453" t="s">
        <v>24</v>
      </c>
      <c r="G453">
        <v>26</v>
      </c>
      <c r="H453">
        <v>1</v>
      </c>
      <c r="I453">
        <v>2</v>
      </c>
      <c r="J453" t="s">
        <v>718</v>
      </c>
      <c r="K453">
        <v>20.574999999999999</v>
      </c>
      <c r="M453" s="4" t="s">
        <v>1262</v>
      </c>
      <c r="N453" t="s">
        <v>20</v>
      </c>
    </row>
    <row r="454" spans="1:14" x14ac:dyDescent="0.25">
      <c r="A454">
        <v>95</v>
      </c>
      <c r="B454">
        <v>0</v>
      </c>
      <c r="C454">
        <v>3</v>
      </c>
      <c r="D454" t="s">
        <v>719</v>
      </c>
      <c r="E454" s="4">
        <v>17</v>
      </c>
      <c r="F454" t="s">
        <v>24</v>
      </c>
      <c r="G454">
        <v>59</v>
      </c>
      <c r="H454">
        <v>0</v>
      </c>
      <c r="I454">
        <v>0</v>
      </c>
      <c r="J454">
        <v>364500</v>
      </c>
      <c r="K454">
        <v>7.25</v>
      </c>
      <c r="M454" s="4" t="s">
        <v>1262</v>
      </c>
      <c r="N454" t="s">
        <v>20</v>
      </c>
    </row>
    <row r="455" spans="1:14" x14ac:dyDescent="0.25">
      <c r="A455">
        <v>101</v>
      </c>
      <c r="B455">
        <v>0</v>
      </c>
      <c r="C455">
        <v>3</v>
      </c>
      <c r="D455" t="s">
        <v>720</v>
      </c>
      <c r="E455" s="4">
        <v>23</v>
      </c>
      <c r="F455" t="s">
        <v>14</v>
      </c>
      <c r="G455">
        <v>28</v>
      </c>
      <c r="H455">
        <v>0</v>
      </c>
      <c r="I455">
        <v>0</v>
      </c>
      <c r="J455">
        <v>349245</v>
      </c>
      <c r="K455">
        <v>7.8958000000000004</v>
      </c>
      <c r="M455" s="4" t="s">
        <v>1262</v>
      </c>
      <c r="N455" t="s">
        <v>20</v>
      </c>
    </row>
    <row r="456" spans="1:14" x14ac:dyDescent="0.25">
      <c r="A456">
        <v>104</v>
      </c>
      <c r="B456">
        <v>0</v>
      </c>
      <c r="C456">
        <v>3</v>
      </c>
      <c r="D456" t="s">
        <v>721</v>
      </c>
      <c r="E456" s="4">
        <v>26</v>
      </c>
      <c r="F456" t="s">
        <v>24</v>
      </c>
      <c r="G456">
        <v>33</v>
      </c>
      <c r="H456">
        <v>0</v>
      </c>
      <c r="I456">
        <v>0</v>
      </c>
      <c r="J456">
        <v>7540</v>
      </c>
      <c r="K456">
        <v>8.6541999999999994</v>
      </c>
      <c r="M456" s="4" t="s">
        <v>1262</v>
      </c>
      <c r="N456" t="s">
        <v>20</v>
      </c>
    </row>
    <row r="457" spans="1:14" x14ac:dyDescent="0.25">
      <c r="A457">
        <v>105</v>
      </c>
      <c r="B457">
        <v>0</v>
      </c>
      <c r="C457">
        <v>3</v>
      </c>
      <c r="D457" t="s">
        <v>722</v>
      </c>
      <c r="E457" s="4">
        <v>30</v>
      </c>
      <c r="F457" t="s">
        <v>24</v>
      </c>
      <c r="G457">
        <v>37</v>
      </c>
      <c r="H457">
        <v>2</v>
      </c>
      <c r="I457">
        <v>0</v>
      </c>
      <c r="J457">
        <v>3101276</v>
      </c>
      <c r="K457">
        <v>7.9249999999999998</v>
      </c>
      <c r="M457" s="4" t="s">
        <v>1262</v>
      </c>
      <c r="N457" t="s">
        <v>20</v>
      </c>
    </row>
    <row r="458" spans="1:14" x14ac:dyDescent="0.25">
      <c r="A458">
        <v>106</v>
      </c>
      <c r="B458">
        <v>0</v>
      </c>
      <c r="C458">
        <v>3</v>
      </c>
      <c r="D458" t="s">
        <v>723</v>
      </c>
      <c r="E458" s="4">
        <v>21</v>
      </c>
      <c r="F458" t="s">
        <v>24</v>
      </c>
      <c r="G458">
        <v>28</v>
      </c>
      <c r="H458">
        <v>0</v>
      </c>
      <c r="I458">
        <v>0</v>
      </c>
      <c r="J458">
        <v>349207</v>
      </c>
      <c r="K458">
        <v>7.8958000000000004</v>
      </c>
      <c r="M458" s="4" t="s">
        <v>1262</v>
      </c>
      <c r="N458" t="s">
        <v>20</v>
      </c>
    </row>
    <row r="459" spans="1:14" x14ac:dyDescent="0.25">
      <c r="A459">
        <v>107</v>
      </c>
      <c r="B459">
        <v>1</v>
      </c>
      <c r="C459">
        <v>3</v>
      </c>
      <c r="D459" t="s">
        <v>724</v>
      </c>
      <c r="E459" s="4">
        <v>32</v>
      </c>
      <c r="F459" t="s">
        <v>14</v>
      </c>
      <c r="G459">
        <v>21</v>
      </c>
      <c r="H459">
        <v>0</v>
      </c>
      <c r="I459">
        <v>0</v>
      </c>
      <c r="J459">
        <v>343120</v>
      </c>
      <c r="K459">
        <v>7.65</v>
      </c>
      <c r="M459" s="4" t="s">
        <v>1262</v>
      </c>
      <c r="N459" t="s">
        <v>20</v>
      </c>
    </row>
    <row r="460" spans="1:14" x14ac:dyDescent="0.25">
      <c r="A460">
        <v>109</v>
      </c>
      <c r="B460">
        <v>0</v>
      </c>
      <c r="C460">
        <v>3</v>
      </c>
      <c r="D460" t="s">
        <v>725</v>
      </c>
      <c r="E460" s="4">
        <v>15</v>
      </c>
      <c r="F460" t="s">
        <v>24</v>
      </c>
      <c r="G460">
        <v>38</v>
      </c>
      <c r="H460">
        <v>0</v>
      </c>
      <c r="I460">
        <v>0</v>
      </c>
      <c r="J460">
        <v>349249</v>
      </c>
      <c r="K460">
        <v>7.8958000000000004</v>
      </c>
      <c r="M460" s="4" t="s">
        <v>1262</v>
      </c>
      <c r="N460" t="s">
        <v>20</v>
      </c>
    </row>
    <row r="461" spans="1:14" x14ac:dyDescent="0.25">
      <c r="A461">
        <v>112</v>
      </c>
      <c r="B461">
        <v>0</v>
      </c>
      <c r="C461">
        <v>3</v>
      </c>
      <c r="D461" t="s">
        <v>726</v>
      </c>
      <c r="E461" s="4">
        <v>20</v>
      </c>
      <c r="F461" t="s">
        <v>14</v>
      </c>
      <c r="G461">
        <v>14.5</v>
      </c>
      <c r="H461">
        <v>1</v>
      </c>
      <c r="I461">
        <v>0</v>
      </c>
      <c r="J461">
        <v>2665</v>
      </c>
      <c r="K461">
        <v>14.4542</v>
      </c>
      <c r="M461" s="4" t="s">
        <v>1262</v>
      </c>
      <c r="N461" t="s">
        <v>17</v>
      </c>
    </row>
    <row r="462" spans="1:14" x14ac:dyDescent="0.25">
      <c r="A462">
        <v>113</v>
      </c>
      <c r="B462">
        <v>0</v>
      </c>
      <c r="C462">
        <v>3</v>
      </c>
      <c r="D462" t="s">
        <v>727</v>
      </c>
      <c r="E462" s="4">
        <v>22</v>
      </c>
      <c r="F462" t="s">
        <v>24</v>
      </c>
      <c r="G462">
        <v>22</v>
      </c>
      <c r="H462">
        <v>0</v>
      </c>
      <c r="I462">
        <v>0</v>
      </c>
      <c r="J462">
        <v>324669</v>
      </c>
      <c r="K462">
        <v>8.0500000000000007</v>
      </c>
      <c r="M462" s="4" t="s">
        <v>1262</v>
      </c>
      <c r="N462" t="s">
        <v>20</v>
      </c>
    </row>
    <row r="463" spans="1:14" x14ac:dyDescent="0.25">
      <c r="A463">
        <v>114</v>
      </c>
      <c r="B463">
        <v>0</v>
      </c>
      <c r="C463">
        <v>3</v>
      </c>
      <c r="D463" t="s">
        <v>728</v>
      </c>
      <c r="E463" s="4">
        <v>23</v>
      </c>
      <c r="F463" t="s">
        <v>14</v>
      </c>
      <c r="G463">
        <v>20</v>
      </c>
      <c r="H463">
        <v>1</v>
      </c>
      <c r="I463">
        <v>0</v>
      </c>
      <c r="J463">
        <v>4136</v>
      </c>
      <c r="K463">
        <v>9.8249999999999993</v>
      </c>
      <c r="M463" s="4" t="s">
        <v>1262</v>
      </c>
      <c r="N463" t="s">
        <v>20</v>
      </c>
    </row>
    <row r="464" spans="1:14" x14ac:dyDescent="0.25">
      <c r="A464">
        <v>115</v>
      </c>
      <c r="B464">
        <v>0</v>
      </c>
      <c r="C464">
        <v>3</v>
      </c>
      <c r="D464" t="s">
        <v>729</v>
      </c>
      <c r="E464" s="4">
        <v>21</v>
      </c>
      <c r="F464" t="s">
        <v>14</v>
      </c>
      <c r="G464">
        <v>17</v>
      </c>
      <c r="H464">
        <v>0</v>
      </c>
      <c r="I464">
        <v>0</v>
      </c>
      <c r="J464">
        <v>2627</v>
      </c>
      <c r="K464">
        <v>14.458299999999999</v>
      </c>
      <c r="M464" s="4" t="s">
        <v>1262</v>
      </c>
      <c r="N464" t="s">
        <v>17</v>
      </c>
    </row>
    <row r="465" spans="1:14" x14ac:dyDescent="0.25">
      <c r="A465">
        <v>116</v>
      </c>
      <c r="B465">
        <v>0</v>
      </c>
      <c r="C465">
        <v>3</v>
      </c>
      <c r="D465" t="s">
        <v>730</v>
      </c>
      <c r="E465" s="4">
        <v>21</v>
      </c>
      <c r="F465" t="s">
        <v>24</v>
      </c>
      <c r="G465">
        <v>21</v>
      </c>
      <c r="H465">
        <v>0</v>
      </c>
      <c r="I465">
        <v>0</v>
      </c>
      <c r="J465" t="s">
        <v>731</v>
      </c>
      <c r="K465">
        <v>7.9249999999999998</v>
      </c>
      <c r="M465" s="4" t="s">
        <v>1262</v>
      </c>
      <c r="N465" t="s">
        <v>20</v>
      </c>
    </row>
    <row r="466" spans="1:14" x14ac:dyDescent="0.25">
      <c r="A466">
        <v>117</v>
      </c>
      <c r="B466">
        <v>0</v>
      </c>
      <c r="C466">
        <v>3</v>
      </c>
      <c r="D466" t="s">
        <v>732</v>
      </c>
      <c r="E466" s="4">
        <v>20</v>
      </c>
      <c r="F466" t="s">
        <v>24</v>
      </c>
      <c r="G466">
        <v>70.5</v>
      </c>
      <c r="H466">
        <v>0</v>
      </c>
      <c r="I466">
        <v>0</v>
      </c>
      <c r="J466">
        <v>370369</v>
      </c>
      <c r="K466">
        <v>7.75</v>
      </c>
      <c r="M466" s="4" t="s">
        <v>1262</v>
      </c>
      <c r="N466" t="s">
        <v>161</v>
      </c>
    </row>
    <row r="467" spans="1:14" x14ac:dyDescent="0.25">
      <c r="A467">
        <v>120</v>
      </c>
      <c r="B467">
        <v>0</v>
      </c>
      <c r="C467">
        <v>3</v>
      </c>
      <c r="D467" t="s">
        <v>733</v>
      </c>
      <c r="E467" s="4">
        <v>33</v>
      </c>
      <c r="F467" t="s">
        <v>14</v>
      </c>
      <c r="G467">
        <v>2</v>
      </c>
      <c r="H467">
        <v>4</v>
      </c>
      <c r="I467">
        <v>2</v>
      </c>
      <c r="J467">
        <v>347082</v>
      </c>
      <c r="K467">
        <v>31.274999999999999</v>
      </c>
      <c r="M467" s="4" t="s">
        <v>1262</v>
      </c>
      <c r="N467" t="s">
        <v>20</v>
      </c>
    </row>
    <row r="468" spans="1:14" x14ac:dyDescent="0.25">
      <c r="A468">
        <v>126</v>
      </c>
      <c r="B468">
        <v>1</v>
      </c>
      <c r="C468">
        <v>3</v>
      </c>
      <c r="D468" t="s">
        <v>734</v>
      </c>
      <c r="E468" s="4">
        <v>28</v>
      </c>
      <c r="F468" t="s">
        <v>24</v>
      </c>
      <c r="G468">
        <v>12</v>
      </c>
      <c r="H468">
        <v>1</v>
      </c>
      <c r="I468">
        <v>0</v>
      </c>
      <c r="J468">
        <v>2651</v>
      </c>
      <c r="K468">
        <v>11.2417</v>
      </c>
      <c r="M468" s="4" t="s">
        <v>1262</v>
      </c>
      <c r="N468" t="s">
        <v>17</v>
      </c>
    </row>
    <row r="469" spans="1:14" x14ac:dyDescent="0.25">
      <c r="A469">
        <v>128</v>
      </c>
      <c r="B469">
        <v>1</v>
      </c>
      <c r="C469">
        <v>3</v>
      </c>
      <c r="D469" t="s">
        <v>735</v>
      </c>
      <c r="E469" s="4">
        <v>25</v>
      </c>
      <c r="F469" t="s">
        <v>24</v>
      </c>
      <c r="G469">
        <v>24</v>
      </c>
      <c r="H469">
        <v>0</v>
      </c>
      <c r="I469">
        <v>0</v>
      </c>
      <c r="J469" t="s">
        <v>736</v>
      </c>
      <c r="K469">
        <v>7.1417000000000002</v>
      </c>
      <c r="M469" s="4" t="s">
        <v>1262</v>
      </c>
      <c r="N469" t="s">
        <v>20</v>
      </c>
    </row>
    <row r="470" spans="1:14" x14ac:dyDescent="0.25">
      <c r="A470">
        <v>130</v>
      </c>
      <c r="B470">
        <v>0</v>
      </c>
      <c r="C470">
        <v>3</v>
      </c>
      <c r="D470" t="s">
        <v>737</v>
      </c>
      <c r="E470" s="4">
        <v>18</v>
      </c>
      <c r="F470" t="s">
        <v>24</v>
      </c>
      <c r="G470">
        <v>45</v>
      </c>
      <c r="H470">
        <v>0</v>
      </c>
      <c r="I470">
        <v>0</v>
      </c>
      <c r="J470">
        <v>347061</v>
      </c>
      <c r="K470">
        <v>6.9749999999999996</v>
      </c>
      <c r="M470" s="4" t="s">
        <v>1262</v>
      </c>
      <c r="N470" t="s">
        <v>20</v>
      </c>
    </row>
    <row r="471" spans="1:14" x14ac:dyDescent="0.25">
      <c r="A471">
        <v>131</v>
      </c>
      <c r="B471">
        <v>0</v>
      </c>
      <c r="C471">
        <v>3</v>
      </c>
      <c r="D471" t="s">
        <v>738</v>
      </c>
      <c r="E471" s="4">
        <v>20</v>
      </c>
      <c r="F471" t="s">
        <v>24</v>
      </c>
      <c r="G471">
        <v>33</v>
      </c>
      <c r="H471">
        <v>0</v>
      </c>
      <c r="I471">
        <v>0</v>
      </c>
      <c r="J471">
        <v>349241</v>
      </c>
      <c r="K471">
        <v>7.8958000000000004</v>
      </c>
      <c r="M471" s="4" t="s">
        <v>1262</v>
      </c>
      <c r="N471" t="s">
        <v>17</v>
      </c>
    </row>
    <row r="472" spans="1:14" x14ac:dyDescent="0.25">
      <c r="A472">
        <v>132</v>
      </c>
      <c r="B472">
        <v>0</v>
      </c>
      <c r="C472">
        <v>3</v>
      </c>
      <c r="D472" t="s">
        <v>739</v>
      </c>
      <c r="E472" s="4">
        <v>30</v>
      </c>
      <c r="F472" t="s">
        <v>24</v>
      </c>
      <c r="G472">
        <v>20</v>
      </c>
      <c r="H472">
        <v>0</v>
      </c>
      <c r="I472">
        <v>0</v>
      </c>
      <c r="J472" t="s">
        <v>740</v>
      </c>
      <c r="K472">
        <v>7.05</v>
      </c>
      <c r="M472" s="4" t="s">
        <v>1262</v>
      </c>
      <c r="N472" t="s">
        <v>20</v>
      </c>
    </row>
    <row r="473" spans="1:14" x14ac:dyDescent="0.25">
      <c r="A473">
        <v>133</v>
      </c>
      <c r="B473">
        <v>0</v>
      </c>
      <c r="C473">
        <v>3</v>
      </c>
      <c r="D473" t="s">
        <v>741</v>
      </c>
      <c r="E473" s="4">
        <v>46</v>
      </c>
      <c r="F473" t="s">
        <v>14</v>
      </c>
      <c r="G473">
        <v>47</v>
      </c>
      <c r="H473">
        <v>1</v>
      </c>
      <c r="I473">
        <v>0</v>
      </c>
      <c r="J473" t="s">
        <v>742</v>
      </c>
      <c r="K473">
        <v>14.5</v>
      </c>
      <c r="M473" s="4" t="s">
        <v>1262</v>
      </c>
      <c r="N473" t="s">
        <v>20</v>
      </c>
    </row>
    <row r="474" spans="1:14" x14ac:dyDescent="0.25">
      <c r="A474">
        <v>139</v>
      </c>
      <c r="B474">
        <v>0</v>
      </c>
      <c r="C474">
        <v>3</v>
      </c>
      <c r="D474" t="s">
        <v>743</v>
      </c>
      <c r="E474" s="4">
        <v>19</v>
      </c>
      <c r="F474" t="s">
        <v>24</v>
      </c>
      <c r="G474">
        <v>16</v>
      </c>
      <c r="H474">
        <v>0</v>
      </c>
      <c r="I474">
        <v>0</v>
      </c>
      <c r="J474">
        <v>7534</v>
      </c>
      <c r="K474">
        <v>9.2166999999999994</v>
      </c>
      <c r="M474" s="4" t="s">
        <v>1262</v>
      </c>
      <c r="N474" t="s">
        <v>20</v>
      </c>
    </row>
    <row r="475" spans="1:14" x14ac:dyDescent="0.25">
      <c r="A475">
        <v>142</v>
      </c>
      <c r="B475">
        <v>1</v>
      </c>
      <c r="C475">
        <v>3</v>
      </c>
      <c r="D475" t="s">
        <v>744</v>
      </c>
      <c r="E475" s="4">
        <v>24</v>
      </c>
      <c r="F475" t="s">
        <v>14</v>
      </c>
      <c r="G475">
        <v>22</v>
      </c>
      <c r="H475">
        <v>0</v>
      </c>
      <c r="I475">
        <v>0</v>
      </c>
      <c r="J475">
        <v>347081</v>
      </c>
      <c r="K475">
        <v>7.75</v>
      </c>
      <c r="M475" s="4" t="s">
        <v>1262</v>
      </c>
      <c r="N475" t="s">
        <v>20</v>
      </c>
    </row>
    <row r="476" spans="1:14" x14ac:dyDescent="0.25">
      <c r="A476">
        <v>143</v>
      </c>
      <c r="B476">
        <v>1</v>
      </c>
      <c r="C476">
        <v>3</v>
      </c>
      <c r="D476" t="s">
        <v>745</v>
      </c>
      <c r="E476" s="4">
        <v>52</v>
      </c>
      <c r="F476" t="s">
        <v>14</v>
      </c>
      <c r="G476">
        <v>24</v>
      </c>
      <c r="H476">
        <v>1</v>
      </c>
      <c r="I476">
        <v>0</v>
      </c>
      <c r="J476" t="s">
        <v>746</v>
      </c>
      <c r="K476">
        <v>15.85</v>
      </c>
      <c r="M476" s="4" t="s">
        <v>1262</v>
      </c>
      <c r="N476" t="s">
        <v>20</v>
      </c>
    </row>
    <row r="477" spans="1:14" x14ac:dyDescent="0.25">
      <c r="A477">
        <v>144</v>
      </c>
      <c r="B477">
        <v>0</v>
      </c>
      <c r="C477">
        <v>3</v>
      </c>
      <c r="D477" t="s">
        <v>747</v>
      </c>
      <c r="E477" s="4">
        <v>19</v>
      </c>
      <c r="F477" t="s">
        <v>24</v>
      </c>
      <c r="G477">
        <v>19</v>
      </c>
      <c r="H477">
        <v>0</v>
      </c>
      <c r="I477">
        <v>0</v>
      </c>
      <c r="J477">
        <v>365222</v>
      </c>
      <c r="K477">
        <v>6.75</v>
      </c>
      <c r="M477" s="4" t="s">
        <v>1262</v>
      </c>
      <c r="N477" t="s">
        <v>161</v>
      </c>
    </row>
    <row r="478" spans="1:14" x14ac:dyDescent="0.25">
      <c r="A478">
        <v>147</v>
      </c>
      <c r="B478">
        <v>1</v>
      </c>
      <c r="C478">
        <v>3</v>
      </c>
      <c r="D478" t="s">
        <v>748</v>
      </c>
      <c r="E478" s="4">
        <v>44</v>
      </c>
      <c r="F478" t="s">
        <v>24</v>
      </c>
      <c r="G478">
        <v>27</v>
      </c>
      <c r="H478">
        <v>0</v>
      </c>
      <c r="I478">
        <v>0</v>
      </c>
      <c r="J478">
        <v>350043</v>
      </c>
      <c r="K478">
        <v>7.7957999999999998</v>
      </c>
      <c r="M478" s="4" t="s">
        <v>1262</v>
      </c>
      <c r="N478" t="s">
        <v>20</v>
      </c>
    </row>
    <row r="479" spans="1:14" x14ac:dyDescent="0.25">
      <c r="A479">
        <v>148</v>
      </c>
      <c r="B479">
        <v>0</v>
      </c>
      <c r="C479">
        <v>3</v>
      </c>
      <c r="D479" t="s">
        <v>749</v>
      </c>
      <c r="E479" s="4">
        <v>32</v>
      </c>
      <c r="F479" t="s">
        <v>14</v>
      </c>
      <c r="G479">
        <v>9</v>
      </c>
      <c r="H479">
        <v>2</v>
      </c>
      <c r="I479">
        <v>2</v>
      </c>
      <c r="J479" t="s">
        <v>713</v>
      </c>
      <c r="K479">
        <v>34.375</v>
      </c>
      <c r="M479" s="4" t="s">
        <v>1262</v>
      </c>
      <c r="N479" t="s">
        <v>20</v>
      </c>
    </row>
    <row r="480" spans="1:14" x14ac:dyDescent="0.25">
      <c r="A480">
        <v>153</v>
      </c>
      <c r="B480">
        <v>0</v>
      </c>
      <c r="C480">
        <v>3</v>
      </c>
      <c r="D480" t="s">
        <v>750</v>
      </c>
      <c r="E480" s="4">
        <v>16</v>
      </c>
      <c r="F480" t="s">
        <v>24</v>
      </c>
      <c r="G480">
        <v>55.5</v>
      </c>
      <c r="H480">
        <v>0</v>
      </c>
      <c r="I480">
        <v>0</v>
      </c>
      <c r="J480" t="s">
        <v>751</v>
      </c>
      <c r="K480">
        <v>8.0500000000000007</v>
      </c>
      <c r="M480" s="4" t="s">
        <v>1262</v>
      </c>
      <c r="N480" t="s">
        <v>20</v>
      </c>
    </row>
    <row r="481" spans="1:14" x14ac:dyDescent="0.25">
      <c r="A481">
        <v>154</v>
      </c>
      <c r="B481">
        <v>0</v>
      </c>
      <c r="C481">
        <v>3</v>
      </c>
      <c r="D481" t="s">
        <v>752</v>
      </c>
      <c r="E481" s="4">
        <v>31</v>
      </c>
      <c r="F481" t="s">
        <v>24</v>
      </c>
      <c r="G481">
        <v>40.5</v>
      </c>
      <c r="H481">
        <v>0</v>
      </c>
      <c r="I481">
        <v>2</v>
      </c>
      <c r="J481" t="s">
        <v>753</v>
      </c>
      <c r="K481">
        <v>14.5</v>
      </c>
      <c r="M481" s="4" t="s">
        <v>1262</v>
      </c>
      <c r="N481" t="s">
        <v>20</v>
      </c>
    </row>
    <row r="482" spans="1:14" x14ac:dyDescent="0.25">
      <c r="A482">
        <v>157</v>
      </c>
      <c r="B482">
        <v>1</v>
      </c>
      <c r="C482">
        <v>3</v>
      </c>
      <c r="D482" t="s">
        <v>754</v>
      </c>
      <c r="E482" s="4">
        <v>32</v>
      </c>
      <c r="F482" t="s">
        <v>14</v>
      </c>
      <c r="G482">
        <v>16</v>
      </c>
      <c r="H482">
        <v>0</v>
      </c>
      <c r="I482">
        <v>0</v>
      </c>
      <c r="J482">
        <v>35851</v>
      </c>
      <c r="K482">
        <v>7.7332999999999998</v>
      </c>
      <c r="M482" s="4" t="s">
        <v>1262</v>
      </c>
      <c r="N482" t="s">
        <v>161</v>
      </c>
    </row>
    <row r="483" spans="1:14" x14ac:dyDescent="0.25">
      <c r="A483">
        <v>158</v>
      </c>
      <c r="B483">
        <v>0</v>
      </c>
      <c r="C483">
        <v>3</v>
      </c>
      <c r="D483" t="s">
        <v>755</v>
      </c>
      <c r="E483" s="4">
        <v>15</v>
      </c>
      <c r="F483" t="s">
        <v>24</v>
      </c>
      <c r="G483">
        <v>30</v>
      </c>
      <c r="H483">
        <v>0</v>
      </c>
      <c r="I483">
        <v>0</v>
      </c>
      <c r="J483" t="s">
        <v>756</v>
      </c>
      <c r="K483">
        <v>8.0500000000000007</v>
      </c>
      <c r="M483" s="4" t="s">
        <v>1262</v>
      </c>
      <c r="N483" t="s">
        <v>20</v>
      </c>
    </row>
    <row r="484" spans="1:14" x14ac:dyDescent="0.25">
      <c r="A484">
        <v>161</v>
      </c>
      <c r="B484">
        <v>0</v>
      </c>
      <c r="C484">
        <v>3</v>
      </c>
      <c r="D484" t="s">
        <v>757</v>
      </c>
      <c r="E484" s="4">
        <v>24</v>
      </c>
      <c r="F484" t="s">
        <v>24</v>
      </c>
      <c r="G484">
        <v>44</v>
      </c>
      <c r="H484">
        <v>0</v>
      </c>
      <c r="I484">
        <v>1</v>
      </c>
      <c r="J484">
        <v>371362</v>
      </c>
      <c r="K484">
        <v>16.100000000000001</v>
      </c>
      <c r="M484" s="4" t="s">
        <v>1262</v>
      </c>
      <c r="N484" t="s">
        <v>20</v>
      </c>
    </row>
    <row r="485" spans="1:14" x14ac:dyDescent="0.25">
      <c r="A485">
        <v>163</v>
      </c>
      <c r="B485">
        <v>0</v>
      </c>
      <c r="C485">
        <v>3</v>
      </c>
      <c r="D485" t="s">
        <v>758</v>
      </c>
      <c r="E485" s="4">
        <v>26</v>
      </c>
      <c r="F485" t="s">
        <v>24</v>
      </c>
      <c r="G485">
        <v>26</v>
      </c>
      <c r="H485">
        <v>0</v>
      </c>
      <c r="I485">
        <v>0</v>
      </c>
      <c r="J485">
        <v>347068</v>
      </c>
      <c r="K485">
        <v>7.7750000000000004</v>
      </c>
      <c r="M485" s="4" t="s">
        <v>1262</v>
      </c>
      <c r="N485" t="s">
        <v>20</v>
      </c>
    </row>
    <row r="486" spans="1:14" x14ac:dyDescent="0.25">
      <c r="A486">
        <v>164</v>
      </c>
      <c r="B486">
        <v>0</v>
      </c>
      <c r="C486">
        <v>3</v>
      </c>
      <c r="D486" t="s">
        <v>759</v>
      </c>
      <c r="E486" s="4">
        <v>15</v>
      </c>
      <c r="F486" t="s">
        <v>24</v>
      </c>
      <c r="G486">
        <v>17</v>
      </c>
      <c r="H486">
        <v>0</v>
      </c>
      <c r="I486">
        <v>0</v>
      </c>
      <c r="J486">
        <v>315093</v>
      </c>
      <c r="K486">
        <v>8.6624999999999996</v>
      </c>
      <c r="M486" s="4" t="s">
        <v>1262</v>
      </c>
      <c r="N486" t="s">
        <v>20</v>
      </c>
    </row>
    <row r="487" spans="1:14" x14ac:dyDescent="0.25">
      <c r="A487">
        <v>165</v>
      </c>
      <c r="B487">
        <v>0</v>
      </c>
      <c r="C487">
        <v>3</v>
      </c>
      <c r="D487" t="s">
        <v>760</v>
      </c>
      <c r="E487" s="4">
        <v>28</v>
      </c>
      <c r="F487" t="s">
        <v>24</v>
      </c>
      <c r="G487">
        <v>1</v>
      </c>
      <c r="H487">
        <v>4</v>
      </c>
      <c r="I487">
        <v>1</v>
      </c>
      <c r="J487">
        <v>3101295</v>
      </c>
      <c r="K487">
        <v>39.6875</v>
      </c>
      <c r="M487" s="4" t="s">
        <v>1262</v>
      </c>
      <c r="N487" t="s">
        <v>20</v>
      </c>
    </row>
    <row r="488" spans="1:14" x14ac:dyDescent="0.25">
      <c r="A488">
        <v>166</v>
      </c>
      <c r="B488">
        <v>1</v>
      </c>
      <c r="C488">
        <v>3</v>
      </c>
      <c r="D488" t="s">
        <v>761</v>
      </c>
      <c r="E488" s="4">
        <v>47</v>
      </c>
      <c r="F488" t="s">
        <v>24</v>
      </c>
      <c r="G488">
        <v>9</v>
      </c>
      <c r="H488">
        <v>0</v>
      </c>
      <c r="I488">
        <v>2</v>
      </c>
      <c r="J488">
        <v>363291</v>
      </c>
      <c r="K488">
        <v>20.524999999999999</v>
      </c>
      <c r="M488" s="4" t="s">
        <v>1262</v>
      </c>
      <c r="N488" t="s">
        <v>20</v>
      </c>
    </row>
    <row r="489" spans="1:14" x14ac:dyDescent="0.25">
      <c r="A489">
        <v>168</v>
      </c>
      <c r="B489">
        <v>0</v>
      </c>
      <c r="C489">
        <v>3</v>
      </c>
      <c r="D489" t="s">
        <v>762</v>
      </c>
      <c r="E489" s="4">
        <v>47</v>
      </c>
      <c r="F489" t="s">
        <v>14</v>
      </c>
      <c r="G489">
        <v>45</v>
      </c>
      <c r="H489">
        <v>1</v>
      </c>
      <c r="I489">
        <v>4</v>
      </c>
      <c r="J489">
        <v>347088</v>
      </c>
      <c r="K489">
        <v>27.9</v>
      </c>
      <c r="M489" s="4" t="s">
        <v>1262</v>
      </c>
      <c r="N489" t="s">
        <v>20</v>
      </c>
    </row>
    <row r="490" spans="1:14" x14ac:dyDescent="0.25">
      <c r="A490">
        <v>170</v>
      </c>
      <c r="B490">
        <v>0</v>
      </c>
      <c r="C490">
        <v>3</v>
      </c>
      <c r="D490" t="s">
        <v>763</v>
      </c>
      <c r="E490" s="4">
        <v>13</v>
      </c>
      <c r="F490" t="s">
        <v>24</v>
      </c>
      <c r="G490">
        <v>28</v>
      </c>
      <c r="H490">
        <v>0</v>
      </c>
      <c r="I490">
        <v>0</v>
      </c>
      <c r="J490">
        <v>1601</v>
      </c>
      <c r="K490">
        <v>56.495800000000003</v>
      </c>
      <c r="M490" s="4" t="s">
        <v>1262</v>
      </c>
      <c r="N490" t="s">
        <v>20</v>
      </c>
    </row>
    <row r="491" spans="1:14" x14ac:dyDescent="0.25">
      <c r="A491">
        <v>172</v>
      </c>
      <c r="B491">
        <v>0</v>
      </c>
      <c r="C491">
        <v>3</v>
      </c>
      <c r="D491" t="s">
        <v>764</v>
      </c>
      <c r="E491" s="4">
        <v>20</v>
      </c>
      <c r="F491" t="s">
        <v>24</v>
      </c>
      <c r="G491">
        <v>4</v>
      </c>
      <c r="H491">
        <v>4</v>
      </c>
      <c r="I491">
        <v>1</v>
      </c>
      <c r="J491">
        <v>382652</v>
      </c>
      <c r="K491">
        <v>29.125</v>
      </c>
      <c r="M491" s="4" t="s">
        <v>1262</v>
      </c>
      <c r="N491" t="s">
        <v>161</v>
      </c>
    </row>
    <row r="492" spans="1:14" x14ac:dyDescent="0.25">
      <c r="A492">
        <v>173</v>
      </c>
      <c r="B492">
        <v>1</v>
      </c>
      <c r="C492">
        <v>3</v>
      </c>
      <c r="D492" t="s">
        <v>765</v>
      </c>
      <c r="E492" s="4">
        <v>28</v>
      </c>
      <c r="F492" t="s">
        <v>14</v>
      </c>
      <c r="G492">
        <v>1</v>
      </c>
      <c r="H492">
        <v>1</v>
      </c>
      <c r="I492">
        <v>1</v>
      </c>
      <c r="J492">
        <v>347742</v>
      </c>
      <c r="K492">
        <v>11.1333</v>
      </c>
      <c r="M492" s="4" t="s">
        <v>1262</v>
      </c>
      <c r="N492" t="s">
        <v>20</v>
      </c>
    </row>
    <row r="493" spans="1:14" x14ac:dyDescent="0.25">
      <c r="A493">
        <v>174</v>
      </c>
      <c r="B493">
        <v>0</v>
      </c>
      <c r="C493">
        <v>3</v>
      </c>
      <c r="D493" t="s">
        <v>766</v>
      </c>
      <c r="E493" s="4">
        <v>25</v>
      </c>
      <c r="F493" t="s">
        <v>24</v>
      </c>
      <c r="G493">
        <v>21</v>
      </c>
      <c r="H493">
        <v>0</v>
      </c>
      <c r="I493">
        <v>0</v>
      </c>
      <c r="J493" t="s">
        <v>767</v>
      </c>
      <c r="K493">
        <v>7.9249999999999998</v>
      </c>
      <c r="M493" s="4" t="s">
        <v>1262</v>
      </c>
      <c r="N493" t="s">
        <v>20</v>
      </c>
    </row>
    <row r="494" spans="1:14" x14ac:dyDescent="0.25">
      <c r="A494">
        <v>176</v>
      </c>
      <c r="B494">
        <v>0</v>
      </c>
      <c r="C494">
        <v>3</v>
      </c>
      <c r="D494" t="s">
        <v>768</v>
      </c>
      <c r="E494" s="4">
        <v>22</v>
      </c>
      <c r="F494" t="s">
        <v>24</v>
      </c>
      <c r="G494">
        <v>18</v>
      </c>
      <c r="H494">
        <v>1</v>
      </c>
      <c r="I494">
        <v>1</v>
      </c>
      <c r="J494">
        <v>350404</v>
      </c>
      <c r="K494">
        <v>7.8541999999999996</v>
      </c>
      <c r="M494" s="4" t="s">
        <v>1262</v>
      </c>
      <c r="N494" t="s">
        <v>20</v>
      </c>
    </row>
    <row r="495" spans="1:14" x14ac:dyDescent="0.25">
      <c r="A495">
        <v>180</v>
      </c>
      <c r="B495">
        <v>0</v>
      </c>
      <c r="C495">
        <v>3</v>
      </c>
      <c r="D495" t="s">
        <v>769</v>
      </c>
      <c r="E495" s="4">
        <v>19</v>
      </c>
      <c r="F495" t="s">
        <v>24</v>
      </c>
      <c r="G495">
        <v>36</v>
      </c>
      <c r="H495">
        <v>0</v>
      </c>
      <c r="I495">
        <v>0</v>
      </c>
      <c r="J495" t="s">
        <v>770</v>
      </c>
      <c r="K495">
        <v>0</v>
      </c>
      <c r="M495" s="4" t="s">
        <v>1262</v>
      </c>
      <c r="N495" t="s">
        <v>20</v>
      </c>
    </row>
    <row r="496" spans="1:14" x14ac:dyDescent="0.25">
      <c r="A496">
        <v>183</v>
      </c>
      <c r="B496">
        <v>0</v>
      </c>
      <c r="C496">
        <v>3</v>
      </c>
      <c r="D496" t="s">
        <v>771</v>
      </c>
      <c r="E496" s="4">
        <v>37</v>
      </c>
      <c r="F496" t="s">
        <v>24</v>
      </c>
      <c r="G496">
        <v>9</v>
      </c>
      <c r="H496">
        <v>4</v>
      </c>
      <c r="I496">
        <v>2</v>
      </c>
      <c r="J496">
        <v>347077</v>
      </c>
      <c r="K496">
        <v>31.387499999999999</v>
      </c>
      <c r="M496" s="4" t="s">
        <v>1262</v>
      </c>
      <c r="N496" t="s">
        <v>20</v>
      </c>
    </row>
    <row r="497" spans="1:14" x14ac:dyDescent="0.25">
      <c r="A497">
        <v>185</v>
      </c>
      <c r="B497">
        <v>1</v>
      </c>
      <c r="C497">
        <v>3</v>
      </c>
      <c r="D497" t="s">
        <v>772</v>
      </c>
      <c r="E497" s="4">
        <v>35</v>
      </c>
      <c r="F497" t="s">
        <v>14</v>
      </c>
      <c r="G497">
        <v>4</v>
      </c>
      <c r="H497">
        <v>0</v>
      </c>
      <c r="I497">
        <v>2</v>
      </c>
      <c r="J497">
        <v>315153</v>
      </c>
      <c r="K497">
        <v>22.024999999999999</v>
      </c>
      <c r="M497" s="4" t="s">
        <v>1262</v>
      </c>
      <c r="N497" t="s">
        <v>20</v>
      </c>
    </row>
    <row r="498" spans="1:14" x14ac:dyDescent="0.25">
      <c r="A498">
        <v>189</v>
      </c>
      <c r="B498">
        <v>0</v>
      </c>
      <c r="C498">
        <v>3</v>
      </c>
      <c r="D498" t="s">
        <v>773</v>
      </c>
      <c r="E498" s="4">
        <v>16</v>
      </c>
      <c r="F498" t="s">
        <v>24</v>
      </c>
      <c r="G498">
        <v>40</v>
      </c>
      <c r="H498">
        <v>1</v>
      </c>
      <c r="I498">
        <v>1</v>
      </c>
      <c r="J498">
        <v>364849</v>
      </c>
      <c r="K498">
        <v>15.5</v>
      </c>
      <c r="M498" s="4" t="s">
        <v>1262</v>
      </c>
      <c r="N498" t="s">
        <v>161</v>
      </c>
    </row>
    <row r="499" spans="1:14" x14ac:dyDescent="0.25">
      <c r="A499">
        <v>190</v>
      </c>
      <c r="B499">
        <v>0</v>
      </c>
      <c r="C499">
        <v>3</v>
      </c>
      <c r="D499" t="s">
        <v>774</v>
      </c>
      <c r="E499" s="4">
        <v>19</v>
      </c>
      <c r="F499" t="s">
        <v>24</v>
      </c>
      <c r="G499">
        <v>36</v>
      </c>
      <c r="H499">
        <v>0</v>
      </c>
      <c r="I499">
        <v>0</v>
      </c>
      <c r="J499">
        <v>349247</v>
      </c>
      <c r="K499">
        <v>7.8958000000000004</v>
      </c>
      <c r="M499" s="4" t="s">
        <v>1262</v>
      </c>
      <c r="N499" t="s">
        <v>20</v>
      </c>
    </row>
    <row r="500" spans="1:14" x14ac:dyDescent="0.25">
      <c r="A500">
        <v>193</v>
      </c>
      <c r="B500">
        <v>1</v>
      </c>
      <c r="C500">
        <v>3</v>
      </c>
      <c r="D500" t="s">
        <v>775</v>
      </c>
      <c r="E500" s="4">
        <v>47</v>
      </c>
      <c r="F500" t="s">
        <v>14</v>
      </c>
      <c r="G500">
        <v>19</v>
      </c>
      <c r="H500">
        <v>1</v>
      </c>
      <c r="I500">
        <v>0</v>
      </c>
      <c r="J500">
        <v>350046</v>
      </c>
      <c r="K500">
        <v>7.8541999999999996</v>
      </c>
      <c r="M500" s="4" t="s">
        <v>1262</v>
      </c>
      <c r="N500" t="s">
        <v>20</v>
      </c>
    </row>
    <row r="501" spans="1:14" x14ac:dyDescent="0.25">
      <c r="A501">
        <v>177</v>
      </c>
      <c r="B501">
        <v>0</v>
      </c>
      <c r="C501">
        <v>3</v>
      </c>
      <c r="D501" t="s">
        <v>776</v>
      </c>
      <c r="E501" s="4">
        <v>29</v>
      </c>
      <c r="F501" t="s">
        <v>24</v>
      </c>
      <c r="H501">
        <v>3</v>
      </c>
      <c r="I501">
        <v>1</v>
      </c>
      <c r="J501">
        <v>4133</v>
      </c>
      <c r="K501">
        <v>25.466699999999999</v>
      </c>
      <c r="M501" s="4" t="s">
        <v>1262</v>
      </c>
      <c r="N501" t="s">
        <v>20</v>
      </c>
    </row>
    <row r="502" spans="1:14" x14ac:dyDescent="0.25">
      <c r="A502">
        <v>198</v>
      </c>
      <c r="B502">
        <v>0</v>
      </c>
      <c r="C502">
        <v>3</v>
      </c>
      <c r="D502" t="s">
        <v>777</v>
      </c>
      <c r="E502" s="4">
        <v>32</v>
      </c>
      <c r="F502" t="s">
        <v>24</v>
      </c>
      <c r="G502">
        <v>42</v>
      </c>
      <c r="H502">
        <v>0</v>
      </c>
      <c r="I502">
        <v>1</v>
      </c>
      <c r="J502">
        <v>4579</v>
      </c>
      <c r="K502">
        <v>8.4041999999999994</v>
      </c>
      <c r="M502" s="4" t="s">
        <v>1262</v>
      </c>
      <c r="N502" t="s">
        <v>20</v>
      </c>
    </row>
    <row r="503" spans="1:14" x14ac:dyDescent="0.25">
      <c r="A503">
        <v>230</v>
      </c>
      <c r="B503">
        <v>0</v>
      </c>
      <c r="C503">
        <v>3</v>
      </c>
      <c r="D503" t="s">
        <v>778</v>
      </c>
      <c r="E503" s="4">
        <v>23</v>
      </c>
      <c r="F503" t="s">
        <v>14</v>
      </c>
      <c r="H503">
        <v>3</v>
      </c>
      <c r="I503">
        <v>1</v>
      </c>
      <c r="J503">
        <v>4133</v>
      </c>
      <c r="K503">
        <v>25.466699999999999</v>
      </c>
      <c r="M503" s="4" t="s">
        <v>1262</v>
      </c>
      <c r="N503" t="s">
        <v>20</v>
      </c>
    </row>
    <row r="504" spans="1:14" x14ac:dyDescent="0.25">
      <c r="A504">
        <v>201</v>
      </c>
      <c r="B504">
        <v>0</v>
      </c>
      <c r="C504">
        <v>3</v>
      </c>
      <c r="D504" t="s">
        <v>779</v>
      </c>
      <c r="E504" s="4">
        <v>30</v>
      </c>
      <c r="F504" t="s">
        <v>24</v>
      </c>
      <c r="G504">
        <v>28</v>
      </c>
      <c r="H504">
        <v>0</v>
      </c>
      <c r="I504">
        <v>0</v>
      </c>
      <c r="J504">
        <v>345770</v>
      </c>
      <c r="K504">
        <v>9.5</v>
      </c>
      <c r="M504" s="4" t="s">
        <v>1262</v>
      </c>
      <c r="N504" t="s">
        <v>20</v>
      </c>
    </row>
    <row r="505" spans="1:14" x14ac:dyDescent="0.25">
      <c r="A505">
        <v>410</v>
      </c>
      <c r="B505">
        <v>0</v>
      </c>
      <c r="C505">
        <v>3</v>
      </c>
      <c r="D505" t="s">
        <v>780</v>
      </c>
      <c r="E505" s="4">
        <v>18</v>
      </c>
      <c r="F505" t="s">
        <v>14</v>
      </c>
      <c r="H505">
        <v>3</v>
      </c>
      <c r="I505">
        <v>1</v>
      </c>
      <c r="J505">
        <v>4133</v>
      </c>
      <c r="K505">
        <v>25.466699999999999</v>
      </c>
      <c r="M505" s="4" t="s">
        <v>1262</v>
      </c>
      <c r="N505" t="s">
        <v>20</v>
      </c>
    </row>
    <row r="506" spans="1:14" x14ac:dyDescent="0.25">
      <c r="A506">
        <v>203</v>
      </c>
      <c r="B506">
        <v>0</v>
      </c>
      <c r="C506">
        <v>3</v>
      </c>
      <c r="D506" t="s">
        <v>781</v>
      </c>
      <c r="E506" s="4">
        <v>26</v>
      </c>
      <c r="F506" t="s">
        <v>24</v>
      </c>
      <c r="G506">
        <v>34</v>
      </c>
      <c r="H506">
        <v>0</v>
      </c>
      <c r="I506">
        <v>0</v>
      </c>
      <c r="J506">
        <v>3101264</v>
      </c>
      <c r="K506">
        <v>6.4958</v>
      </c>
      <c r="M506" s="4" t="s">
        <v>1262</v>
      </c>
      <c r="N506" t="s">
        <v>20</v>
      </c>
    </row>
    <row r="507" spans="1:14" x14ac:dyDescent="0.25">
      <c r="A507">
        <v>204</v>
      </c>
      <c r="B507">
        <v>0</v>
      </c>
      <c r="C507">
        <v>3</v>
      </c>
      <c r="D507" t="s">
        <v>782</v>
      </c>
      <c r="E507" s="4">
        <v>20</v>
      </c>
      <c r="F507" t="s">
        <v>24</v>
      </c>
      <c r="G507">
        <v>45.5</v>
      </c>
      <c r="H507">
        <v>0</v>
      </c>
      <c r="I507">
        <v>0</v>
      </c>
      <c r="J507">
        <v>2628</v>
      </c>
      <c r="K507">
        <v>7.2249999999999996</v>
      </c>
      <c r="M507" s="4" t="s">
        <v>1262</v>
      </c>
      <c r="N507" t="s">
        <v>17</v>
      </c>
    </row>
    <row r="508" spans="1:14" x14ac:dyDescent="0.25">
      <c r="A508">
        <v>205</v>
      </c>
      <c r="B508">
        <v>1</v>
      </c>
      <c r="C508">
        <v>3</v>
      </c>
      <c r="D508" t="s">
        <v>783</v>
      </c>
      <c r="E508" s="4">
        <v>24</v>
      </c>
      <c r="F508" t="s">
        <v>24</v>
      </c>
      <c r="G508">
        <v>18</v>
      </c>
      <c r="H508">
        <v>0</v>
      </c>
      <c r="I508">
        <v>0</v>
      </c>
      <c r="J508" t="s">
        <v>784</v>
      </c>
      <c r="K508">
        <v>8.0500000000000007</v>
      </c>
      <c r="M508" s="4" t="s">
        <v>1262</v>
      </c>
      <c r="N508" t="s">
        <v>20</v>
      </c>
    </row>
    <row r="509" spans="1:14" x14ac:dyDescent="0.25">
      <c r="A509">
        <v>206</v>
      </c>
      <c r="B509">
        <v>0</v>
      </c>
      <c r="C509">
        <v>3</v>
      </c>
      <c r="D509" t="s">
        <v>785</v>
      </c>
      <c r="E509" s="4">
        <v>26</v>
      </c>
      <c r="F509" t="s">
        <v>14</v>
      </c>
      <c r="G509">
        <v>2</v>
      </c>
      <c r="H509">
        <v>0</v>
      </c>
      <c r="I509">
        <v>1</v>
      </c>
      <c r="J509">
        <v>347054</v>
      </c>
      <c r="K509">
        <v>10.4625</v>
      </c>
      <c r="L509" t="s">
        <v>663</v>
      </c>
      <c r="M509" s="4" t="s">
        <v>187</v>
      </c>
      <c r="N509" t="s">
        <v>20</v>
      </c>
    </row>
    <row r="510" spans="1:14" x14ac:dyDescent="0.25">
      <c r="A510">
        <v>207</v>
      </c>
      <c r="B510">
        <v>0</v>
      </c>
      <c r="C510">
        <v>3</v>
      </c>
      <c r="D510" t="s">
        <v>786</v>
      </c>
      <c r="E510" s="4">
        <v>26</v>
      </c>
      <c r="F510" t="s">
        <v>24</v>
      </c>
      <c r="G510">
        <v>32</v>
      </c>
      <c r="H510">
        <v>1</v>
      </c>
      <c r="I510">
        <v>0</v>
      </c>
      <c r="J510">
        <v>3101278</v>
      </c>
      <c r="K510">
        <v>15.85</v>
      </c>
      <c r="M510" s="4" t="s">
        <v>1262</v>
      </c>
      <c r="N510" t="s">
        <v>20</v>
      </c>
    </row>
    <row r="511" spans="1:14" x14ac:dyDescent="0.25">
      <c r="A511">
        <v>208</v>
      </c>
      <c r="B511">
        <v>1</v>
      </c>
      <c r="C511">
        <v>3</v>
      </c>
      <c r="D511" t="s">
        <v>787</v>
      </c>
      <c r="E511" s="4">
        <v>27</v>
      </c>
      <c r="F511" t="s">
        <v>24</v>
      </c>
      <c r="G511">
        <v>26</v>
      </c>
      <c r="H511">
        <v>0</v>
      </c>
      <c r="I511">
        <v>0</v>
      </c>
      <c r="J511">
        <v>2699</v>
      </c>
      <c r="K511">
        <v>18.787500000000001</v>
      </c>
      <c r="M511" s="4" t="s">
        <v>1262</v>
      </c>
      <c r="N511" t="s">
        <v>17</v>
      </c>
    </row>
    <row r="512" spans="1:14" x14ac:dyDescent="0.25">
      <c r="A512">
        <v>209</v>
      </c>
      <c r="B512">
        <v>1</v>
      </c>
      <c r="C512">
        <v>3</v>
      </c>
      <c r="D512" t="s">
        <v>788</v>
      </c>
      <c r="E512" s="4">
        <v>25</v>
      </c>
      <c r="F512" t="s">
        <v>14</v>
      </c>
      <c r="G512">
        <v>16</v>
      </c>
      <c r="H512">
        <v>0</v>
      </c>
      <c r="I512">
        <v>0</v>
      </c>
      <c r="J512">
        <v>367231</v>
      </c>
      <c r="K512">
        <v>7.75</v>
      </c>
      <c r="M512" s="4" t="s">
        <v>1262</v>
      </c>
      <c r="N512" t="s">
        <v>161</v>
      </c>
    </row>
    <row r="513" spans="1:14" x14ac:dyDescent="0.25">
      <c r="A513">
        <v>211</v>
      </c>
      <c r="B513">
        <v>0</v>
      </c>
      <c r="C513">
        <v>3</v>
      </c>
      <c r="D513" t="s">
        <v>789</v>
      </c>
      <c r="E513" s="4">
        <v>14</v>
      </c>
      <c r="F513" t="s">
        <v>24</v>
      </c>
      <c r="G513">
        <v>24</v>
      </c>
      <c r="H513">
        <v>0</v>
      </c>
      <c r="I513">
        <v>0</v>
      </c>
      <c r="J513" t="s">
        <v>790</v>
      </c>
      <c r="K513">
        <v>7.05</v>
      </c>
      <c r="M513" s="4" t="s">
        <v>1262</v>
      </c>
      <c r="N513" t="s">
        <v>20</v>
      </c>
    </row>
    <row r="514" spans="1:14" x14ac:dyDescent="0.25">
      <c r="A514">
        <v>213</v>
      </c>
      <c r="B514">
        <v>0</v>
      </c>
      <c r="C514">
        <v>3</v>
      </c>
      <c r="D514" t="s">
        <v>791</v>
      </c>
      <c r="E514" s="4">
        <v>22</v>
      </c>
      <c r="F514" t="s">
        <v>24</v>
      </c>
      <c r="G514">
        <v>22</v>
      </c>
      <c r="H514">
        <v>0</v>
      </c>
      <c r="I514">
        <v>0</v>
      </c>
      <c r="J514" t="s">
        <v>792</v>
      </c>
      <c r="K514">
        <v>7.25</v>
      </c>
      <c r="M514" s="4" t="s">
        <v>1262</v>
      </c>
      <c r="N514" t="s">
        <v>20</v>
      </c>
    </row>
    <row r="515" spans="1:14" x14ac:dyDescent="0.25">
      <c r="A515">
        <v>486</v>
      </c>
      <c r="B515">
        <v>0</v>
      </c>
      <c r="C515">
        <v>3</v>
      </c>
      <c r="D515" t="s">
        <v>793</v>
      </c>
      <c r="E515" s="4">
        <v>22</v>
      </c>
      <c r="F515" t="s">
        <v>14</v>
      </c>
      <c r="H515">
        <v>3</v>
      </c>
      <c r="I515">
        <v>1</v>
      </c>
      <c r="J515">
        <v>4133</v>
      </c>
      <c r="K515">
        <v>25.466699999999999</v>
      </c>
      <c r="M515" s="4" t="s">
        <v>1262</v>
      </c>
      <c r="N515" t="s">
        <v>20</v>
      </c>
    </row>
    <row r="516" spans="1:14" x14ac:dyDescent="0.25">
      <c r="A516">
        <v>217</v>
      </c>
      <c r="B516">
        <v>1</v>
      </c>
      <c r="C516">
        <v>3</v>
      </c>
      <c r="D516" t="s">
        <v>794</v>
      </c>
      <c r="E516" s="4">
        <v>22</v>
      </c>
      <c r="F516" t="s">
        <v>14</v>
      </c>
      <c r="G516">
        <v>27</v>
      </c>
      <c r="H516">
        <v>0</v>
      </c>
      <c r="I516">
        <v>0</v>
      </c>
      <c r="J516" t="s">
        <v>795</v>
      </c>
      <c r="K516">
        <v>7.9249999999999998</v>
      </c>
      <c r="M516" s="4" t="s">
        <v>1262</v>
      </c>
      <c r="N516" t="s">
        <v>20</v>
      </c>
    </row>
    <row r="517" spans="1:14" x14ac:dyDescent="0.25">
      <c r="A517">
        <v>221</v>
      </c>
      <c r="B517">
        <v>1</v>
      </c>
      <c r="C517">
        <v>3</v>
      </c>
      <c r="D517" t="s">
        <v>796</v>
      </c>
      <c r="E517" s="4">
        <v>30</v>
      </c>
      <c r="F517" t="s">
        <v>24</v>
      </c>
      <c r="G517">
        <v>16</v>
      </c>
      <c r="H517">
        <v>0</v>
      </c>
      <c r="I517">
        <v>0</v>
      </c>
      <c r="J517" t="s">
        <v>797</v>
      </c>
      <c r="K517">
        <v>8.0500000000000007</v>
      </c>
      <c r="M517" s="4" t="s">
        <v>1262</v>
      </c>
      <c r="N517" t="s">
        <v>20</v>
      </c>
    </row>
    <row r="518" spans="1:14" x14ac:dyDescent="0.25">
      <c r="A518">
        <v>223</v>
      </c>
      <c r="B518">
        <v>0</v>
      </c>
      <c r="C518">
        <v>3</v>
      </c>
      <c r="D518" t="s">
        <v>798</v>
      </c>
      <c r="E518" s="4">
        <v>23</v>
      </c>
      <c r="F518" t="s">
        <v>24</v>
      </c>
      <c r="G518">
        <v>51</v>
      </c>
      <c r="H518">
        <v>0</v>
      </c>
      <c r="I518">
        <v>0</v>
      </c>
      <c r="J518">
        <v>21440</v>
      </c>
      <c r="K518">
        <v>8.0500000000000007</v>
      </c>
      <c r="M518" s="4" t="s">
        <v>1262</v>
      </c>
      <c r="N518" t="s">
        <v>20</v>
      </c>
    </row>
    <row r="519" spans="1:14" x14ac:dyDescent="0.25">
      <c r="A519">
        <v>769</v>
      </c>
      <c r="B519">
        <v>0</v>
      </c>
      <c r="C519">
        <v>3</v>
      </c>
      <c r="D519" t="s">
        <v>799</v>
      </c>
      <c r="E519" s="4">
        <v>19</v>
      </c>
      <c r="F519" t="s">
        <v>24</v>
      </c>
      <c r="H519">
        <v>1</v>
      </c>
      <c r="I519">
        <v>0</v>
      </c>
      <c r="J519">
        <v>371110</v>
      </c>
      <c r="K519">
        <v>24.15</v>
      </c>
      <c r="M519" s="4" t="s">
        <v>1262</v>
      </c>
      <c r="N519" t="s">
        <v>161</v>
      </c>
    </row>
    <row r="520" spans="1:14" x14ac:dyDescent="0.25">
      <c r="A520">
        <v>226</v>
      </c>
      <c r="B520">
        <v>0</v>
      </c>
      <c r="C520">
        <v>3</v>
      </c>
      <c r="D520" t="s">
        <v>800</v>
      </c>
      <c r="E520" s="4">
        <v>28</v>
      </c>
      <c r="F520" t="s">
        <v>24</v>
      </c>
      <c r="G520">
        <v>22</v>
      </c>
      <c r="H520">
        <v>0</v>
      </c>
      <c r="I520">
        <v>0</v>
      </c>
      <c r="J520" t="s">
        <v>801</v>
      </c>
      <c r="K520">
        <v>9.35</v>
      </c>
      <c r="M520" s="4" t="s">
        <v>1262</v>
      </c>
      <c r="N520" t="s">
        <v>20</v>
      </c>
    </row>
    <row r="521" spans="1:14" x14ac:dyDescent="0.25">
      <c r="A521">
        <v>228</v>
      </c>
      <c r="B521">
        <v>0</v>
      </c>
      <c r="C521">
        <v>3</v>
      </c>
      <c r="D521" t="s">
        <v>802</v>
      </c>
      <c r="E521" s="4">
        <v>31</v>
      </c>
      <c r="F521" t="s">
        <v>24</v>
      </c>
      <c r="G521">
        <v>20.5</v>
      </c>
      <c r="H521">
        <v>0</v>
      </c>
      <c r="I521">
        <v>0</v>
      </c>
      <c r="J521" t="s">
        <v>803</v>
      </c>
      <c r="K521">
        <v>7.25</v>
      </c>
      <c r="M521" s="4" t="s">
        <v>1262</v>
      </c>
      <c r="N521" t="s">
        <v>20</v>
      </c>
    </row>
    <row r="522" spans="1:14" x14ac:dyDescent="0.25">
      <c r="A522">
        <v>110</v>
      </c>
      <c r="B522">
        <v>1</v>
      </c>
      <c r="C522">
        <v>3</v>
      </c>
      <c r="D522" t="s">
        <v>804</v>
      </c>
      <c r="E522" s="4">
        <v>19</v>
      </c>
      <c r="F522" t="s">
        <v>14</v>
      </c>
      <c r="H522">
        <v>1</v>
      </c>
      <c r="I522">
        <v>0</v>
      </c>
      <c r="J522">
        <v>371110</v>
      </c>
      <c r="K522">
        <v>24.15</v>
      </c>
      <c r="M522" s="4" t="s">
        <v>1262</v>
      </c>
      <c r="N522" t="s">
        <v>161</v>
      </c>
    </row>
    <row r="523" spans="1:14" x14ac:dyDescent="0.25">
      <c r="A523">
        <v>232</v>
      </c>
      <c r="B523">
        <v>0</v>
      </c>
      <c r="C523">
        <v>3</v>
      </c>
      <c r="D523" t="s">
        <v>805</v>
      </c>
      <c r="E523" s="4">
        <v>24</v>
      </c>
      <c r="F523" t="s">
        <v>24</v>
      </c>
      <c r="G523">
        <v>29</v>
      </c>
      <c r="H523">
        <v>0</v>
      </c>
      <c r="I523">
        <v>0</v>
      </c>
      <c r="J523">
        <v>347067</v>
      </c>
      <c r="K523">
        <v>7.7750000000000004</v>
      </c>
      <c r="M523" s="4" t="s">
        <v>1262</v>
      </c>
      <c r="N523" t="s">
        <v>20</v>
      </c>
    </row>
    <row r="524" spans="1:14" x14ac:dyDescent="0.25">
      <c r="A524">
        <v>234</v>
      </c>
      <c r="B524">
        <v>1</v>
      </c>
      <c r="C524">
        <v>3</v>
      </c>
      <c r="D524" t="s">
        <v>806</v>
      </c>
      <c r="E524" s="4">
        <v>30</v>
      </c>
      <c r="F524" t="s">
        <v>14</v>
      </c>
      <c r="G524">
        <v>5</v>
      </c>
      <c r="H524">
        <v>4</v>
      </c>
      <c r="I524">
        <v>2</v>
      </c>
      <c r="J524">
        <v>347077</v>
      </c>
      <c r="K524">
        <v>31.387499999999999</v>
      </c>
      <c r="M524" s="4" t="s">
        <v>1262</v>
      </c>
      <c r="N524" t="s">
        <v>20</v>
      </c>
    </row>
    <row r="525" spans="1:14" x14ac:dyDescent="0.25">
      <c r="A525">
        <v>518</v>
      </c>
      <c r="B525">
        <v>0</v>
      </c>
      <c r="C525">
        <v>3</v>
      </c>
      <c r="D525" t="s">
        <v>807</v>
      </c>
      <c r="E525" s="4">
        <v>17</v>
      </c>
      <c r="F525" t="s">
        <v>24</v>
      </c>
      <c r="H525">
        <v>0</v>
      </c>
      <c r="I525">
        <v>0</v>
      </c>
      <c r="J525">
        <v>371110</v>
      </c>
      <c r="K525">
        <v>24.15</v>
      </c>
      <c r="M525" s="4" t="s">
        <v>1262</v>
      </c>
      <c r="N525" t="s">
        <v>161</v>
      </c>
    </row>
    <row r="526" spans="1:14" x14ac:dyDescent="0.25">
      <c r="A526">
        <v>784</v>
      </c>
      <c r="B526">
        <v>0</v>
      </c>
      <c r="C526">
        <v>3</v>
      </c>
      <c r="D526" t="s">
        <v>808</v>
      </c>
      <c r="E526" s="4">
        <v>22</v>
      </c>
      <c r="F526" t="s">
        <v>24</v>
      </c>
      <c r="H526">
        <v>1</v>
      </c>
      <c r="I526">
        <v>2</v>
      </c>
      <c r="J526" t="s">
        <v>809</v>
      </c>
      <c r="K526">
        <v>23.45</v>
      </c>
      <c r="M526" s="4" t="s">
        <v>1262</v>
      </c>
      <c r="N526" t="s">
        <v>20</v>
      </c>
    </row>
    <row r="527" spans="1:14" x14ac:dyDescent="0.25">
      <c r="A527">
        <v>889</v>
      </c>
      <c r="B527">
        <v>0</v>
      </c>
      <c r="C527">
        <v>3</v>
      </c>
      <c r="D527" t="s">
        <v>810</v>
      </c>
      <c r="E527" s="4">
        <v>40</v>
      </c>
      <c r="F527" t="s">
        <v>14</v>
      </c>
      <c r="H527">
        <v>1</v>
      </c>
      <c r="I527">
        <v>2</v>
      </c>
      <c r="J527" t="s">
        <v>809</v>
      </c>
      <c r="K527">
        <v>23.45</v>
      </c>
      <c r="M527" s="4" t="s">
        <v>1262</v>
      </c>
      <c r="N527" t="s">
        <v>20</v>
      </c>
    </row>
    <row r="528" spans="1:14" x14ac:dyDescent="0.25">
      <c r="A528">
        <v>244</v>
      </c>
      <c r="B528">
        <v>0</v>
      </c>
      <c r="C528">
        <v>3</v>
      </c>
      <c r="D528" t="s">
        <v>811</v>
      </c>
      <c r="E528" s="4">
        <v>29</v>
      </c>
      <c r="F528" t="s">
        <v>24</v>
      </c>
      <c r="G528">
        <v>22</v>
      </c>
      <c r="H528">
        <v>0</v>
      </c>
      <c r="I528">
        <v>0</v>
      </c>
      <c r="J528" t="s">
        <v>812</v>
      </c>
      <c r="K528">
        <v>7.125</v>
      </c>
      <c r="M528" s="4" t="s">
        <v>1262</v>
      </c>
      <c r="N528" t="s">
        <v>20</v>
      </c>
    </row>
    <row r="529" spans="1:14" x14ac:dyDescent="0.25">
      <c r="A529">
        <v>245</v>
      </c>
      <c r="B529">
        <v>0</v>
      </c>
      <c r="C529">
        <v>3</v>
      </c>
      <c r="D529" t="s">
        <v>813</v>
      </c>
      <c r="E529" s="4">
        <v>20</v>
      </c>
      <c r="F529" t="s">
        <v>24</v>
      </c>
      <c r="G529">
        <v>30</v>
      </c>
      <c r="H529">
        <v>0</v>
      </c>
      <c r="I529">
        <v>0</v>
      </c>
      <c r="J529">
        <v>2694</v>
      </c>
      <c r="K529">
        <v>7.2249999999999996</v>
      </c>
      <c r="M529" s="4" t="s">
        <v>1262</v>
      </c>
      <c r="N529" t="s">
        <v>17</v>
      </c>
    </row>
    <row r="530" spans="1:14" x14ac:dyDescent="0.25">
      <c r="A530">
        <v>247</v>
      </c>
      <c r="B530">
        <v>0</v>
      </c>
      <c r="C530">
        <v>3</v>
      </c>
      <c r="D530" t="s">
        <v>814</v>
      </c>
      <c r="E530" s="4">
        <v>37</v>
      </c>
      <c r="F530" t="s">
        <v>14</v>
      </c>
      <c r="G530">
        <v>25</v>
      </c>
      <c r="H530">
        <v>0</v>
      </c>
      <c r="I530">
        <v>0</v>
      </c>
      <c r="J530">
        <v>347071</v>
      </c>
      <c r="K530">
        <v>7.7750000000000004</v>
      </c>
      <c r="M530" s="4" t="s">
        <v>1262</v>
      </c>
      <c r="N530" t="s">
        <v>20</v>
      </c>
    </row>
    <row r="531" spans="1:14" x14ac:dyDescent="0.25">
      <c r="A531">
        <v>302</v>
      </c>
      <c r="B531">
        <v>1</v>
      </c>
      <c r="C531">
        <v>3</v>
      </c>
      <c r="D531" t="s">
        <v>815</v>
      </c>
      <c r="E531" s="4">
        <v>18</v>
      </c>
      <c r="F531" t="s">
        <v>24</v>
      </c>
      <c r="H531">
        <v>2</v>
      </c>
      <c r="I531">
        <v>0</v>
      </c>
      <c r="J531">
        <v>367226</v>
      </c>
      <c r="K531">
        <v>23.25</v>
      </c>
      <c r="M531" s="4" t="s">
        <v>1262</v>
      </c>
      <c r="N531" t="s">
        <v>161</v>
      </c>
    </row>
    <row r="532" spans="1:14" x14ac:dyDescent="0.25">
      <c r="A532">
        <v>252</v>
      </c>
      <c r="B532">
        <v>0</v>
      </c>
      <c r="C532">
        <v>3</v>
      </c>
      <c r="D532" t="s">
        <v>816</v>
      </c>
      <c r="E532" s="4">
        <v>42</v>
      </c>
      <c r="F532" t="s">
        <v>14</v>
      </c>
      <c r="G532">
        <v>29</v>
      </c>
      <c r="H532">
        <v>1</v>
      </c>
      <c r="I532">
        <v>1</v>
      </c>
      <c r="J532">
        <v>347054</v>
      </c>
      <c r="K532">
        <v>10.4625</v>
      </c>
      <c r="L532" t="s">
        <v>663</v>
      </c>
      <c r="M532" s="4" t="s">
        <v>187</v>
      </c>
      <c r="N532" t="s">
        <v>20</v>
      </c>
    </row>
    <row r="533" spans="1:14" x14ac:dyDescent="0.25">
      <c r="A533">
        <v>254</v>
      </c>
      <c r="B533">
        <v>0</v>
      </c>
      <c r="C533">
        <v>3</v>
      </c>
      <c r="D533" t="s">
        <v>817</v>
      </c>
      <c r="E533" s="4">
        <v>24</v>
      </c>
      <c r="F533" t="s">
        <v>24</v>
      </c>
      <c r="G533">
        <v>30</v>
      </c>
      <c r="H533">
        <v>1</v>
      </c>
      <c r="I533">
        <v>0</v>
      </c>
      <c r="J533" t="s">
        <v>818</v>
      </c>
      <c r="K533">
        <v>16.100000000000001</v>
      </c>
      <c r="M533" s="4" t="s">
        <v>1262</v>
      </c>
      <c r="N533" t="s">
        <v>20</v>
      </c>
    </row>
    <row r="534" spans="1:14" x14ac:dyDescent="0.25">
      <c r="A534">
        <v>255</v>
      </c>
      <c r="B534">
        <v>0</v>
      </c>
      <c r="C534">
        <v>3</v>
      </c>
      <c r="D534" t="s">
        <v>819</v>
      </c>
      <c r="E534" s="4">
        <v>40</v>
      </c>
      <c r="F534" t="s">
        <v>14</v>
      </c>
      <c r="G534">
        <v>41</v>
      </c>
      <c r="H534">
        <v>0</v>
      </c>
      <c r="I534">
        <v>2</v>
      </c>
      <c r="J534">
        <v>370129</v>
      </c>
      <c r="K534">
        <v>20.212499999999999</v>
      </c>
      <c r="M534" s="4" t="s">
        <v>1262</v>
      </c>
      <c r="N534" t="s">
        <v>20</v>
      </c>
    </row>
    <row r="535" spans="1:14" x14ac:dyDescent="0.25">
      <c r="A535">
        <v>256</v>
      </c>
      <c r="B535">
        <v>1</v>
      </c>
      <c r="C535">
        <v>3</v>
      </c>
      <c r="D535" t="s">
        <v>820</v>
      </c>
      <c r="E535" s="4">
        <v>39</v>
      </c>
      <c r="F535" t="s">
        <v>14</v>
      </c>
      <c r="G535">
        <v>29</v>
      </c>
      <c r="H535">
        <v>0</v>
      </c>
      <c r="I535">
        <v>2</v>
      </c>
      <c r="J535">
        <v>2650</v>
      </c>
      <c r="K535">
        <v>15.245799999999999</v>
      </c>
      <c r="M535" s="4" t="s">
        <v>1262</v>
      </c>
      <c r="N535" t="s">
        <v>17</v>
      </c>
    </row>
    <row r="536" spans="1:14" x14ac:dyDescent="0.25">
      <c r="A536">
        <v>331</v>
      </c>
      <c r="B536">
        <v>1</v>
      </c>
      <c r="C536">
        <v>3</v>
      </c>
      <c r="D536" t="s">
        <v>821</v>
      </c>
      <c r="E536" s="4">
        <v>18</v>
      </c>
      <c r="F536" t="s">
        <v>14</v>
      </c>
      <c r="H536">
        <v>2</v>
      </c>
      <c r="I536">
        <v>0</v>
      </c>
      <c r="J536">
        <v>367226</v>
      </c>
      <c r="K536">
        <v>23.25</v>
      </c>
      <c r="M536" s="4" t="s">
        <v>1262</v>
      </c>
      <c r="N536" t="s">
        <v>161</v>
      </c>
    </row>
    <row r="537" spans="1:14" x14ac:dyDescent="0.25">
      <c r="A537">
        <v>129</v>
      </c>
      <c r="B537">
        <v>1</v>
      </c>
      <c r="C537">
        <v>3</v>
      </c>
      <c r="D537" t="s">
        <v>822</v>
      </c>
      <c r="E537" s="4">
        <v>17</v>
      </c>
      <c r="F537" t="s">
        <v>14</v>
      </c>
      <c r="H537">
        <v>1</v>
      </c>
      <c r="I537">
        <v>1</v>
      </c>
      <c r="J537">
        <v>2668</v>
      </c>
      <c r="K537">
        <v>22.3583</v>
      </c>
      <c r="L537" t="s">
        <v>823</v>
      </c>
      <c r="M537" s="4" t="s">
        <v>185</v>
      </c>
      <c r="N537" t="s">
        <v>17</v>
      </c>
    </row>
    <row r="538" spans="1:14" x14ac:dyDescent="0.25">
      <c r="A538">
        <v>262</v>
      </c>
      <c r="B538">
        <v>1</v>
      </c>
      <c r="C538">
        <v>3</v>
      </c>
      <c r="D538" t="s">
        <v>824</v>
      </c>
      <c r="E538" s="4">
        <v>33</v>
      </c>
      <c r="F538" t="s">
        <v>24</v>
      </c>
      <c r="G538">
        <v>3</v>
      </c>
      <c r="H538">
        <v>4</v>
      </c>
      <c r="I538">
        <v>2</v>
      </c>
      <c r="J538">
        <v>347077</v>
      </c>
      <c r="K538">
        <v>31.387499999999999</v>
      </c>
      <c r="M538" s="4" t="s">
        <v>1262</v>
      </c>
      <c r="N538" t="s">
        <v>20</v>
      </c>
    </row>
    <row r="539" spans="1:14" x14ac:dyDescent="0.25">
      <c r="A539">
        <v>534</v>
      </c>
      <c r="B539">
        <v>1</v>
      </c>
      <c r="C539">
        <v>3</v>
      </c>
      <c r="D539" t="s">
        <v>825</v>
      </c>
      <c r="E539" s="4">
        <v>38</v>
      </c>
      <c r="F539" t="s">
        <v>14</v>
      </c>
      <c r="H539">
        <v>0</v>
      </c>
      <c r="I539">
        <v>2</v>
      </c>
      <c r="J539">
        <v>2668</v>
      </c>
      <c r="K539">
        <v>22.3583</v>
      </c>
      <c r="M539" s="4" t="s">
        <v>1262</v>
      </c>
      <c r="N539" t="s">
        <v>17</v>
      </c>
    </row>
    <row r="540" spans="1:14" x14ac:dyDescent="0.25">
      <c r="A540">
        <v>267</v>
      </c>
      <c r="B540">
        <v>0</v>
      </c>
      <c r="C540">
        <v>3</v>
      </c>
      <c r="D540" t="s">
        <v>826</v>
      </c>
      <c r="E540" s="4">
        <v>25</v>
      </c>
      <c r="F540" t="s">
        <v>24</v>
      </c>
      <c r="G540">
        <v>16</v>
      </c>
      <c r="H540">
        <v>4</v>
      </c>
      <c r="I540">
        <v>1</v>
      </c>
      <c r="J540">
        <v>3101295</v>
      </c>
      <c r="K540">
        <v>39.6875</v>
      </c>
      <c r="M540" s="4" t="s">
        <v>1262</v>
      </c>
      <c r="N540" t="s">
        <v>20</v>
      </c>
    </row>
    <row r="541" spans="1:14" x14ac:dyDescent="0.25">
      <c r="A541">
        <v>268</v>
      </c>
      <c r="B541">
        <v>1</v>
      </c>
      <c r="C541">
        <v>3</v>
      </c>
      <c r="D541" t="s">
        <v>827</v>
      </c>
      <c r="E541" s="4">
        <v>24</v>
      </c>
      <c r="F541" t="s">
        <v>24</v>
      </c>
      <c r="G541">
        <v>25</v>
      </c>
      <c r="H541">
        <v>1</v>
      </c>
      <c r="I541">
        <v>0</v>
      </c>
      <c r="J541">
        <v>347083</v>
      </c>
      <c r="K541">
        <v>7.7750000000000004</v>
      </c>
      <c r="M541" s="4" t="s">
        <v>1262</v>
      </c>
      <c r="N541" t="s">
        <v>20</v>
      </c>
    </row>
    <row r="542" spans="1:14" x14ac:dyDescent="0.25">
      <c r="A542">
        <v>49</v>
      </c>
      <c r="B542">
        <v>0</v>
      </c>
      <c r="C542">
        <v>3</v>
      </c>
      <c r="D542" t="s">
        <v>828</v>
      </c>
      <c r="E542" s="4">
        <v>19</v>
      </c>
      <c r="F542" t="s">
        <v>24</v>
      </c>
      <c r="H542">
        <v>2</v>
      </c>
      <c r="I542">
        <v>0</v>
      </c>
      <c r="J542">
        <v>2662</v>
      </c>
      <c r="K542">
        <v>21.679200000000002</v>
      </c>
      <c r="M542" s="4" t="s">
        <v>1262</v>
      </c>
      <c r="N542" t="s">
        <v>17</v>
      </c>
    </row>
    <row r="543" spans="1:14" x14ac:dyDescent="0.25">
      <c r="A543">
        <v>272</v>
      </c>
      <c r="B543">
        <v>1</v>
      </c>
      <c r="C543">
        <v>3</v>
      </c>
      <c r="D543" t="s">
        <v>829</v>
      </c>
      <c r="E543" s="4">
        <v>28</v>
      </c>
      <c r="F543" t="s">
        <v>24</v>
      </c>
      <c r="G543">
        <v>25</v>
      </c>
      <c r="H543">
        <v>0</v>
      </c>
      <c r="I543">
        <v>0</v>
      </c>
      <c r="J543" t="s">
        <v>770</v>
      </c>
      <c r="K543">
        <v>0</v>
      </c>
      <c r="M543" s="4" t="s">
        <v>1262</v>
      </c>
      <c r="N543" t="s">
        <v>20</v>
      </c>
    </row>
    <row r="544" spans="1:14" x14ac:dyDescent="0.25">
      <c r="A544">
        <v>452</v>
      </c>
      <c r="B544">
        <v>0</v>
      </c>
      <c r="C544">
        <v>3</v>
      </c>
      <c r="D544" t="s">
        <v>830</v>
      </c>
      <c r="E544" s="4">
        <v>31</v>
      </c>
      <c r="F544" t="s">
        <v>24</v>
      </c>
      <c r="H544">
        <v>1</v>
      </c>
      <c r="I544">
        <v>0</v>
      </c>
      <c r="J544">
        <v>65303</v>
      </c>
      <c r="K544">
        <v>19.966699999999999</v>
      </c>
      <c r="M544" s="4" t="s">
        <v>1262</v>
      </c>
      <c r="N544" t="s">
        <v>20</v>
      </c>
    </row>
    <row r="545" spans="1:14" x14ac:dyDescent="0.25">
      <c r="A545">
        <v>277</v>
      </c>
      <c r="B545">
        <v>0</v>
      </c>
      <c r="C545">
        <v>3</v>
      </c>
      <c r="D545" t="s">
        <v>831</v>
      </c>
      <c r="E545" s="4">
        <v>33</v>
      </c>
      <c r="F545" t="s">
        <v>14</v>
      </c>
      <c r="G545">
        <v>45</v>
      </c>
      <c r="H545">
        <v>0</v>
      </c>
      <c r="I545">
        <v>0</v>
      </c>
      <c r="J545">
        <v>347073</v>
      </c>
      <c r="K545">
        <v>7.75</v>
      </c>
      <c r="M545" s="4" t="s">
        <v>1262</v>
      </c>
      <c r="N545" t="s">
        <v>20</v>
      </c>
    </row>
    <row r="546" spans="1:14" x14ac:dyDescent="0.25">
      <c r="A546">
        <v>491</v>
      </c>
      <c r="B546">
        <v>0</v>
      </c>
      <c r="C546">
        <v>3</v>
      </c>
      <c r="D546" t="s">
        <v>832</v>
      </c>
      <c r="E546" s="4">
        <v>36</v>
      </c>
      <c r="F546" t="s">
        <v>24</v>
      </c>
      <c r="H546">
        <v>1</v>
      </c>
      <c r="I546">
        <v>0</v>
      </c>
      <c r="J546">
        <v>65304</v>
      </c>
      <c r="K546">
        <v>19.966699999999999</v>
      </c>
      <c r="M546" s="4" t="s">
        <v>1262</v>
      </c>
      <c r="N546" t="s">
        <v>20</v>
      </c>
    </row>
    <row r="547" spans="1:14" x14ac:dyDescent="0.25">
      <c r="A547">
        <v>279</v>
      </c>
      <c r="B547">
        <v>0</v>
      </c>
      <c r="C547">
        <v>3</v>
      </c>
      <c r="D547" t="s">
        <v>833</v>
      </c>
      <c r="E547" s="4">
        <v>18</v>
      </c>
      <c r="F547" t="s">
        <v>24</v>
      </c>
      <c r="G547">
        <v>7</v>
      </c>
      <c r="H547">
        <v>4</v>
      </c>
      <c r="I547">
        <v>1</v>
      </c>
      <c r="J547">
        <v>382652</v>
      </c>
      <c r="K547">
        <v>29.125</v>
      </c>
      <c r="M547" s="4" t="s">
        <v>1262</v>
      </c>
      <c r="N547" t="s">
        <v>161</v>
      </c>
    </row>
    <row r="548" spans="1:14" x14ac:dyDescent="0.25">
      <c r="A548">
        <v>280</v>
      </c>
      <c r="B548">
        <v>1</v>
      </c>
      <c r="C548">
        <v>3</v>
      </c>
      <c r="D548" t="s">
        <v>834</v>
      </c>
      <c r="E548" s="4">
        <v>32</v>
      </c>
      <c r="F548" t="s">
        <v>14</v>
      </c>
      <c r="G548">
        <v>35</v>
      </c>
      <c r="H548">
        <v>1</v>
      </c>
      <c r="I548">
        <v>1</v>
      </c>
      <c r="J548" t="s">
        <v>835</v>
      </c>
      <c r="K548">
        <v>20.25</v>
      </c>
      <c r="M548" s="4" t="s">
        <v>1262</v>
      </c>
      <c r="N548" t="s">
        <v>20</v>
      </c>
    </row>
    <row r="549" spans="1:14" x14ac:dyDescent="0.25">
      <c r="A549">
        <v>281</v>
      </c>
      <c r="B549">
        <v>0</v>
      </c>
      <c r="C549">
        <v>3</v>
      </c>
      <c r="D549" t="s">
        <v>836</v>
      </c>
      <c r="E549" s="4">
        <v>16</v>
      </c>
      <c r="F549" t="s">
        <v>24</v>
      </c>
      <c r="G549">
        <v>65</v>
      </c>
      <c r="H549">
        <v>0</v>
      </c>
      <c r="I549">
        <v>0</v>
      </c>
      <c r="J549">
        <v>336439</v>
      </c>
      <c r="K549">
        <v>7.75</v>
      </c>
      <c r="M549" s="4" t="s">
        <v>1262</v>
      </c>
      <c r="N549" t="s">
        <v>161</v>
      </c>
    </row>
    <row r="550" spans="1:14" x14ac:dyDescent="0.25">
      <c r="A550">
        <v>282</v>
      </c>
      <c r="B550">
        <v>0</v>
      </c>
      <c r="C550">
        <v>3</v>
      </c>
      <c r="D550" t="s">
        <v>837</v>
      </c>
      <c r="E550" s="4">
        <v>32</v>
      </c>
      <c r="F550" t="s">
        <v>24</v>
      </c>
      <c r="G550">
        <v>28</v>
      </c>
      <c r="H550">
        <v>0</v>
      </c>
      <c r="I550">
        <v>0</v>
      </c>
      <c r="J550">
        <v>347464</v>
      </c>
      <c r="K550">
        <v>7.8541999999999996</v>
      </c>
      <c r="M550" s="4" t="s">
        <v>1262</v>
      </c>
      <c r="N550" t="s">
        <v>20</v>
      </c>
    </row>
    <row r="551" spans="1:14" x14ac:dyDescent="0.25">
      <c r="A551">
        <v>283</v>
      </c>
      <c r="B551">
        <v>0</v>
      </c>
      <c r="C551">
        <v>3</v>
      </c>
      <c r="D551" t="s">
        <v>838</v>
      </c>
      <c r="E551" s="4">
        <v>25</v>
      </c>
      <c r="F551" t="s">
        <v>24</v>
      </c>
      <c r="G551">
        <v>16</v>
      </c>
      <c r="H551">
        <v>0</v>
      </c>
      <c r="I551">
        <v>0</v>
      </c>
      <c r="J551">
        <v>345778</v>
      </c>
      <c r="K551">
        <v>9.5</v>
      </c>
      <c r="M551" s="4" t="s">
        <v>1262</v>
      </c>
      <c r="N551" t="s">
        <v>20</v>
      </c>
    </row>
    <row r="552" spans="1:14" x14ac:dyDescent="0.25">
      <c r="A552">
        <v>284</v>
      </c>
      <c r="B552">
        <v>1</v>
      </c>
      <c r="C552">
        <v>3</v>
      </c>
      <c r="D552" t="s">
        <v>839</v>
      </c>
      <c r="E552" s="4">
        <v>26</v>
      </c>
      <c r="F552" t="s">
        <v>24</v>
      </c>
      <c r="G552">
        <v>19</v>
      </c>
      <c r="H552">
        <v>0</v>
      </c>
      <c r="I552">
        <v>0</v>
      </c>
      <c r="J552" t="s">
        <v>840</v>
      </c>
      <c r="K552">
        <v>8.0500000000000007</v>
      </c>
      <c r="M552" s="4" t="s">
        <v>1262</v>
      </c>
      <c r="N552" t="s">
        <v>20</v>
      </c>
    </row>
    <row r="553" spans="1:14" x14ac:dyDescent="0.25">
      <c r="A553">
        <v>640</v>
      </c>
      <c r="B553">
        <v>0</v>
      </c>
      <c r="C553">
        <v>3</v>
      </c>
      <c r="D553" t="s">
        <v>841</v>
      </c>
      <c r="E553" s="4">
        <v>26</v>
      </c>
      <c r="F553" t="s">
        <v>24</v>
      </c>
      <c r="H553">
        <v>1</v>
      </c>
      <c r="I553">
        <v>0</v>
      </c>
      <c r="J553">
        <v>376564</v>
      </c>
      <c r="K553">
        <v>16.100000000000001</v>
      </c>
      <c r="M553" s="4" t="s">
        <v>1262</v>
      </c>
      <c r="N553" t="s">
        <v>20</v>
      </c>
    </row>
    <row r="554" spans="1:14" x14ac:dyDescent="0.25">
      <c r="A554">
        <v>286</v>
      </c>
      <c r="B554">
        <v>0</v>
      </c>
      <c r="C554">
        <v>3</v>
      </c>
      <c r="D554" t="s">
        <v>842</v>
      </c>
      <c r="E554" s="4">
        <v>19</v>
      </c>
      <c r="F554" t="s">
        <v>24</v>
      </c>
      <c r="G554">
        <v>33</v>
      </c>
      <c r="H554">
        <v>0</v>
      </c>
      <c r="I554">
        <v>0</v>
      </c>
      <c r="J554">
        <v>349239</v>
      </c>
      <c r="K554">
        <v>8.6624999999999996</v>
      </c>
      <c r="M554" s="4" t="s">
        <v>1262</v>
      </c>
      <c r="N554" t="s">
        <v>17</v>
      </c>
    </row>
    <row r="555" spans="1:14" x14ac:dyDescent="0.25">
      <c r="A555">
        <v>287</v>
      </c>
      <c r="B555">
        <v>1</v>
      </c>
      <c r="C555">
        <v>3</v>
      </c>
      <c r="D555" t="s">
        <v>843</v>
      </c>
      <c r="E555" s="4">
        <v>23</v>
      </c>
      <c r="F555" t="s">
        <v>24</v>
      </c>
      <c r="G555">
        <v>30</v>
      </c>
      <c r="H555">
        <v>0</v>
      </c>
      <c r="I555">
        <v>0</v>
      </c>
      <c r="J555">
        <v>345774</v>
      </c>
      <c r="K555">
        <v>9.5</v>
      </c>
      <c r="M555" s="4" t="s">
        <v>1262</v>
      </c>
      <c r="N555" t="s">
        <v>20</v>
      </c>
    </row>
    <row r="556" spans="1:14" x14ac:dyDescent="0.25">
      <c r="A556">
        <v>288</v>
      </c>
      <c r="B556">
        <v>0</v>
      </c>
      <c r="C556">
        <v>3</v>
      </c>
      <c r="D556" t="s">
        <v>844</v>
      </c>
      <c r="E556" s="4">
        <v>20</v>
      </c>
      <c r="F556" t="s">
        <v>24</v>
      </c>
      <c r="G556">
        <v>22</v>
      </c>
      <c r="H556">
        <v>0</v>
      </c>
      <c r="I556">
        <v>0</v>
      </c>
      <c r="J556">
        <v>349206</v>
      </c>
      <c r="K556">
        <v>7.8958000000000004</v>
      </c>
      <c r="M556" s="4" t="s">
        <v>1262</v>
      </c>
      <c r="N556" t="s">
        <v>20</v>
      </c>
    </row>
    <row r="557" spans="1:14" x14ac:dyDescent="0.25">
      <c r="A557">
        <v>290</v>
      </c>
      <c r="B557">
        <v>1</v>
      </c>
      <c r="C557">
        <v>3</v>
      </c>
      <c r="D557" t="s">
        <v>845</v>
      </c>
      <c r="E557" s="4">
        <v>20</v>
      </c>
      <c r="F557" t="s">
        <v>14</v>
      </c>
      <c r="G557">
        <v>22</v>
      </c>
      <c r="H557">
        <v>0</v>
      </c>
      <c r="I557">
        <v>0</v>
      </c>
      <c r="J557">
        <v>370373</v>
      </c>
      <c r="K557">
        <v>7.75</v>
      </c>
      <c r="M557" s="4" t="s">
        <v>1262</v>
      </c>
      <c r="N557" t="s">
        <v>161</v>
      </c>
    </row>
    <row r="558" spans="1:14" x14ac:dyDescent="0.25">
      <c r="A558">
        <v>294</v>
      </c>
      <c r="B558">
        <v>0</v>
      </c>
      <c r="C558">
        <v>3</v>
      </c>
      <c r="D558" t="s">
        <v>846</v>
      </c>
      <c r="E558" s="4">
        <v>19</v>
      </c>
      <c r="F558" t="s">
        <v>14</v>
      </c>
      <c r="G558">
        <v>24</v>
      </c>
      <c r="H558">
        <v>0</v>
      </c>
      <c r="I558">
        <v>0</v>
      </c>
      <c r="J558">
        <v>349236</v>
      </c>
      <c r="K558">
        <v>8.85</v>
      </c>
      <c r="M558" s="4" t="s">
        <v>1262</v>
      </c>
      <c r="N558" t="s">
        <v>20</v>
      </c>
    </row>
    <row r="559" spans="1:14" x14ac:dyDescent="0.25">
      <c r="A559">
        <v>295</v>
      </c>
      <c r="B559">
        <v>0</v>
      </c>
      <c r="C559">
        <v>3</v>
      </c>
      <c r="D559" t="s">
        <v>847</v>
      </c>
      <c r="E559" s="4">
        <v>16</v>
      </c>
      <c r="F559" t="s">
        <v>24</v>
      </c>
      <c r="G559">
        <v>24</v>
      </c>
      <c r="H559">
        <v>0</v>
      </c>
      <c r="I559">
        <v>0</v>
      </c>
      <c r="J559">
        <v>349233</v>
      </c>
      <c r="K559">
        <v>7.8958000000000004</v>
      </c>
      <c r="M559" s="4" t="s">
        <v>1262</v>
      </c>
      <c r="N559" t="s">
        <v>20</v>
      </c>
    </row>
    <row r="560" spans="1:14" x14ac:dyDescent="0.25">
      <c r="A560">
        <v>348</v>
      </c>
      <c r="B560">
        <v>1</v>
      </c>
      <c r="C560">
        <v>3</v>
      </c>
      <c r="D560" t="s">
        <v>848</v>
      </c>
      <c r="E560" s="4">
        <v>41</v>
      </c>
      <c r="F560" t="s">
        <v>14</v>
      </c>
      <c r="H560">
        <v>1</v>
      </c>
      <c r="I560">
        <v>0</v>
      </c>
      <c r="J560">
        <v>386525</v>
      </c>
      <c r="K560">
        <v>16.100000000000001</v>
      </c>
      <c r="M560" s="4" t="s">
        <v>1262</v>
      </c>
      <c r="N560" t="s">
        <v>20</v>
      </c>
    </row>
    <row r="561" spans="1:14" x14ac:dyDescent="0.25">
      <c r="A561">
        <v>297</v>
      </c>
      <c r="B561">
        <v>0</v>
      </c>
      <c r="C561">
        <v>3</v>
      </c>
      <c r="D561" t="s">
        <v>849</v>
      </c>
      <c r="E561" s="4">
        <v>18</v>
      </c>
      <c r="F561" t="s">
        <v>24</v>
      </c>
      <c r="G561">
        <v>23.5</v>
      </c>
      <c r="H561">
        <v>0</v>
      </c>
      <c r="I561">
        <v>0</v>
      </c>
      <c r="J561">
        <v>2693</v>
      </c>
      <c r="K561">
        <v>7.2291999999999996</v>
      </c>
      <c r="M561" s="4" t="s">
        <v>1262</v>
      </c>
      <c r="N561" t="s">
        <v>17</v>
      </c>
    </row>
    <row r="562" spans="1:14" x14ac:dyDescent="0.25">
      <c r="A562">
        <v>432</v>
      </c>
      <c r="B562">
        <v>1</v>
      </c>
      <c r="C562">
        <v>3</v>
      </c>
      <c r="D562" t="s">
        <v>850</v>
      </c>
      <c r="E562" s="4">
        <v>49</v>
      </c>
      <c r="F562" t="s">
        <v>14</v>
      </c>
      <c r="H562">
        <v>1</v>
      </c>
      <c r="I562">
        <v>0</v>
      </c>
      <c r="J562">
        <v>376564</v>
      </c>
      <c r="K562">
        <v>16.100000000000001</v>
      </c>
      <c r="M562" s="4" t="s">
        <v>1262</v>
      </c>
      <c r="N562" t="s">
        <v>20</v>
      </c>
    </row>
    <row r="563" spans="1:14" x14ac:dyDescent="0.25">
      <c r="A563">
        <v>47</v>
      </c>
      <c r="B563">
        <v>0</v>
      </c>
      <c r="C563">
        <v>3</v>
      </c>
      <c r="D563" t="s">
        <v>851</v>
      </c>
      <c r="E563" s="4">
        <v>17</v>
      </c>
      <c r="F563" t="s">
        <v>24</v>
      </c>
      <c r="H563">
        <v>1</v>
      </c>
      <c r="I563">
        <v>0</v>
      </c>
      <c r="J563">
        <v>370371</v>
      </c>
      <c r="K563">
        <v>15.5</v>
      </c>
      <c r="M563" s="4" t="s">
        <v>1262</v>
      </c>
      <c r="N563" t="s">
        <v>161</v>
      </c>
    </row>
    <row r="564" spans="1:14" x14ac:dyDescent="0.25">
      <c r="A564">
        <v>365</v>
      </c>
      <c r="B564">
        <v>0</v>
      </c>
      <c r="C564">
        <v>3</v>
      </c>
      <c r="D564" t="s">
        <v>852</v>
      </c>
      <c r="E564" s="4">
        <v>19</v>
      </c>
      <c r="F564" t="s">
        <v>24</v>
      </c>
      <c r="H564">
        <v>1</v>
      </c>
      <c r="I564">
        <v>0</v>
      </c>
      <c r="J564">
        <v>370365</v>
      </c>
      <c r="K564">
        <v>15.5</v>
      </c>
      <c r="M564" s="4" t="s">
        <v>1262</v>
      </c>
      <c r="N564" t="s">
        <v>161</v>
      </c>
    </row>
    <row r="565" spans="1:14" x14ac:dyDescent="0.25">
      <c r="A565">
        <v>303</v>
      </c>
      <c r="B565">
        <v>0</v>
      </c>
      <c r="C565">
        <v>3</v>
      </c>
      <c r="D565" t="s">
        <v>853</v>
      </c>
      <c r="E565" s="4">
        <v>31</v>
      </c>
      <c r="F565" t="s">
        <v>24</v>
      </c>
      <c r="G565">
        <v>19</v>
      </c>
      <c r="H565">
        <v>0</v>
      </c>
      <c r="I565">
        <v>0</v>
      </c>
      <c r="J565" t="s">
        <v>770</v>
      </c>
      <c r="K565">
        <v>0</v>
      </c>
      <c r="M565" s="4" t="s">
        <v>1262</v>
      </c>
      <c r="N565" t="s">
        <v>20</v>
      </c>
    </row>
    <row r="566" spans="1:14" x14ac:dyDescent="0.25">
      <c r="A566">
        <v>187</v>
      </c>
      <c r="B566">
        <v>1</v>
      </c>
      <c r="C566">
        <v>3</v>
      </c>
      <c r="D566" t="s">
        <v>854</v>
      </c>
      <c r="E566" s="4">
        <v>47</v>
      </c>
      <c r="F566" t="s">
        <v>14</v>
      </c>
      <c r="H566">
        <v>1</v>
      </c>
      <c r="I566">
        <v>0</v>
      </c>
      <c r="J566">
        <v>370365</v>
      </c>
      <c r="K566">
        <v>15.5</v>
      </c>
      <c r="M566" s="4" t="s">
        <v>1262</v>
      </c>
      <c r="N566" t="s">
        <v>161</v>
      </c>
    </row>
    <row r="567" spans="1:14" x14ac:dyDescent="0.25">
      <c r="A567">
        <v>242</v>
      </c>
      <c r="B567">
        <v>1</v>
      </c>
      <c r="C567">
        <v>3</v>
      </c>
      <c r="D567" t="s">
        <v>855</v>
      </c>
      <c r="E567" s="4">
        <v>30</v>
      </c>
      <c r="F567" t="s">
        <v>14</v>
      </c>
      <c r="H567">
        <v>1</v>
      </c>
      <c r="I567">
        <v>0</v>
      </c>
      <c r="J567">
        <v>367230</v>
      </c>
      <c r="K567">
        <v>15.5</v>
      </c>
      <c r="M567" s="4" t="s">
        <v>1262</v>
      </c>
      <c r="N567" t="s">
        <v>161</v>
      </c>
    </row>
    <row r="568" spans="1:14" x14ac:dyDescent="0.25">
      <c r="A568">
        <v>613</v>
      </c>
      <c r="B568">
        <v>1</v>
      </c>
      <c r="C568">
        <v>3</v>
      </c>
      <c r="D568" t="s">
        <v>856</v>
      </c>
      <c r="E568" s="4">
        <v>27</v>
      </c>
      <c r="F568" t="s">
        <v>14</v>
      </c>
      <c r="H568">
        <v>1</v>
      </c>
      <c r="I568">
        <v>0</v>
      </c>
      <c r="J568">
        <v>367230</v>
      </c>
      <c r="K568">
        <v>15.5</v>
      </c>
      <c r="M568" s="4" t="s">
        <v>1262</v>
      </c>
      <c r="N568" t="s">
        <v>161</v>
      </c>
    </row>
    <row r="569" spans="1:14" x14ac:dyDescent="0.25">
      <c r="A569">
        <v>314</v>
      </c>
      <c r="B569">
        <v>0</v>
      </c>
      <c r="C569">
        <v>3</v>
      </c>
      <c r="D569" t="s">
        <v>857</v>
      </c>
      <c r="E569" s="4">
        <v>22</v>
      </c>
      <c r="F569" t="s">
        <v>24</v>
      </c>
      <c r="G569">
        <v>28</v>
      </c>
      <c r="H569">
        <v>0</v>
      </c>
      <c r="I569">
        <v>0</v>
      </c>
      <c r="J569">
        <v>349243</v>
      </c>
      <c r="K569">
        <v>7.8958000000000004</v>
      </c>
      <c r="M569" s="4" t="s">
        <v>1262</v>
      </c>
      <c r="N569" t="s">
        <v>20</v>
      </c>
    </row>
    <row r="570" spans="1:14" x14ac:dyDescent="0.25">
      <c r="A570">
        <v>316</v>
      </c>
      <c r="B570">
        <v>1</v>
      </c>
      <c r="C570">
        <v>3</v>
      </c>
      <c r="D570" t="s">
        <v>858</v>
      </c>
      <c r="E570" s="4">
        <v>31</v>
      </c>
      <c r="F570" t="s">
        <v>14</v>
      </c>
      <c r="G570">
        <v>26</v>
      </c>
      <c r="H570">
        <v>0</v>
      </c>
      <c r="I570">
        <v>0</v>
      </c>
      <c r="J570">
        <v>347470</v>
      </c>
      <c r="K570">
        <v>7.8541999999999996</v>
      </c>
      <c r="M570" s="4" t="s">
        <v>1262</v>
      </c>
      <c r="N570" t="s">
        <v>20</v>
      </c>
    </row>
    <row r="571" spans="1:14" x14ac:dyDescent="0.25">
      <c r="A571">
        <v>321</v>
      </c>
      <c r="B571">
        <v>0</v>
      </c>
      <c r="C571">
        <v>3</v>
      </c>
      <c r="D571" t="s">
        <v>859</v>
      </c>
      <c r="E571" s="4">
        <v>18</v>
      </c>
      <c r="F571" t="s">
        <v>24</v>
      </c>
      <c r="G571">
        <v>22</v>
      </c>
      <c r="H571">
        <v>0</v>
      </c>
      <c r="I571">
        <v>0</v>
      </c>
      <c r="J571" t="s">
        <v>860</v>
      </c>
      <c r="K571">
        <v>7.25</v>
      </c>
      <c r="M571" s="4" t="s">
        <v>1262</v>
      </c>
      <c r="N571" t="s">
        <v>20</v>
      </c>
    </row>
    <row r="572" spans="1:14" x14ac:dyDescent="0.25">
      <c r="A572">
        <v>322</v>
      </c>
      <c r="B572">
        <v>0</v>
      </c>
      <c r="C572">
        <v>3</v>
      </c>
      <c r="D572" t="s">
        <v>861</v>
      </c>
      <c r="E572" s="4">
        <v>16</v>
      </c>
      <c r="F572" t="s">
        <v>24</v>
      </c>
      <c r="G572">
        <v>27</v>
      </c>
      <c r="H572">
        <v>0</v>
      </c>
      <c r="I572">
        <v>0</v>
      </c>
      <c r="J572">
        <v>349219</v>
      </c>
      <c r="K572">
        <v>7.8958000000000004</v>
      </c>
      <c r="M572" s="4" t="s">
        <v>1262</v>
      </c>
      <c r="N572" t="s">
        <v>20</v>
      </c>
    </row>
    <row r="573" spans="1:14" x14ac:dyDescent="0.25">
      <c r="A573">
        <v>719</v>
      </c>
      <c r="B573">
        <v>0</v>
      </c>
      <c r="C573">
        <v>3</v>
      </c>
      <c r="D573" t="s">
        <v>862</v>
      </c>
      <c r="E573" s="4">
        <v>19</v>
      </c>
      <c r="F573" t="s">
        <v>24</v>
      </c>
      <c r="H573">
        <v>0</v>
      </c>
      <c r="I573">
        <v>0</v>
      </c>
      <c r="J573">
        <v>36568</v>
      </c>
      <c r="K573">
        <v>15.5</v>
      </c>
      <c r="M573" s="4" t="s">
        <v>1262</v>
      </c>
      <c r="N573" t="s">
        <v>161</v>
      </c>
    </row>
    <row r="574" spans="1:14" x14ac:dyDescent="0.25">
      <c r="A574">
        <v>327</v>
      </c>
      <c r="B574">
        <v>0</v>
      </c>
      <c r="C574">
        <v>3</v>
      </c>
      <c r="D574" t="s">
        <v>863</v>
      </c>
      <c r="E574" s="4">
        <v>25</v>
      </c>
      <c r="F574" t="s">
        <v>24</v>
      </c>
      <c r="G574">
        <v>61</v>
      </c>
      <c r="H574">
        <v>0</v>
      </c>
      <c r="I574">
        <v>0</v>
      </c>
      <c r="J574">
        <v>345364</v>
      </c>
      <c r="K574">
        <v>6.2374999999999998</v>
      </c>
      <c r="M574" s="4" t="s">
        <v>1262</v>
      </c>
      <c r="N574" t="s">
        <v>20</v>
      </c>
    </row>
    <row r="575" spans="1:14" x14ac:dyDescent="0.25">
      <c r="A575">
        <v>329</v>
      </c>
      <c r="B575">
        <v>1</v>
      </c>
      <c r="C575">
        <v>3</v>
      </c>
      <c r="D575" t="s">
        <v>864</v>
      </c>
      <c r="E575" s="4">
        <v>46</v>
      </c>
      <c r="F575" t="s">
        <v>14</v>
      </c>
      <c r="G575">
        <v>31</v>
      </c>
      <c r="H575">
        <v>1</v>
      </c>
      <c r="I575">
        <v>1</v>
      </c>
      <c r="J575">
        <v>363291</v>
      </c>
      <c r="K575">
        <v>20.524999999999999</v>
      </c>
      <c r="M575" s="4" t="s">
        <v>1262</v>
      </c>
      <c r="N575" t="s">
        <v>20</v>
      </c>
    </row>
    <row r="576" spans="1:14" x14ac:dyDescent="0.25">
      <c r="A576">
        <v>66</v>
      </c>
      <c r="B576">
        <v>1</v>
      </c>
      <c r="C576">
        <v>3</v>
      </c>
      <c r="D576" t="s">
        <v>865</v>
      </c>
      <c r="E576" s="4">
        <v>24</v>
      </c>
      <c r="F576" t="s">
        <v>24</v>
      </c>
      <c r="H576">
        <v>1</v>
      </c>
      <c r="I576">
        <v>1</v>
      </c>
      <c r="J576">
        <v>2661</v>
      </c>
      <c r="K576">
        <v>15.245799999999999</v>
      </c>
      <c r="M576" s="4" t="s">
        <v>1262</v>
      </c>
      <c r="N576" t="s">
        <v>17</v>
      </c>
    </row>
    <row r="577" spans="1:14" x14ac:dyDescent="0.25">
      <c r="A577">
        <v>334</v>
      </c>
      <c r="B577">
        <v>0</v>
      </c>
      <c r="C577">
        <v>3</v>
      </c>
      <c r="D577" t="s">
        <v>866</v>
      </c>
      <c r="E577" s="4">
        <v>31</v>
      </c>
      <c r="F577" t="s">
        <v>24</v>
      </c>
      <c r="G577">
        <v>16</v>
      </c>
      <c r="H577">
        <v>2</v>
      </c>
      <c r="I577">
        <v>0</v>
      </c>
      <c r="J577">
        <v>345764</v>
      </c>
      <c r="K577">
        <v>18</v>
      </c>
      <c r="M577" s="4" t="s">
        <v>1262</v>
      </c>
      <c r="N577" t="s">
        <v>20</v>
      </c>
    </row>
    <row r="578" spans="1:14" x14ac:dyDescent="0.25">
      <c r="A578">
        <v>710</v>
      </c>
      <c r="B578">
        <v>1</v>
      </c>
      <c r="C578">
        <v>3</v>
      </c>
      <c r="D578" t="s">
        <v>867</v>
      </c>
      <c r="E578" s="4">
        <v>49</v>
      </c>
      <c r="F578" t="s">
        <v>24</v>
      </c>
      <c r="H578">
        <v>1</v>
      </c>
      <c r="I578">
        <v>1</v>
      </c>
      <c r="J578">
        <v>2661</v>
      </c>
      <c r="K578">
        <v>15.245799999999999</v>
      </c>
      <c r="M578" s="4" t="s">
        <v>1262</v>
      </c>
      <c r="N578" t="s">
        <v>17</v>
      </c>
    </row>
    <row r="579" spans="1:14" x14ac:dyDescent="0.25">
      <c r="A579">
        <v>141</v>
      </c>
      <c r="B579">
        <v>0</v>
      </c>
      <c r="C579">
        <v>3</v>
      </c>
      <c r="D579" t="s">
        <v>868</v>
      </c>
      <c r="E579" s="4">
        <v>29</v>
      </c>
      <c r="F579" t="s">
        <v>14</v>
      </c>
      <c r="H579">
        <v>0</v>
      </c>
      <c r="I579">
        <v>2</v>
      </c>
      <c r="J579">
        <v>2678</v>
      </c>
      <c r="K579">
        <v>15.245799999999999</v>
      </c>
      <c r="M579" s="4" t="s">
        <v>1262</v>
      </c>
      <c r="N579" t="s">
        <v>17</v>
      </c>
    </row>
    <row r="580" spans="1:14" x14ac:dyDescent="0.25">
      <c r="A580">
        <v>339</v>
      </c>
      <c r="B580">
        <v>1</v>
      </c>
      <c r="C580">
        <v>3</v>
      </c>
      <c r="D580" t="s">
        <v>869</v>
      </c>
      <c r="E580" s="4">
        <v>21</v>
      </c>
      <c r="F580" t="s">
        <v>24</v>
      </c>
      <c r="G580">
        <v>45</v>
      </c>
      <c r="H580">
        <v>0</v>
      </c>
      <c r="I580">
        <v>0</v>
      </c>
      <c r="J580">
        <v>7598</v>
      </c>
      <c r="K580">
        <v>8.0500000000000007</v>
      </c>
      <c r="M580" s="4" t="s">
        <v>1262</v>
      </c>
      <c r="N580" t="s">
        <v>20</v>
      </c>
    </row>
    <row r="581" spans="1:14" x14ac:dyDescent="0.25">
      <c r="A581">
        <v>498</v>
      </c>
      <c r="B581">
        <v>0</v>
      </c>
      <c r="C581">
        <v>3</v>
      </c>
      <c r="D581" t="s">
        <v>870</v>
      </c>
      <c r="E581" s="4">
        <v>31</v>
      </c>
      <c r="F581" t="s">
        <v>24</v>
      </c>
      <c r="H581">
        <v>0</v>
      </c>
      <c r="I581">
        <v>0</v>
      </c>
      <c r="J581" t="s">
        <v>871</v>
      </c>
      <c r="K581">
        <v>15.1</v>
      </c>
      <c r="M581" s="4" t="s">
        <v>1262</v>
      </c>
      <c r="N581" t="s">
        <v>20</v>
      </c>
    </row>
    <row r="582" spans="1:14" x14ac:dyDescent="0.25">
      <c r="A582">
        <v>349</v>
      </c>
      <c r="B582">
        <v>1</v>
      </c>
      <c r="C582">
        <v>3</v>
      </c>
      <c r="D582" t="s">
        <v>872</v>
      </c>
      <c r="E582" s="4">
        <v>38</v>
      </c>
      <c r="F582" t="s">
        <v>24</v>
      </c>
      <c r="G582">
        <v>3</v>
      </c>
      <c r="H582">
        <v>1</v>
      </c>
      <c r="I582">
        <v>1</v>
      </c>
      <c r="J582" t="s">
        <v>873</v>
      </c>
      <c r="K582">
        <v>15.9</v>
      </c>
      <c r="M582" s="4" t="s">
        <v>1262</v>
      </c>
      <c r="N582" t="s">
        <v>20</v>
      </c>
    </row>
    <row r="583" spans="1:14" x14ac:dyDescent="0.25">
      <c r="A583">
        <v>350</v>
      </c>
      <c r="B583">
        <v>0</v>
      </c>
      <c r="C583">
        <v>3</v>
      </c>
      <c r="D583" t="s">
        <v>874</v>
      </c>
      <c r="E583" s="4">
        <v>16</v>
      </c>
      <c r="F583" t="s">
        <v>24</v>
      </c>
      <c r="G583">
        <v>42</v>
      </c>
      <c r="H583">
        <v>0</v>
      </c>
      <c r="I583">
        <v>0</v>
      </c>
      <c r="J583">
        <v>315088</v>
      </c>
      <c r="K583">
        <v>8.6624999999999996</v>
      </c>
      <c r="M583" s="4" t="s">
        <v>1262</v>
      </c>
      <c r="N583" t="s">
        <v>20</v>
      </c>
    </row>
    <row r="584" spans="1:14" x14ac:dyDescent="0.25">
      <c r="A584">
        <v>351</v>
      </c>
      <c r="B584">
        <v>0</v>
      </c>
      <c r="C584">
        <v>3</v>
      </c>
      <c r="D584" t="s">
        <v>875</v>
      </c>
      <c r="E584" s="4">
        <v>22</v>
      </c>
      <c r="F584" t="s">
        <v>24</v>
      </c>
      <c r="G584">
        <v>23</v>
      </c>
      <c r="H584">
        <v>0</v>
      </c>
      <c r="I584">
        <v>0</v>
      </c>
      <c r="J584">
        <v>7267</v>
      </c>
      <c r="K584">
        <v>9.2249999999999996</v>
      </c>
      <c r="M584" s="4" t="s">
        <v>1262</v>
      </c>
      <c r="N584" t="s">
        <v>20</v>
      </c>
    </row>
    <row r="585" spans="1:14" x14ac:dyDescent="0.25">
      <c r="A585">
        <v>353</v>
      </c>
      <c r="B585">
        <v>0</v>
      </c>
      <c r="C585">
        <v>3</v>
      </c>
      <c r="D585" t="s">
        <v>876</v>
      </c>
      <c r="E585" s="4">
        <v>18</v>
      </c>
      <c r="F585" t="s">
        <v>24</v>
      </c>
      <c r="G585">
        <v>15</v>
      </c>
      <c r="H585">
        <v>1</v>
      </c>
      <c r="I585">
        <v>1</v>
      </c>
      <c r="J585">
        <v>2695</v>
      </c>
      <c r="K585">
        <v>7.2291999999999996</v>
      </c>
      <c r="M585" s="4" t="s">
        <v>1262</v>
      </c>
      <c r="N585" t="s">
        <v>17</v>
      </c>
    </row>
    <row r="586" spans="1:14" x14ac:dyDescent="0.25">
      <c r="A586">
        <v>354</v>
      </c>
      <c r="B586">
        <v>0</v>
      </c>
      <c r="C586">
        <v>3</v>
      </c>
      <c r="D586" t="s">
        <v>877</v>
      </c>
      <c r="E586" s="4">
        <v>25</v>
      </c>
      <c r="F586" t="s">
        <v>24</v>
      </c>
      <c r="G586">
        <v>25</v>
      </c>
      <c r="H586">
        <v>1</v>
      </c>
      <c r="I586">
        <v>0</v>
      </c>
      <c r="J586">
        <v>349237</v>
      </c>
      <c r="K586">
        <v>17.8</v>
      </c>
      <c r="M586" s="4" t="s">
        <v>1262</v>
      </c>
      <c r="N586" t="s">
        <v>20</v>
      </c>
    </row>
    <row r="587" spans="1:14" x14ac:dyDescent="0.25">
      <c r="A587">
        <v>539</v>
      </c>
      <c r="B587">
        <v>0</v>
      </c>
      <c r="C587">
        <v>3</v>
      </c>
      <c r="D587" t="s">
        <v>878</v>
      </c>
      <c r="E587" s="4">
        <v>24</v>
      </c>
      <c r="F587" t="s">
        <v>24</v>
      </c>
      <c r="H587">
        <v>0</v>
      </c>
      <c r="I587">
        <v>0</v>
      </c>
      <c r="J587">
        <v>364498</v>
      </c>
      <c r="K587">
        <v>14.5</v>
      </c>
      <c r="M587" s="4" t="s">
        <v>1262</v>
      </c>
      <c r="N587" t="s">
        <v>20</v>
      </c>
    </row>
    <row r="588" spans="1:14" x14ac:dyDescent="0.25">
      <c r="A588">
        <v>356</v>
      </c>
      <c r="B588">
        <v>0</v>
      </c>
      <c r="C588">
        <v>3</v>
      </c>
      <c r="D588" t="s">
        <v>879</v>
      </c>
      <c r="E588" s="4">
        <v>27</v>
      </c>
      <c r="F588" t="s">
        <v>24</v>
      </c>
      <c r="G588">
        <v>28</v>
      </c>
      <c r="H588">
        <v>0</v>
      </c>
      <c r="I588">
        <v>0</v>
      </c>
      <c r="J588">
        <v>345783</v>
      </c>
      <c r="K588">
        <v>9.5</v>
      </c>
      <c r="M588" s="4" t="s">
        <v>1262</v>
      </c>
      <c r="N588" t="s">
        <v>20</v>
      </c>
    </row>
    <row r="589" spans="1:14" x14ac:dyDescent="0.25">
      <c r="A589">
        <v>761</v>
      </c>
      <c r="B589">
        <v>0</v>
      </c>
      <c r="C589">
        <v>3</v>
      </c>
      <c r="D589" t="s">
        <v>880</v>
      </c>
      <c r="E589" s="4">
        <v>18</v>
      </c>
      <c r="F589" t="s">
        <v>24</v>
      </c>
      <c r="H589">
        <v>0</v>
      </c>
      <c r="I589">
        <v>0</v>
      </c>
      <c r="J589">
        <v>358585</v>
      </c>
      <c r="K589">
        <v>14.5</v>
      </c>
      <c r="M589" s="4" t="s">
        <v>1262</v>
      </c>
      <c r="N589" t="s">
        <v>20</v>
      </c>
    </row>
    <row r="590" spans="1:14" x14ac:dyDescent="0.25">
      <c r="A590">
        <v>579</v>
      </c>
      <c r="B590">
        <v>0</v>
      </c>
      <c r="C590">
        <v>3</v>
      </c>
      <c r="D590" t="s">
        <v>881</v>
      </c>
      <c r="E590" s="4">
        <v>32</v>
      </c>
      <c r="F590" t="s">
        <v>14</v>
      </c>
      <c r="H590">
        <v>1</v>
      </c>
      <c r="I590">
        <v>0</v>
      </c>
      <c r="J590">
        <v>2689</v>
      </c>
      <c r="K590">
        <v>14.458299999999999</v>
      </c>
      <c r="M590" s="4" t="s">
        <v>1262</v>
      </c>
      <c r="N590" t="s">
        <v>17</v>
      </c>
    </row>
    <row r="591" spans="1:14" x14ac:dyDescent="0.25">
      <c r="A591">
        <v>361</v>
      </c>
      <c r="B591">
        <v>0</v>
      </c>
      <c r="C591">
        <v>3</v>
      </c>
      <c r="D591" t="s">
        <v>882</v>
      </c>
      <c r="E591" s="4">
        <v>18</v>
      </c>
      <c r="F591" t="s">
        <v>24</v>
      </c>
      <c r="G591">
        <v>40</v>
      </c>
      <c r="H591">
        <v>1</v>
      </c>
      <c r="I591">
        <v>4</v>
      </c>
      <c r="J591">
        <v>347088</v>
      </c>
      <c r="K591">
        <v>27.9</v>
      </c>
      <c r="M591" s="4" t="s">
        <v>1262</v>
      </c>
      <c r="N591" t="s">
        <v>20</v>
      </c>
    </row>
    <row r="592" spans="1:14" x14ac:dyDescent="0.25">
      <c r="A592">
        <v>363</v>
      </c>
      <c r="B592">
        <v>0</v>
      </c>
      <c r="C592">
        <v>3</v>
      </c>
      <c r="D592" t="s">
        <v>883</v>
      </c>
      <c r="E592" s="4">
        <v>31</v>
      </c>
      <c r="F592" t="s">
        <v>14</v>
      </c>
      <c r="G592">
        <v>45</v>
      </c>
      <c r="H592">
        <v>0</v>
      </c>
      <c r="I592">
        <v>1</v>
      </c>
      <c r="J592">
        <v>2691</v>
      </c>
      <c r="K592">
        <v>14.4542</v>
      </c>
      <c r="M592" s="4" t="s">
        <v>1262</v>
      </c>
      <c r="N592" t="s">
        <v>17</v>
      </c>
    </row>
    <row r="593" spans="1:14" x14ac:dyDescent="0.25">
      <c r="A593">
        <v>364</v>
      </c>
      <c r="B593">
        <v>0</v>
      </c>
      <c r="C593">
        <v>3</v>
      </c>
      <c r="D593" t="s">
        <v>884</v>
      </c>
      <c r="E593" s="4">
        <v>15</v>
      </c>
      <c r="F593" t="s">
        <v>24</v>
      </c>
      <c r="G593">
        <v>35</v>
      </c>
      <c r="H593">
        <v>0</v>
      </c>
      <c r="I593">
        <v>0</v>
      </c>
      <c r="J593" t="s">
        <v>885</v>
      </c>
      <c r="K593">
        <v>7.05</v>
      </c>
      <c r="M593" s="4" t="s">
        <v>1262</v>
      </c>
      <c r="N593" t="s">
        <v>20</v>
      </c>
    </row>
    <row r="594" spans="1:14" x14ac:dyDescent="0.25">
      <c r="A594">
        <v>496</v>
      </c>
      <c r="B594">
        <v>0</v>
      </c>
      <c r="C594">
        <v>3</v>
      </c>
      <c r="D594" t="s">
        <v>886</v>
      </c>
      <c r="E594" s="4">
        <v>21</v>
      </c>
      <c r="F594" t="s">
        <v>24</v>
      </c>
      <c r="H594">
        <v>0</v>
      </c>
      <c r="I594">
        <v>0</v>
      </c>
      <c r="J594">
        <v>2627</v>
      </c>
      <c r="K594">
        <v>14.458299999999999</v>
      </c>
      <c r="M594" s="4" t="s">
        <v>1262</v>
      </c>
      <c r="N594" t="s">
        <v>17</v>
      </c>
    </row>
    <row r="595" spans="1:14" x14ac:dyDescent="0.25">
      <c r="A595">
        <v>366</v>
      </c>
      <c r="B595">
        <v>0</v>
      </c>
      <c r="C595">
        <v>3</v>
      </c>
      <c r="D595" t="s">
        <v>887</v>
      </c>
      <c r="E595" s="4">
        <v>30</v>
      </c>
      <c r="F595" t="s">
        <v>24</v>
      </c>
      <c r="G595">
        <v>30</v>
      </c>
      <c r="H595">
        <v>0</v>
      </c>
      <c r="I595">
        <v>0</v>
      </c>
      <c r="J595" t="s">
        <v>888</v>
      </c>
      <c r="K595">
        <v>7.25</v>
      </c>
      <c r="M595" s="4" t="s">
        <v>1262</v>
      </c>
      <c r="N595" t="s">
        <v>20</v>
      </c>
    </row>
    <row r="596" spans="1:14" x14ac:dyDescent="0.25">
      <c r="A596">
        <v>241</v>
      </c>
      <c r="B596">
        <v>0</v>
      </c>
      <c r="C596">
        <v>3</v>
      </c>
      <c r="D596" t="s">
        <v>889</v>
      </c>
      <c r="E596" s="4">
        <v>21</v>
      </c>
      <c r="F596" t="s">
        <v>14</v>
      </c>
      <c r="H596">
        <v>1</v>
      </c>
      <c r="I596">
        <v>0</v>
      </c>
      <c r="J596">
        <v>2665</v>
      </c>
      <c r="K596">
        <v>14.4542</v>
      </c>
      <c r="M596" s="4" t="s">
        <v>1262</v>
      </c>
      <c r="N596" t="s">
        <v>17</v>
      </c>
    </row>
    <row r="597" spans="1:14" x14ac:dyDescent="0.25">
      <c r="A597">
        <v>372</v>
      </c>
      <c r="B597">
        <v>0</v>
      </c>
      <c r="C597">
        <v>3</v>
      </c>
      <c r="D597" t="s">
        <v>890</v>
      </c>
      <c r="E597" s="4">
        <v>25</v>
      </c>
      <c r="F597" t="s">
        <v>24</v>
      </c>
      <c r="G597">
        <v>18</v>
      </c>
      <c r="H597">
        <v>1</v>
      </c>
      <c r="I597">
        <v>0</v>
      </c>
      <c r="J597">
        <v>3101267</v>
      </c>
      <c r="K597">
        <v>6.4958</v>
      </c>
      <c r="M597" s="4" t="s">
        <v>1262</v>
      </c>
      <c r="N597" t="s">
        <v>20</v>
      </c>
    </row>
    <row r="598" spans="1:14" x14ac:dyDescent="0.25">
      <c r="A598">
        <v>373</v>
      </c>
      <c r="B598">
        <v>0</v>
      </c>
      <c r="C598">
        <v>3</v>
      </c>
      <c r="D598" t="s">
        <v>891</v>
      </c>
      <c r="E598" s="4">
        <v>26</v>
      </c>
      <c r="F598" t="s">
        <v>24</v>
      </c>
      <c r="G598">
        <v>19</v>
      </c>
      <c r="H598">
        <v>0</v>
      </c>
      <c r="I598">
        <v>0</v>
      </c>
      <c r="J598">
        <v>323951</v>
      </c>
      <c r="K598">
        <v>8.0500000000000007</v>
      </c>
      <c r="M598" s="4" t="s">
        <v>1262</v>
      </c>
      <c r="N598" t="s">
        <v>20</v>
      </c>
    </row>
    <row r="599" spans="1:14" x14ac:dyDescent="0.25">
      <c r="A599">
        <v>375</v>
      </c>
      <c r="B599">
        <v>0</v>
      </c>
      <c r="C599">
        <v>3</v>
      </c>
      <c r="D599" t="s">
        <v>892</v>
      </c>
      <c r="E599" s="4">
        <v>26</v>
      </c>
      <c r="F599" t="s">
        <v>14</v>
      </c>
      <c r="G599">
        <v>3</v>
      </c>
      <c r="H599">
        <v>3</v>
      </c>
      <c r="I599">
        <v>1</v>
      </c>
      <c r="J599">
        <v>349909</v>
      </c>
      <c r="K599">
        <v>21.074999999999999</v>
      </c>
      <c r="M599" s="4" t="s">
        <v>1262</v>
      </c>
      <c r="N599" t="s">
        <v>20</v>
      </c>
    </row>
    <row r="600" spans="1:14" x14ac:dyDescent="0.25">
      <c r="A600">
        <v>377</v>
      </c>
      <c r="B600">
        <v>1</v>
      </c>
      <c r="C600">
        <v>3</v>
      </c>
      <c r="D600" t="s">
        <v>893</v>
      </c>
      <c r="E600" s="4">
        <v>31</v>
      </c>
      <c r="F600" t="s">
        <v>14</v>
      </c>
      <c r="G600">
        <v>22</v>
      </c>
      <c r="H600">
        <v>0</v>
      </c>
      <c r="I600">
        <v>0</v>
      </c>
      <c r="J600" t="s">
        <v>894</v>
      </c>
      <c r="K600">
        <v>7.25</v>
      </c>
      <c r="M600" s="4" t="s">
        <v>1262</v>
      </c>
      <c r="N600" t="s">
        <v>20</v>
      </c>
    </row>
    <row r="601" spans="1:14" x14ac:dyDescent="0.25">
      <c r="A601">
        <v>379</v>
      </c>
      <c r="B601">
        <v>0</v>
      </c>
      <c r="C601">
        <v>3</v>
      </c>
      <c r="D601" t="s">
        <v>895</v>
      </c>
      <c r="E601" s="4">
        <v>19</v>
      </c>
      <c r="F601" t="s">
        <v>24</v>
      </c>
      <c r="G601">
        <v>20</v>
      </c>
      <c r="H601">
        <v>0</v>
      </c>
      <c r="I601">
        <v>0</v>
      </c>
      <c r="J601">
        <v>2648</v>
      </c>
      <c r="K601">
        <v>4.0125000000000002</v>
      </c>
      <c r="M601" s="4" t="s">
        <v>1262</v>
      </c>
      <c r="N601" t="s">
        <v>17</v>
      </c>
    </row>
    <row r="602" spans="1:14" x14ac:dyDescent="0.25">
      <c r="A602">
        <v>380</v>
      </c>
      <c r="B602">
        <v>0</v>
      </c>
      <c r="C602">
        <v>3</v>
      </c>
      <c r="D602" t="s">
        <v>896</v>
      </c>
      <c r="E602" s="4">
        <v>27</v>
      </c>
      <c r="F602" t="s">
        <v>24</v>
      </c>
      <c r="G602">
        <v>19</v>
      </c>
      <c r="H602">
        <v>0</v>
      </c>
      <c r="I602">
        <v>0</v>
      </c>
      <c r="J602">
        <v>347069</v>
      </c>
      <c r="K602">
        <v>7.7750000000000004</v>
      </c>
      <c r="M602" s="4" t="s">
        <v>1262</v>
      </c>
      <c r="N602" t="s">
        <v>20</v>
      </c>
    </row>
    <row r="603" spans="1:14" x14ac:dyDescent="0.25">
      <c r="A603">
        <v>382</v>
      </c>
      <c r="B603">
        <v>1</v>
      </c>
      <c r="C603">
        <v>3</v>
      </c>
      <c r="D603" t="s">
        <v>897</v>
      </c>
      <c r="E603" s="4">
        <v>27</v>
      </c>
      <c r="F603" t="s">
        <v>14</v>
      </c>
      <c r="G603">
        <v>1</v>
      </c>
      <c r="H603">
        <v>0</v>
      </c>
      <c r="I603">
        <v>2</v>
      </c>
      <c r="J603">
        <v>2653</v>
      </c>
      <c r="K603">
        <v>15.7417</v>
      </c>
      <c r="M603" s="4" t="s">
        <v>1262</v>
      </c>
      <c r="N603" t="s">
        <v>17</v>
      </c>
    </row>
    <row r="604" spans="1:14" x14ac:dyDescent="0.25">
      <c r="A604">
        <v>383</v>
      </c>
      <c r="B604">
        <v>0</v>
      </c>
      <c r="C604">
        <v>3</v>
      </c>
      <c r="D604" t="s">
        <v>898</v>
      </c>
      <c r="E604" s="4">
        <v>18</v>
      </c>
      <c r="F604" t="s">
        <v>24</v>
      </c>
      <c r="G604">
        <v>32</v>
      </c>
      <c r="H604">
        <v>0</v>
      </c>
      <c r="I604">
        <v>0</v>
      </c>
      <c r="J604" t="s">
        <v>899</v>
      </c>
      <c r="K604">
        <v>7.9249999999999998</v>
      </c>
      <c r="M604" s="4" t="s">
        <v>1262</v>
      </c>
      <c r="N604" t="s">
        <v>20</v>
      </c>
    </row>
    <row r="605" spans="1:14" x14ac:dyDescent="0.25">
      <c r="A605">
        <v>387</v>
      </c>
      <c r="B605">
        <v>0</v>
      </c>
      <c r="C605">
        <v>3</v>
      </c>
      <c r="D605" t="s">
        <v>900</v>
      </c>
      <c r="E605" s="4">
        <v>31</v>
      </c>
      <c r="F605" t="s">
        <v>24</v>
      </c>
      <c r="G605">
        <v>1</v>
      </c>
      <c r="H605">
        <v>5</v>
      </c>
      <c r="I605">
        <v>2</v>
      </c>
      <c r="J605" t="s">
        <v>693</v>
      </c>
      <c r="K605">
        <v>46.9</v>
      </c>
      <c r="M605" s="4" t="s">
        <v>1262</v>
      </c>
      <c r="N605" t="s">
        <v>20</v>
      </c>
    </row>
    <row r="606" spans="1:14" x14ac:dyDescent="0.25">
      <c r="A606">
        <v>869</v>
      </c>
      <c r="B606">
        <v>0</v>
      </c>
      <c r="C606">
        <v>3</v>
      </c>
      <c r="D606" t="s">
        <v>901</v>
      </c>
      <c r="E606" s="4">
        <v>27</v>
      </c>
      <c r="F606" t="s">
        <v>24</v>
      </c>
      <c r="H606">
        <v>0</v>
      </c>
      <c r="I606">
        <v>0</v>
      </c>
      <c r="J606">
        <v>345777</v>
      </c>
      <c r="K606">
        <v>9.5</v>
      </c>
      <c r="M606" s="4" t="s">
        <v>1262</v>
      </c>
      <c r="N606" t="s">
        <v>20</v>
      </c>
    </row>
    <row r="607" spans="1:14" x14ac:dyDescent="0.25">
      <c r="A607">
        <v>392</v>
      </c>
      <c r="B607">
        <v>1</v>
      </c>
      <c r="C607">
        <v>3</v>
      </c>
      <c r="D607" t="s">
        <v>902</v>
      </c>
      <c r="E607" s="4">
        <v>22</v>
      </c>
      <c r="F607" t="s">
        <v>24</v>
      </c>
      <c r="G607">
        <v>21</v>
      </c>
      <c r="H607">
        <v>0</v>
      </c>
      <c r="I607">
        <v>0</v>
      </c>
      <c r="J607">
        <v>350034</v>
      </c>
      <c r="K607">
        <v>7.7957999999999998</v>
      </c>
      <c r="M607" s="4" t="s">
        <v>1262</v>
      </c>
      <c r="N607" t="s">
        <v>20</v>
      </c>
    </row>
    <row r="608" spans="1:14" x14ac:dyDescent="0.25">
      <c r="A608">
        <v>393</v>
      </c>
      <c r="B608">
        <v>0</v>
      </c>
      <c r="C608">
        <v>3</v>
      </c>
      <c r="D608" t="s">
        <v>903</v>
      </c>
      <c r="E608" s="4">
        <v>28</v>
      </c>
      <c r="F608" t="s">
        <v>24</v>
      </c>
      <c r="G608">
        <v>28</v>
      </c>
      <c r="H608">
        <v>2</v>
      </c>
      <c r="I608">
        <v>0</v>
      </c>
      <c r="J608">
        <v>3101277</v>
      </c>
      <c r="K608">
        <v>7.9249999999999998</v>
      </c>
      <c r="M608" s="4" t="s">
        <v>1262</v>
      </c>
      <c r="N608" t="s">
        <v>20</v>
      </c>
    </row>
    <row r="609" spans="1:14" x14ac:dyDescent="0.25">
      <c r="A609">
        <v>395</v>
      </c>
      <c r="B609">
        <v>1</v>
      </c>
      <c r="C609">
        <v>3</v>
      </c>
      <c r="D609" t="s">
        <v>904</v>
      </c>
      <c r="E609" s="4">
        <v>51</v>
      </c>
      <c r="F609" t="s">
        <v>14</v>
      </c>
      <c r="G609">
        <v>24</v>
      </c>
      <c r="H609">
        <v>0</v>
      </c>
      <c r="I609">
        <v>2</v>
      </c>
      <c r="J609" t="s">
        <v>662</v>
      </c>
      <c r="K609">
        <v>16.7</v>
      </c>
      <c r="L609" t="s">
        <v>663</v>
      </c>
      <c r="M609" s="4" t="s">
        <v>187</v>
      </c>
      <c r="N609" t="s">
        <v>20</v>
      </c>
    </row>
    <row r="610" spans="1:14" x14ac:dyDescent="0.25">
      <c r="A610">
        <v>396</v>
      </c>
      <c r="B610">
        <v>0</v>
      </c>
      <c r="C610">
        <v>3</v>
      </c>
      <c r="D610" t="s">
        <v>905</v>
      </c>
      <c r="E610" s="4">
        <v>19</v>
      </c>
      <c r="F610" t="s">
        <v>24</v>
      </c>
      <c r="G610">
        <v>22</v>
      </c>
      <c r="H610">
        <v>0</v>
      </c>
      <c r="I610">
        <v>0</v>
      </c>
      <c r="J610">
        <v>350052</v>
      </c>
      <c r="K610">
        <v>7.7957999999999998</v>
      </c>
      <c r="M610" s="4" t="s">
        <v>1262</v>
      </c>
      <c r="N610" t="s">
        <v>20</v>
      </c>
    </row>
    <row r="611" spans="1:14" x14ac:dyDescent="0.25">
      <c r="A611">
        <v>397</v>
      </c>
      <c r="B611">
        <v>0</v>
      </c>
      <c r="C611">
        <v>3</v>
      </c>
      <c r="D611" t="s">
        <v>906</v>
      </c>
      <c r="E611" s="4">
        <v>19</v>
      </c>
      <c r="F611" t="s">
        <v>14</v>
      </c>
      <c r="G611">
        <v>31</v>
      </c>
      <c r="H611">
        <v>0</v>
      </c>
      <c r="I611">
        <v>0</v>
      </c>
      <c r="J611">
        <v>350407</v>
      </c>
      <c r="K611">
        <v>7.8541999999999996</v>
      </c>
      <c r="M611" s="4" t="s">
        <v>1262</v>
      </c>
      <c r="N611" t="s">
        <v>20</v>
      </c>
    </row>
    <row r="612" spans="1:14" x14ac:dyDescent="0.25">
      <c r="A612">
        <v>401</v>
      </c>
      <c r="B612">
        <v>1</v>
      </c>
      <c r="C612">
        <v>3</v>
      </c>
      <c r="D612" t="s">
        <v>907</v>
      </c>
      <c r="E612" s="4">
        <v>18</v>
      </c>
      <c r="F612" t="s">
        <v>24</v>
      </c>
      <c r="G612">
        <v>39</v>
      </c>
      <c r="H612">
        <v>0</v>
      </c>
      <c r="I612">
        <v>0</v>
      </c>
      <c r="J612" t="s">
        <v>908</v>
      </c>
      <c r="K612">
        <v>7.9249999999999998</v>
      </c>
      <c r="M612" s="4" t="s">
        <v>1262</v>
      </c>
      <c r="N612" t="s">
        <v>20</v>
      </c>
    </row>
    <row r="613" spans="1:14" x14ac:dyDescent="0.25">
      <c r="A613">
        <v>402</v>
      </c>
      <c r="B613">
        <v>0</v>
      </c>
      <c r="C613">
        <v>3</v>
      </c>
      <c r="D613" t="s">
        <v>909</v>
      </c>
      <c r="E613" s="4">
        <v>15</v>
      </c>
      <c r="F613" t="s">
        <v>24</v>
      </c>
      <c r="G613">
        <v>26</v>
      </c>
      <c r="H613">
        <v>0</v>
      </c>
      <c r="I613">
        <v>0</v>
      </c>
      <c r="J613">
        <v>341826</v>
      </c>
      <c r="K613">
        <v>8.0500000000000007</v>
      </c>
      <c r="M613" s="4" t="s">
        <v>1262</v>
      </c>
      <c r="N613" t="s">
        <v>20</v>
      </c>
    </row>
    <row r="614" spans="1:14" x14ac:dyDescent="0.25">
      <c r="A614">
        <v>403</v>
      </c>
      <c r="B614">
        <v>0</v>
      </c>
      <c r="C614">
        <v>3</v>
      </c>
      <c r="D614" t="s">
        <v>910</v>
      </c>
      <c r="E614" s="4">
        <v>24</v>
      </c>
      <c r="F614" t="s">
        <v>14</v>
      </c>
      <c r="G614">
        <v>21</v>
      </c>
      <c r="H614">
        <v>1</v>
      </c>
      <c r="I614">
        <v>0</v>
      </c>
      <c r="J614">
        <v>4137</v>
      </c>
      <c r="K614">
        <v>9.8249999999999993</v>
      </c>
      <c r="M614" s="4" t="s">
        <v>1262</v>
      </c>
      <c r="N614" t="s">
        <v>20</v>
      </c>
    </row>
    <row r="615" spans="1:14" x14ac:dyDescent="0.25">
      <c r="A615">
        <v>404</v>
      </c>
      <c r="B615">
        <v>0</v>
      </c>
      <c r="C615">
        <v>3</v>
      </c>
      <c r="D615" t="s">
        <v>911</v>
      </c>
      <c r="E615" s="4">
        <v>30</v>
      </c>
      <c r="F615" t="s">
        <v>24</v>
      </c>
      <c r="G615">
        <v>28</v>
      </c>
      <c r="H615">
        <v>1</v>
      </c>
      <c r="I615">
        <v>0</v>
      </c>
      <c r="J615" t="s">
        <v>746</v>
      </c>
      <c r="K615">
        <v>15.85</v>
      </c>
      <c r="M615" s="4" t="s">
        <v>1262</v>
      </c>
      <c r="N615" t="s">
        <v>20</v>
      </c>
    </row>
    <row r="616" spans="1:14" x14ac:dyDescent="0.25">
      <c r="A616">
        <v>405</v>
      </c>
      <c r="B616">
        <v>0</v>
      </c>
      <c r="C616">
        <v>3</v>
      </c>
      <c r="D616" t="s">
        <v>912</v>
      </c>
      <c r="E616" s="4">
        <v>23</v>
      </c>
      <c r="F616" t="s">
        <v>14</v>
      </c>
      <c r="G616">
        <v>20</v>
      </c>
      <c r="H616">
        <v>0</v>
      </c>
      <c r="I616">
        <v>0</v>
      </c>
      <c r="J616">
        <v>315096</v>
      </c>
      <c r="K616">
        <v>8.6624999999999996</v>
      </c>
      <c r="M616" s="4" t="s">
        <v>1262</v>
      </c>
      <c r="N616" t="s">
        <v>20</v>
      </c>
    </row>
    <row r="617" spans="1:14" x14ac:dyDescent="0.25">
      <c r="A617">
        <v>407</v>
      </c>
      <c r="B617">
        <v>0</v>
      </c>
      <c r="C617">
        <v>3</v>
      </c>
      <c r="D617" t="s">
        <v>913</v>
      </c>
      <c r="E617" s="4">
        <v>32</v>
      </c>
      <c r="F617" t="s">
        <v>24</v>
      </c>
      <c r="G617">
        <v>51</v>
      </c>
      <c r="H617">
        <v>0</v>
      </c>
      <c r="I617">
        <v>0</v>
      </c>
      <c r="J617">
        <v>347064</v>
      </c>
      <c r="K617">
        <v>7.75</v>
      </c>
      <c r="M617" s="4" t="s">
        <v>1262</v>
      </c>
      <c r="N617" t="s">
        <v>20</v>
      </c>
    </row>
    <row r="618" spans="1:14" x14ac:dyDescent="0.25">
      <c r="A618">
        <v>409</v>
      </c>
      <c r="B618">
        <v>0</v>
      </c>
      <c r="C618">
        <v>3</v>
      </c>
      <c r="D618" t="s">
        <v>914</v>
      </c>
      <c r="E618" s="4">
        <v>33</v>
      </c>
      <c r="F618" t="s">
        <v>24</v>
      </c>
      <c r="G618">
        <v>21</v>
      </c>
      <c r="H618">
        <v>0</v>
      </c>
      <c r="I618">
        <v>0</v>
      </c>
      <c r="J618">
        <v>312992</v>
      </c>
      <c r="K618">
        <v>7.7750000000000004</v>
      </c>
      <c r="M618" s="4" t="s">
        <v>1262</v>
      </c>
      <c r="N618" t="s">
        <v>20</v>
      </c>
    </row>
    <row r="619" spans="1:14" x14ac:dyDescent="0.25">
      <c r="A619">
        <v>585</v>
      </c>
      <c r="B619">
        <v>0</v>
      </c>
      <c r="C619">
        <v>3</v>
      </c>
      <c r="D619" t="s">
        <v>915</v>
      </c>
      <c r="E619" s="4">
        <v>19</v>
      </c>
      <c r="F619" t="s">
        <v>24</v>
      </c>
      <c r="H619">
        <v>0</v>
      </c>
      <c r="I619">
        <v>0</v>
      </c>
      <c r="J619">
        <v>3411</v>
      </c>
      <c r="K619">
        <v>8.7125000000000004</v>
      </c>
      <c r="M619" s="4" t="s">
        <v>1262</v>
      </c>
      <c r="N619" t="s">
        <v>17</v>
      </c>
    </row>
    <row r="620" spans="1:14" x14ac:dyDescent="0.25">
      <c r="A620">
        <v>159</v>
      </c>
      <c r="B620">
        <v>0</v>
      </c>
      <c r="C620">
        <v>3</v>
      </c>
      <c r="D620" t="s">
        <v>916</v>
      </c>
      <c r="E620" s="4">
        <v>19</v>
      </c>
      <c r="F620" t="s">
        <v>24</v>
      </c>
      <c r="H620">
        <v>0</v>
      </c>
      <c r="I620">
        <v>0</v>
      </c>
      <c r="J620">
        <v>315037</v>
      </c>
      <c r="K620">
        <v>8.6624999999999996</v>
      </c>
      <c r="M620" s="4" t="s">
        <v>1262</v>
      </c>
      <c r="N620" t="s">
        <v>20</v>
      </c>
    </row>
    <row r="621" spans="1:14" x14ac:dyDescent="0.25">
      <c r="A621">
        <v>6</v>
      </c>
      <c r="B621">
        <v>0</v>
      </c>
      <c r="C621">
        <v>3</v>
      </c>
      <c r="D621" t="s">
        <v>917</v>
      </c>
      <c r="E621" s="4">
        <v>16</v>
      </c>
      <c r="F621" t="s">
        <v>24</v>
      </c>
      <c r="H621">
        <v>0</v>
      </c>
      <c r="I621">
        <v>0</v>
      </c>
      <c r="J621">
        <v>330877</v>
      </c>
      <c r="K621">
        <v>8.4582999999999995</v>
      </c>
      <c r="M621" s="4" t="s">
        <v>1262</v>
      </c>
      <c r="N621" t="s">
        <v>161</v>
      </c>
    </row>
    <row r="622" spans="1:14" x14ac:dyDescent="0.25">
      <c r="A622">
        <v>681</v>
      </c>
      <c r="B622">
        <v>0</v>
      </c>
      <c r="C622">
        <v>3</v>
      </c>
      <c r="D622" t="s">
        <v>918</v>
      </c>
      <c r="E622" s="4">
        <v>19</v>
      </c>
      <c r="F622" t="s">
        <v>14</v>
      </c>
      <c r="H622">
        <v>0</v>
      </c>
      <c r="I622">
        <v>0</v>
      </c>
      <c r="J622">
        <v>330935</v>
      </c>
      <c r="K622">
        <v>8.1374999999999993</v>
      </c>
      <c r="M622" s="4" t="s">
        <v>1262</v>
      </c>
      <c r="N622" t="s">
        <v>161</v>
      </c>
    </row>
    <row r="623" spans="1:14" x14ac:dyDescent="0.25">
      <c r="A623">
        <v>415</v>
      </c>
      <c r="B623">
        <v>1</v>
      </c>
      <c r="C623">
        <v>3</v>
      </c>
      <c r="D623" t="s">
        <v>919</v>
      </c>
      <c r="E623" s="4">
        <v>25</v>
      </c>
      <c r="F623" t="s">
        <v>24</v>
      </c>
      <c r="G623">
        <v>44</v>
      </c>
      <c r="H623">
        <v>0</v>
      </c>
      <c r="I623">
        <v>0</v>
      </c>
      <c r="J623" t="s">
        <v>920</v>
      </c>
      <c r="K623">
        <v>7.9249999999999998</v>
      </c>
      <c r="M623" s="4" t="s">
        <v>1262</v>
      </c>
      <c r="N623" t="s">
        <v>20</v>
      </c>
    </row>
    <row r="624" spans="1:14" x14ac:dyDescent="0.25">
      <c r="A624">
        <v>445</v>
      </c>
      <c r="B624">
        <v>1</v>
      </c>
      <c r="C624">
        <v>3</v>
      </c>
      <c r="D624" t="s">
        <v>921</v>
      </c>
      <c r="E624" s="4">
        <v>33</v>
      </c>
      <c r="F624" t="s">
        <v>24</v>
      </c>
      <c r="H624">
        <v>0</v>
      </c>
      <c r="I624">
        <v>0</v>
      </c>
      <c r="J624">
        <v>65306</v>
      </c>
      <c r="K624">
        <v>8.1125000000000007</v>
      </c>
      <c r="M624" s="4" t="s">
        <v>1262</v>
      </c>
      <c r="N624" t="s">
        <v>20</v>
      </c>
    </row>
    <row r="625" spans="1:14" x14ac:dyDescent="0.25">
      <c r="A625">
        <v>420</v>
      </c>
      <c r="B625">
        <v>0</v>
      </c>
      <c r="C625">
        <v>3</v>
      </c>
      <c r="D625" t="s">
        <v>922</v>
      </c>
      <c r="E625" s="4">
        <v>25</v>
      </c>
      <c r="F625" t="s">
        <v>14</v>
      </c>
      <c r="G625">
        <v>10</v>
      </c>
      <c r="H625">
        <v>0</v>
      </c>
      <c r="I625">
        <v>2</v>
      </c>
      <c r="J625">
        <v>345773</v>
      </c>
      <c r="K625">
        <v>24.15</v>
      </c>
      <c r="M625" s="4" t="s">
        <v>1262</v>
      </c>
      <c r="N625" t="s">
        <v>20</v>
      </c>
    </row>
    <row r="626" spans="1:14" x14ac:dyDescent="0.25">
      <c r="A626">
        <v>46</v>
      </c>
      <c r="B626">
        <v>0</v>
      </c>
      <c r="C626">
        <v>3</v>
      </c>
      <c r="D626" t="s">
        <v>923</v>
      </c>
      <c r="E626" s="4">
        <v>24</v>
      </c>
      <c r="F626" t="s">
        <v>24</v>
      </c>
      <c r="H626">
        <v>0</v>
      </c>
      <c r="I626">
        <v>0</v>
      </c>
      <c r="J626" t="s">
        <v>924</v>
      </c>
      <c r="K626">
        <v>8.0500000000000007</v>
      </c>
      <c r="M626" s="4" t="s">
        <v>1262</v>
      </c>
      <c r="N626" t="s">
        <v>20</v>
      </c>
    </row>
    <row r="627" spans="1:14" x14ac:dyDescent="0.25">
      <c r="A627">
        <v>422</v>
      </c>
      <c r="B627">
        <v>0</v>
      </c>
      <c r="C627">
        <v>3</v>
      </c>
      <c r="D627" t="s">
        <v>925</v>
      </c>
      <c r="E627" s="4">
        <v>19</v>
      </c>
      <c r="F627" t="s">
        <v>24</v>
      </c>
      <c r="G627">
        <v>21</v>
      </c>
      <c r="H627">
        <v>0</v>
      </c>
      <c r="I627">
        <v>0</v>
      </c>
      <c r="J627" t="s">
        <v>926</v>
      </c>
      <c r="K627">
        <v>7.7332999999999998</v>
      </c>
      <c r="M627" s="4" t="s">
        <v>1262</v>
      </c>
      <c r="N627" t="s">
        <v>161</v>
      </c>
    </row>
    <row r="628" spans="1:14" x14ac:dyDescent="0.25">
      <c r="A628">
        <v>423</v>
      </c>
      <c r="B628">
        <v>0</v>
      </c>
      <c r="C628">
        <v>3</v>
      </c>
      <c r="D628" t="s">
        <v>927</v>
      </c>
      <c r="E628" s="4">
        <v>18</v>
      </c>
      <c r="F628" t="s">
        <v>24</v>
      </c>
      <c r="G628">
        <v>29</v>
      </c>
      <c r="H628">
        <v>0</v>
      </c>
      <c r="I628">
        <v>0</v>
      </c>
      <c r="J628">
        <v>315082</v>
      </c>
      <c r="K628">
        <v>7.875</v>
      </c>
      <c r="M628" s="4" t="s">
        <v>1262</v>
      </c>
      <c r="N628" t="s">
        <v>20</v>
      </c>
    </row>
    <row r="629" spans="1:14" x14ac:dyDescent="0.25">
      <c r="A629">
        <v>424</v>
      </c>
      <c r="B629">
        <v>0</v>
      </c>
      <c r="C629">
        <v>3</v>
      </c>
      <c r="D629" t="s">
        <v>928</v>
      </c>
      <c r="E629" s="4">
        <v>54</v>
      </c>
      <c r="F629" t="s">
        <v>14</v>
      </c>
      <c r="G629">
        <v>28</v>
      </c>
      <c r="H629">
        <v>1</v>
      </c>
      <c r="I629">
        <v>1</v>
      </c>
      <c r="J629">
        <v>347080</v>
      </c>
      <c r="K629">
        <v>14.4</v>
      </c>
      <c r="M629" s="4" t="s">
        <v>1262</v>
      </c>
      <c r="N629" t="s">
        <v>20</v>
      </c>
    </row>
    <row r="630" spans="1:14" x14ac:dyDescent="0.25">
      <c r="A630">
        <v>425</v>
      </c>
      <c r="B630">
        <v>0</v>
      </c>
      <c r="C630">
        <v>3</v>
      </c>
      <c r="D630" t="s">
        <v>929</v>
      </c>
      <c r="E630" s="4">
        <v>27</v>
      </c>
      <c r="F630" t="s">
        <v>24</v>
      </c>
      <c r="G630">
        <v>18</v>
      </c>
      <c r="H630">
        <v>1</v>
      </c>
      <c r="I630">
        <v>1</v>
      </c>
      <c r="J630">
        <v>370129</v>
      </c>
      <c r="K630">
        <v>20.212499999999999</v>
      </c>
      <c r="M630" s="4" t="s">
        <v>1262</v>
      </c>
      <c r="N630" t="s">
        <v>20</v>
      </c>
    </row>
    <row r="631" spans="1:14" x14ac:dyDescent="0.25">
      <c r="A631">
        <v>78</v>
      </c>
      <c r="B631">
        <v>0</v>
      </c>
      <c r="C631">
        <v>3</v>
      </c>
      <c r="D631" t="s">
        <v>930</v>
      </c>
      <c r="E631" s="4">
        <v>24</v>
      </c>
      <c r="F631" t="s">
        <v>24</v>
      </c>
      <c r="H631">
        <v>0</v>
      </c>
      <c r="I631">
        <v>0</v>
      </c>
      <c r="J631">
        <v>374746</v>
      </c>
      <c r="K631">
        <v>8.0500000000000007</v>
      </c>
      <c r="M631" s="4" t="s">
        <v>1262</v>
      </c>
      <c r="N631" t="s">
        <v>20</v>
      </c>
    </row>
    <row r="632" spans="1:14" x14ac:dyDescent="0.25">
      <c r="A632">
        <v>88</v>
      </c>
      <c r="B632">
        <v>0</v>
      </c>
      <c r="C632">
        <v>3</v>
      </c>
      <c r="D632" t="s">
        <v>931</v>
      </c>
      <c r="E632" s="4">
        <v>29</v>
      </c>
      <c r="F632" t="s">
        <v>24</v>
      </c>
      <c r="H632">
        <v>0</v>
      </c>
      <c r="I632">
        <v>0</v>
      </c>
      <c r="J632" t="s">
        <v>932</v>
      </c>
      <c r="K632">
        <v>8.0500000000000007</v>
      </c>
      <c r="M632" s="4" t="s">
        <v>1262</v>
      </c>
      <c r="N632" t="s">
        <v>20</v>
      </c>
    </row>
    <row r="633" spans="1:14" x14ac:dyDescent="0.25">
      <c r="A633">
        <v>430</v>
      </c>
      <c r="B633">
        <v>1</v>
      </c>
      <c r="C633">
        <v>3</v>
      </c>
      <c r="D633" t="s">
        <v>933</v>
      </c>
      <c r="E633" s="4">
        <v>34</v>
      </c>
      <c r="F633" t="s">
        <v>24</v>
      </c>
      <c r="G633">
        <v>32</v>
      </c>
      <c r="H633">
        <v>0</v>
      </c>
      <c r="I633">
        <v>0</v>
      </c>
      <c r="J633" t="s">
        <v>934</v>
      </c>
      <c r="K633">
        <v>8.0500000000000007</v>
      </c>
      <c r="L633" t="s">
        <v>935</v>
      </c>
      <c r="M633" s="4" t="s">
        <v>31</v>
      </c>
      <c r="N633" t="s">
        <v>20</v>
      </c>
    </row>
    <row r="634" spans="1:14" x14ac:dyDescent="0.25">
      <c r="A634">
        <v>96</v>
      </c>
      <c r="B634">
        <v>0</v>
      </c>
      <c r="C634">
        <v>3</v>
      </c>
      <c r="D634" t="s">
        <v>936</v>
      </c>
      <c r="E634" s="4">
        <v>27</v>
      </c>
      <c r="F634" t="s">
        <v>24</v>
      </c>
      <c r="H634">
        <v>0</v>
      </c>
      <c r="I634">
        <v>0</v>
      </c>
      <c r="J634">
        <v>374910</v>
      </c>
      <c r="K634">
        <v>8.0500000000000007</v>
      </c>
      <c r="M634" s="4" t="s">
        <v>1262</v>
      </c>
      <c r="N634" t="s">
        <v>20</v>
      </c>
    </row>
    <row r="635" spans="1:14" x14ac:dyDescent="0.25">
      <c r="A635">
        <v>434</v>
      </c>
      <c r="B635">
        <v>0</v>
      </c>
      <c r="C635">
        <v>3</v>
      </c>
      <c r="D635" t="s">
        <v>937</v>
      </c>
      <c r="E635" s="4">
        <v>26</v>
      </c>
      <c r="F635" t="s">
        <v>24</v>
      </c>
      <c r="G635">
        <v>17</v>
      </c>
      <c r="H635">
        <v>0</v>
      </c>
      <c r="I635">
        <v>0</v>
      </c>
      <c r="J635" t="s">
        <v>938</v>
      </c>
      <c r="K635">
        <v>7.125</v>
      </c>
      <c r="M635" s="4" t="s">
        <v>1262</v>
      </c>
      <c r="N635" t="s">
        <v>20</v>
      </c>
    </row>
    <row r="636" spans="1:14" x14ac:dyDescent="0.25">
      <c r="A636">
        <v>437</v>
      </c>
      <c r="B636">
        <v>0</v>
      </c>
      <c r="C636">
        <v>3</v>
      </c>
      <c r="D636" t="s">
        <v>939</v>
      </c>
      <c r="E636" s="4">
        <v>36</v>
      </c>
      <c r="F636" t="s">
        <v>14</v>
      </c>
      <c r="G636">
        <v>21</v>
      </c>
      <c r="H636">
        <v>2</v>
      </c>
      <c r="I636">
        <v>2</v>
      </c>
      <c r="J636" t="s">
        <v>713</v>
      </c>
      <c r="K636">
        <v>34.375</v>
      </c>
      <c r="M636" s="4" t="s">
        <v>1262</v>
      </c>
      <c r="N636" t="s">
        <v>20</v>
      </c>
    </row>
    <row r="637" spans="1:14" x14ac:dyDescent="0.25">
      <c r="A637">
        <v>442</v>
      </c>
      <c r="B637">
        <v>0</v>
      </c>
      <c r="C637">
        <v>3</v>
      </c>
      <c r="D637" t="s">
        <v>940</v>
      </c>
      <c r="E637" s="4">
        <v>15</v>
      </c>
      <c r="F637" t="s">
        <v>24</v>
      </c>
      <c r="G637">
        <v>20</v>
      </c>
      <c r="H637">
        <v>0</v>
      </c>
      <c r="I637">
        <v>0</v>
      </c>
      <c r="J637">
        <v>345769</v>
      </c>
      <c r="K637">
        <v>9.5</v>
      </c>
      <c r="M637" s="4" t="s">
        <v>1262</v>
      </c>
      <c r="N637" t="s">
        <v>20</v>
      </c>
    </row>
    <row r="638" spans="1:14" x14ac:dyDescent="0.25">
      <c r="A638">
        <v>443</v>
      </c>
      <c r="B638">
        <v>0</v>
      </c>
      <c r="C638">
        <v>3</v>
      </c>
      <c r="D638" t="s">
        <v>941</v>
      </c>
      <c r="E638" s="4">
        <v>25</v>
      </c>
      <c r="F638" t="s">
        <v>24</v>
      </c>
      <c r="G638">
        <v>25</v>
      </c>
      <c r="H638">
        <v>1</v>
      </c>
      <c r="I638">
        <v>0</v>
      </c>
      <c r="J638">
        <v>347076</v>
      </c>
      <c r="K638">
        <v>7.7750000000000004</v>
      </c>
      <c r="M638" s="4" t="s">
        <v>1262</v>
      </c>
      <c r="N638" t="s">
        <v>20</v>
      </c>
    </row>
    <row r="639" spans="1:14" x14ac:dyDescent="0.25">
      <c r="A639">
        <v>122</v>
      </c>
      <c r="B639">
        <v>0</v>
      </c>
      <c r="C639">
        <v>3</v>
      </c>
      <c r="D639" t="s">
        <v>942</v>
      </c>
      <c r="E639" s="4">
        <v>26</v>
      </c>
      <c r="F639" t="s">
        <v>24</v>
      </c>
      <c r="H639">
        <v>0</v>
      </c>
      <c r="I639">
        <v>0</v>
      </c>
      <c r="J639" t="s">
        <v>943</v>
      </c>
      <c r="K639">
        <v>8.0500000000000007</v>
      </c>
      <c r="M639" s="4" t="s">
        <v>1262</v>
      </c>
      <c r="N639" t="s">
        <v>20</v>
      </c>
    </row>
    <row r="640" spans="1:14" x14ac:dyDescent="0.25">
      <c r="A640">
        <v>449</v>
      </c>
      <c r="B640">
        <v>1</v>
      </c>
      <c r="C640">
        <v>3</v>
      </c>
      <c r="D640" t="s">
        <v>944</v>
      </c>
      <c r="E640" s="4">
        <v>30</v>
      </c>
      <c r="F640" t="s">
        <v>14</v>
      </c>
      <c r="G640">
        <v>5</v>
      </c>
      <c r="H640">
        <v>2</v>
      </c>
      <c r="I640">
        <v>1</v>
      </c>
      <c r="J640">
        <v>2666</v>
      </c>
      <c r="K640">
        <v>19.258299999999998</v>
      </c>
      <c r="M640" s="4" t="s">
        <v>1262</v>
      </c>
      <c r="N640" t="s">
        <v>17</v>
      </c>
    </row>
    <row r="641" spans="1:14" x14ac:dyDescent="0.25">
      <c r="A641">
        <v>305</v>
      </c>
      <c r="B641">
        <v>0</v>
      </c>
      <c r="C641">
        <v>3</v>
      </c>
      <c r="D641" t="s">
        <v>945</v>
      </c>
      <c r="E641" s="4">
        <v>33</v>
      </c>
      <c r="F641" t="s">
        <v>24</v>
      </c>
      <c r="H641">
        <v>0</v>
      </c>
      <c r="I641">
        <v>0</v>
      </c>
      <c r="J641" t="s">
        <v>946</v>
      </c>
      <c r="K641">
        <v>8.0500000000000007</v>
      </c>
      <c r="M641" s="4" t="s">
        <v>1262</v>
      </c>
      <c r="N641" t="s">
        <v>20</v>
      </c>
    </row>
    <row r="642" spans="1:14" x14ac:dyDescent="0.25">
      <c r="A642">
        <v>416</v>
      </c>
      <c r="B642">
        <v>0</v>
      </c>
      <c r="C642">
        <v>3</v>
      </c>
      <c r="D642" t="s">
        <v>947</v>
      </c>
      <c r="E642" s="4">
        <v>39</v>
      </c>
      <c r="F642" t="s">
        <v>14</v>
      </c>
      <c r="H642">
        <v>0</v>
      </c>
      <c r="I642">
        <v>0</v>
      </c>
      <c r="J642">
        <v>343095</v>
      </c>
      <c r="K642">
        <v>8.0500000000000007</v>
      </c>
      <c r="M642" s="4" t="s">
        <v>1262</v>
      </c>
      <c r="N642" t="s">
        <v>20</v>
      </c>
    </row>
    <row r="643" spans="1:14" x14ac:dyDescent="0.25">
      <c r="A643">
        <v>456</v>
      </c>
      <c r="B643">
        <v>1</v>
      </c>
      <c r="C643">
        <v>3</v>
      </c>
      <c r="D643" t="s">
        <v>948</v>
      </c>
      <c r="E643" s="4">
        <v>18</v>
      </c>
      <c r="F643" t="s">
        <v>24</v>
      </c>
      <c r="G643">
        <v>29</v>
      </c>
      <c r="H643">
        <v>0</v>
      </c>
      <c r="I643">
        <v>0</v>
      </c>
      <c r="J643">
        <v>349240</v>
      </c>
      <c r="K643">
        <v>7.8958000000000004</v>
      </c>
      <c r="M643" s="4" t="s">
        <v>1262</v>
      </c>
      <c r="N643" t="s">
        <v>17</v>
      </c>
    </row>
    <row r="644" spans="1:14" x14ac:dyDescent="0.25">
      <c r="A644">
        <v>455</v>
      </c>
      <c r="B644">
        <v>0</v>
      </c>
      <c r="C644">
        <v>3</v>
      </c>
      <c r="D644" t="s">
        <v>949</v>
      </c>
      <c r="E644" s="4">
        <v>19</v>
      </c>
      <c r="F644" t="s">
        <v>24</v>
      </c>
      <c r="H644">
        <v>0</v>
      </c>
      <c r="I644">
        <v>0</v>
      </c>
      <c r="J644" t="s">
        <v>950</v>
      </c>
      <c r="K644">
        <v>8.0500000000000007</v>
      </c>
      <c r="M644" s="4" t="s">
        <v>1262</v>
      </c>
      <c r="N644" t="s">
        <v>20</v>
      </c>
    </row>
    <row r="645" spans="1:14" x14ac:dyDescent="0.25">
      <c r="A645">
        <v>465</v>
      </c>
      <c r="B645">
        <v>0</v>
      </c>
      <c r="C645">
        <v>3</v>
      </c>
      <c r="D645" t="s">
        <v>951</v>
      </c>
      <c r="E645" s="4">
        <v>18</v>
      </c>
      <c r="F645" t="s">
        <v>24</v>
      </c>
      <c r="H645">
        <v>0</v>
      </c>
      <c r="I645">
        <v>0</v>
      </c>
      <c r="J645" t="s">
        <v>952</v>
      </c>
      <c r="K645">
        <v>8.0500000000000007</v>
      </c>
      <c r="M645" s="4" t="s">
        <v>1262</v>
      </c>
      <c r="N645" t="s">
        <v>20</v>
      </c>
    </row>
    <row r="646" spans="1:14" x14ac:dyDescent="0.25">
      <c r="A646">
        <v>462</v>
      </c>
      <c r="B646">
        <v>0</v>
      </c>
      <c r="C646">
        <v>3</v>
      </c>
      <c r="D646" t="s">
        <v>953</v>
      </c>
      <c r="E646" s="4">
        <v>19</v>
      </c>
      <c r="F646" t="s">
        <v>24</v>
      </c>
      <c r="G646">
        <v>34</v>
      </c>
      <c r="H646">
        <v>0</v>
      </c>
      <c r="I646">
        <v>0</v>
      </c>
      <c r="J646">
        <v>364506</v>
      </c>
      <c r="K646">
        <v>8.0500000000000007</v>
      </c>
      <c r="M646" s="4" t="s">
        <v>1262</v>
      </c>
      <c r="N646" t="s">
        <v>20</v>
      </c>
    </row>
    <row r="647" spans="1:14" x14ac:dyDescent="0.25">
      <c r="A647">
        <v>512</v>
      </c>
      <c r="B647">
        <v>0</v>
      </c>
      <c r="C647">
        <v>3</v>
      </c>
      <c r="D647" t="s">
        <v>954</v>
      </c>
      <c r="E647" s="4">
        <v>17</v>
      </c>
      <c r="F647" t="s">
        <v>24</v>
      </c>
      <c r="H647">
        <v>0</v>
      </c>
      <c r="I647">
        <v>0</v>
      </c>
      <c r="J647" t="s">
        <v>955</v>
      </c>
      <c r="K647">
        <v>8.0500000000000007</v>
      </c>
      <c r="M647" s="4" t="s">
        <v>1262</v>
      </c>
      <c r="N647" t="s">
        <v>20</v>
      </c>
    </row>
    <row r="648" spans="1:14" x14ac:dyDescent="0.25">
      <c r="A648">
        <v>466</v>
      </c>
      <c r="B648">
        <v>0</v>
      </c>
      <c r="C648">
        <v>3</v>
      </c>
      <c r="D648" t="s">
        <v>956</v>
      </c>
      <c r="E648" s="4">
        <v>31</v>
      </c>
      <c r="F648" t="s">
        <v>24</v>
      </c>
      <c r="G648">
        <v>38</v>
      </c>
      <c r="H648">
        <v>0</v>
      </c>
      <c r="I648">
        <v>0</v>
      </c>
      <c r="J648" t="s">
        <v>957</v>
      </c>
      <c r="K648">
        <v>7.05</v>
      </c>
      <c r="M648" s="4" t="s">
        <v>1262</v>
      </c>
      <c r="N648" t="s">
        <v>20</v>
      </c>
    </row>
    <row r="649" spans="1:14" x14ac:dyDescent="0.25">
      <c r="A649">
        <v>564</v>
      </c>
      <c r="B649">
        <v>0</v>
      </c>
      <c r="C649">
        <v>3</v>
      </c>
      <c r="D649" t="s">
        <v>958</v>
      </c>
      <c r="E649" s="4">
        <v>17</v>
      </c>
      <c r="F649" t="s">
        <v>24</v>
      </c>
      <c r="H649">
        <v>0</v>
      </c>
      <c r="I649">
        <v>0</v>
      </c>
      <c r="J649" t="s">
        <v>959</v>
      </c>
      <c r="K649">
        <v>8.0500000000000007</v>
      </c>
      <c r="M649" s="4" t="s">
        <v>1262</v>
      </c>
      <c r="N649" t="s">
        <v>20</v>
      </c>
    </row>
    <row r="650" spans="1:14" x14ac:dyDescent="0.25">
      <c r="A650">
        <v>565</v>
      </c>
      <c r="B650">
        <v>0</v>
      </c>
      <c r="C650">
        <v>3</v>
      </c>
      <c r="D650" t="s">
        <v>960</v>
      </c>
      <c r="E650" s="4">
        <v>30</v>
      </c>
      <c r="F650" t="s">
        <v>14</v>
      </c>
      <c r="H650">
        <v>0</v>
      </c>
      <c r="I650">
        <v>0</v>
      </c>
      <c r="J650" t="s">
        <v>961</v>
      </c>
      <c r="K650">
        <v>8.0500000000000007</v>
      </c>
      <c r="M650" s="4" t="s">
        <v>1262</v>
      </c>
      <c r="N650" t="s">
        <v>20</v>
      </c>
    </row>
    <row r="651" spans="1:14" x14ac:dyDescent="0.25">
      <c r="A651">
        <v>470</v>
      </c>
      <c r="B651">
        <v>1</v>
      </c>
      <c r="C651">
        <v>3</v>
      </c>
      <c r="D651" t="s">
        <v>962</v>
      </c>
      <c r="E651" s="4">
        <v>29</v>
      </c>
      <c r="F651" t="s">
        <v>14</v>
      </c>
      <c r="G651">
        <v>0.75</v>
      </c>
      <c r="H651">
        <v>2</v>
      </c>
      <c r="I651">
        <v>1</v>
      </c>
      <c r="J651">
        <v>2666</v>
      </c>
      <c r="K651">
        <v>19.258299999999998</v>
      </c>
      <c r="M651" s="4" t="s">
        <v>1262</v>
      </c>
      <c r="N651" t="s">
        <v>17</v>
      </c>
    </row>
    <row r="652" spans="1:14" x14ac:dyDescent="0.25">
      <c r="A652">
        <v>590</v>
      </c>
      <c r="B652">
        <v>0</v>
      </c>
      <c r="C652">
        <v>3</v>
      </c>
      <c r="D652" t="s">
        <v>963</v>
      </c>
      <c r="E652" s="4">
        <v>19</v>
      </c>
      <c r="F652" t="s">
        <v>24</v>
      </c>
      <c r="H652">
        <v>0</v>
      </c>
      <c r="I652">
        <v>0</v>
      </c>
      <c r="J652" t="s">
        <v>964</v>
      </c>
      <c r="K652">
        <v>8.0500000000000007</v>
      </c>
      <c r="M652" s="4" t="s">
        <v>1262</v>
      </c>
      <c r="N652" t="s">
        <v>20</v>
      </c>
    </row>
    <row r="653" spans="1:14" x14ac:dyDescent="0.25">
      <c r="A653">
        <v>472</v>
      </c>
      <c r="B653">
        <v>0</v>
      </c>
      <c r="C653">
        <v>3</v>
      </c>
      <c r="D653" t="s">
        <v>965</v>
      </c>
      <c r="E653" s="4">
        <v>15</v>
      </c>
      <c r="F653" t="s">
        <v>24</v>
      </c>
      <c r="G653">
        <v>38</v>
      </c>
      <c r="H653">
        <v>0</v>
      </c>
      <c r="I653">
        <v>0</v>
      </c>
      <c r="J653">
        <v>315089</v>
      </c>
      <c r="K653">
        <v>8.6624999999999996</v>
      </c>
      <c r="M653" s="4" t="s">
        <v>1262</v>
      </c>
      <c r="N653" t="s">
        <v>20</v>
      </c>
    </row>
    <row r="654" spans="1:14" x14ac:dyDescent="0.25">
      <c r="A654">
        <v>475</v>
      </c>
      <c r="B654">
        <v>0</v>
      </c>
      <c r="C654">
        <v>3</v>
      </c>
      <c r="D654" t="s">
        <v>966</v>
      </c>
      <c r="E654" s="4">
        <v>27</v>
      </c>
      <c r="F654" t="s">
        <v>14</v>
      </c>
      <c r="G654">
        <v>22</v>
      </c>
      <c r="H654">
        <v>0</v>
      </c>
      <c r="I654">
        <v>0</v>
      </c>
      <c r="J654">
        <v>7553</v>
      </c>
      <c r="K654">
        <v>9.8375000000000004</v>
      </c>
      <c r="M654" s="4" t="s">
        <v>1262</v>
      </c>
      <c r="N654" t="s">
        <v>20</v>
      </c>
    </row>
    <row r="655" spans="1:14" x14ac:dyDescent="0.25">
      <c r="A655">
        <v>838</v>
      </c>
      <c r="B655">
        <v>0</v>
      </c>
      <c r="C655">
        <v>3</v>
      </c>
      <c r="D655" t="s">
        <v>967</v>
      </c>
      <c r="E655" s="4">
        <v>19</v>
      </c>
      <c r="F655" t="s">
        <v>24</v>
      </c>
      <c r="H655">
        <v>0</v>
      </c>
      <c r="I655">
        <v>0</v>
      </c>
      <c r="J655">
        <v>392092</v>
      </c>
      <c r="K655">
        <v>8.0500000000000007</v>
      </c>
      <c r="M655" s="4" t="s">
        <v>1262</v>
      </c>
      <c r="N655" t="s">
        <v>20</v>
      </c>
    </row>
    <row r="656" spans="1:14" x14ac:dyDescent="0.25">
      <c r="A656">
        <v>478</v>
      </c>
      <c r="B656">
        <v>0</v>
      </c>
      <c r="C656">
        <v>3</v>
      </c>
      <c r="D656" t="s">
        <v>968</v>
      </c>
      <c r="E656" s="4">
        <v>25</v>
      </c>
      <c r="F656" t="s">
        <v>24</v>
      </c>
      <c r="G656">
        <v>29</v>
      </c>
      <c r="H656">
        <v>1</v>
      </c>
      <c r="I656">
        <v>0</v>
      </c>
      <c r="J656">
        <v>3460</v>
      </c>
      <c r="K656">
        <v>7.0457999999999998</v>
      </c>
      <c r="M656" s="4" t="s">
        <v>1262</v>
      </c>
      <c r="N656" t="s">
        <v>20</v>
      </c>
    </row>
    <row r="657" spans="1:14" x14ac:dyDescent="0.25">
      <c r="A657">
        <v>479</v>
      </c>
      <c r="B657">
        <v>0</v>
      </c>
      <c r="C657">
        <v>3</v>
      </c>
      <c r="D657" t="s">
        <v>969</v>
      </c>
      <c r="E657" s="4">
        <v>25</v>
      </c>
      <c r="F657" t="s">
        <v>24</v>
      </c>
      <c r="G657">
        <v>22</v>
      </c>
      <c r="H657">
        <v>0</v>
      </c>
      <c r="I657">
        <v>0</v>
      </c>
      <c r="J657">
        <v>350060</v>
      </c>
      <c r="K657">
        <v>7.5208000000000004</v>
      </c>
      <c r="M657" s="4" t="s">
        <v>1262</v>
      </c>
      <c r="N657" t="s">
        <v>20</v>
      </c>
    </row>
    <row r="658" spans="1:14" x14ac:dyDescent="0.25">
      <c r="A658">
        <v>480</v>
      </c>
      <c r="B658">
        <v>1</v>
      </c>
      <c r="C658">
        <v>3</v>
      </c>
      <c r="D658" t="s">
        <v>970</v>
      </c>
      <c r="E658" s="4">
        <v>24</v>
      </c>
      <c r="F658" t="s">
        <v>14</v>
      </c>
      <c r="G658">
        <v>2</v>
      </c>
      <c r="H658">
        <v>0</v>
      </c>
      <c r="I658">
        <v>1</v>
      </c>
      <c r="J658">
        <v>3101298</v>
      </c>
      <c r="K658">
        <v>12.2875</v>
      </c>
      <c r="M658" s="4" t="s">
        <v>1262</v>
      </c>
      <c r="N658" t="s">
        <v>20</v>
      </c>
    </row>
    <row r="659" spans="1:14" x14ac:dyDescent="0.25">
      <c r="A659">
        <v>481</v>
      </c>
      <c r="B659">
        <v>0</v>
      </c>
      <c r="C659">
        <v>3</v>
      </c>
      <c r="D659" t="s">
        <v>971</v>
      </c>
      <c r="E659" s="4">
        <v>30</v>
      </c>
      <c r="F659" t="s">
        <v>24</v>
      </c>
      <c r="G659">
        <v>9</v>
      </c>
      <c r="H659">
        <v>5</v>
      </c>
      <c r="I659">
        <v>2</v>
      </c>
      <c r="J659" t="s">
        <v>693</v>
      </c>
      <c r="K659">
        <v>46.9</v>
      </c>
      <c r="M659" s="4" t="s">
        <v>1262</v>
      </c>
      <c r="N659" t="s">
        <v>20</v>
      </c>
    </row>
    <row r="660" spans="1:14" x14ac:dyDescent="0.25">
      <c r="A660">
        <v>30</v>
      </c>
      <c r="B660">
        <v>0</v>
      </c>
      <c r="C660">
        <v>3</v>
      </c>
      <c r="D660" t="s">
        <v>972</v>
      </c>
      <c r="E660" s="4">
        <v>19</v>
      </c>
      <c r="F660" t="s">
        <v>24</v>
      </c>
      <c r="H660">
        <v>0</v>
      </c>
      <c r="I660">
        <v>0</v>
      </c>
      <c r="J660">
        <v>349216</v>
      </c>
      <c r="K660">
        <v>7.8958000000000004</v>
      </c>
      <c r="M660" s="4" t="s">
        <v>1262</v>
      </c>
      <c r="N660" t="s">
        <v>20</v>
      </c>
    </row>
    <row r="661" spans="1:14" x14ac:dyDescent="0.25">
      <c r="A661">
        <v>483</v>
      </c>
      <c r="B661">
        <v>0</v>
      </c>
      <c r="C661">
        <v>3</v>
      </c>
      <c r="D661" t="s">
        <v>973</v>
      </c>
      <c r="E661" s="4">
        <v>24</v>
      </c>
      <c r="F661" t="s">
        <v>24</v>
      </c>
      <c r="G661">
        <v>50</v>
      </c>
      <c r="H661">
        <v>0</v>
      </c>
      <c r="I661">
        <v>0</v>
      </c>
      <c r="J661" t="s">
        <v>974</v>
      </c>
      <c r="K661">
        <v>8.0500000000000007</v>
      </c>
      <c r="M661" s="4" t="s">
        <v>1262</v>
      </c>
      <c r="N661" t="s">
        <v>20</v>
      </c>
    </row>
    <row r="662" spans="1:14" x14ac:dyDescent="0.25">
      <c r="A662">
        <v>484</v>
      </c>
      <c r="B662">
        <v>1</v>
      </c>
      <c r="C662">
        <v>3</v>
      </c>
      <c r="D662" t="s">
        <v>975</v>
      </c>
      <c r="E662" s="4">
        <v>22</v>
      </c>
      <c r="F662" t="s">
        <v>14</v>
      </c>
      <c r="G662">
        <v>63</v>
      </c>
      <c r="H662">
        <v>0</v>
      </c>
      <c r="I662">
        <v>0</v>
      </c>
      <c r="J662">
        <v>4134</v>
      </c>
      <c r="K662">
        <v>9.5875000000000004</v>
      </c>
      <c r="M662" s="4" t="s">
        <v>1262</v>
      </c>
      <c r="N662" t="s">
        <v>20</v>
      </c>
    </row>
    <row r="663" spans="1:14" x14ac:dyDescent="0.25">
      <c r="A663">
        <v>43</v>
      </c>
      <c r="B663">
        <v>0</v>
      </c>
      <c r="C663">
        <v>3</v>
      </c>
      <c r="D663" t="s">
        <v>976</v>
      </c>
      <c r="E663" s="4">
        <v>19</v>
      </c>
      <c r="F663" t="s">
        <v>24</v>
      </c>
      <c r="H663">
        <v>0</v>
      </c>
      <c r="I663">
        <v>0</v>
      </c>
      <c r="J663">
        <v>349253</v>
      </c>
      <c r="K663">
        <v>7.8958000000000004</v>
      </c>
      <c r="M663" s="4" t="s">
        <v>1262</v>
      </c>
      <c r="N663" t="s">
        <v>17</v>
      </c>
    </row>
    <row r="664" spans="1:14" x14ac:dyDescent="0.25">
      <c r="A664">
        <v>489</v>
      </c>
      <c r="B664">
        <v>0</v>
      </c>
      <c r="C664">
        <v>3</v>
      </c>
      <c r="D664" t="s">
        <v>977</v>
      </c>
      <c r="E664" s="4">
        <v>29</v>
      </c>
      <c r="F664" t="s">
        <v>24</v>
      </c>
      <c r="G664">
        <v>30</v>
      </c>
      <c r="H664">
        <v>0</v>
      </c>
      <c r="I664">
        <v>0</v>
      </c>
      <c r="J664" t="s">
        <v>978</v>
      </c>
      <c r="K664">
        <v>8.0500000000000007</v>
      </c>
      <c r="M664" s="4" t="s">
        <v>1262</v>
      </c>
      <c r="N664" t="s">
        <v>20</v>
      </c>
    </row>
    <row r="665" spans="1:14" x14ac:dyDescent="0.25">
      <c r="A665">
        <v>490</v>
      </c>
      <c r="B665">
        <v>1</v>
      </c>
      <c r="C665">
        <v>3</v>
      </c>
      <c r="D665" t="s">
        <v>979</v>
      </c>
      <c r="E665" s="4">
        <v>37</v>
      </c>
      <c r="F665" t="s">
        <v>24</v>
      </c>
      <c r="G665">
        <v>9</v>
      </c>
      <c r="H665">
        <v>1</v>
      </c>
      <c r="I665">
        <v>1</v>
      </c>
      <c r="J665" t="s">
        <v>873</v>
      </c>
      <c r="K665">
        <v>15.9</v>
      </c>
      <c r="M665" s="4" t="s">
        <v>1262</v>
      </c>
      <c r="N665" t="s">
        <v>20</v>
      </c>
    </row>
    <row r="666" spans="1:14" x14ac:dyDescent="0.25">
      <c r="A666">
        <v>77</v>
      </c>
      <c r="B666">
        <v>0</v>
      </c>
      <c r="C666">
        <v>3</v>
      </c>
      <c r="D666" t="s">
        <v>980</v>
      </c>
      <c r="E666" s="4">
        <v>17</v>
      </c>
      <c r="F666" t="s">
        <v>24</v>
      </c>
      <c r="H666">
        <v>0</v>
      </c>
      <c r="I666">
        <v>0</v>
      </c>
      <c r="J666">
        <v>349208</v>
      </c>
      <c r="K666">
        <v>7.8958000000000004</v>
      </c>
      <c r="M666" s="4" t="s">
        <v>1262</v>
      </c>
      <c r="N666" t="s">
        <v>20</v>
      </c>
    </row>
    <row r="667" spans="1:14" x14ac:dyDescent="0.25">
      <c r="A667">
        <v>492</v>
      </c>
      <c r="B667">
        <v>0</v>
      </c>
      <c r="C667">
        <v>3</v>
      </c>
      <c r="D667" t="s">
        <v>981</v>
      </c>
      <c r="E667" s="4">
        <v>19</v>
      </c>
      <c r="F667" t="s">
        <v>24</v>
      </c>
      <c r="G667">
        <v>21</v>
      </c>
      <c r="H667">
        <v>0</v>
      </c>
      <c r="I667">
        <v>0</v>
      </c>
      <c r="J667" t="s">
        <v>982</v>
      </c>
      <c r="K667">
        <v>7.25</v>
      </c>
      <c r="M667" s="4" t="s">
        <v>1262</v>
      </c>
      <c r="N667" t="s">
        <v>20</v>
      </c>
    </row>
    <row r="668" spans="1:14" x14ac:dyDescent="0.25">
      <c r="A668">
        <v>495</v>
      </c>
      <c r="B668">
        <v>0</v>
      </c>
      <c r="C668">
        <v>3</v>
      </c>
      <c r="D668" t="s">
        <v>983</v>
      </c>
      <c r="E668" s="4">
        <v>26</v>
      </c>
      <c r="F668" t="s">
        <v>24</v>
      </c>
      <c r="G668">
        <v>21</v>
      </c>
      <c r="H668">
        <v>0</v>
      </c>
      <c r="I668">
        <v>0</v>
      </c>
      <c r="J668" t="s">
        <v>984</v>
      </c>
      <c r="K668">
        <v>8.0500000000000007</v>
      </c>
      <c r="M668" s="4" t="s">
        <v>1262</v>
      </c>
      <c r="N668" t="s">
        <v>20</v>
      </c>
    </row>
    <row r="669" spans="1:14" x14ac:dyDescent="0.25">
      <c r="A669">
        <v>102</v>
      </c>
      <c r="B669">
        <v>0</v>
      </c>
      <c r="C669">
        <v>3</v>
      </c>
      <c r="D669" t="s">
        <v>985</v>
      </c>
      <c r="E669" s="4">
        <v>32</v>
      </c>
      <c r="F669" t="s">
        <v>24</v>
      </c>
      <c r="H669">
        <v>0</v>
      </c>
      <c r="I669">
        <v>0</v>
      </c>
      <c r="J669">
        <v>349215</v>
      </c>
      <c r="K669">
        <v>7.8958000000000004</v>
      </c>
      <c r="M669" s="4" t="s">
        <v>1262</v>
      </c>
      <c r="N669" t="s">
        <v>20</v>
      </c>
    </row>
    <row r="670" spans="1:14" x14ac:dyDescent="0.25">
      <c r="A670">
        <v>224</v>
      </c>
      <c r="B670">
        <v>0</v>
      </c>
      <c r="C670">
        <v>3</v>
      </c>
      <c r="D670" t="s">
        <v>986</v>
      </c>
      <c r="E670" s="4">
        <v>20</v>
      </c>
      <c r="F670" t="s">
        <v>24</v>
      </c>
      <c r="H670">
        <v>0</v>
      </c>
      <c r="I670">
        <v>0</v>
      </c>
      <c r="J670">
        <v>349234</v>
      </c>
      <c r="K670">
        <v>7.8958000000000004</v>
      </c>
      <c r="M670" s="4" t="s">
        <v>1262</v>
      </c>
      <c r="N670" t="s">
        <v>20</v>
      </c>
    </row>
    <row r="671" spans="1:14" x14ac:dyDescent="0.25">
      <c r="A671">
        <v>500</v>
      </c>
      <c r="B671">
        <v>0</v>
      </c>
      <c r="C671">
        <v>3</v>
      </c>
      <c r="D671" t="s">
        <v>987</v>
      </c>
      <c r="E671" s="4">
        <v>18</v>
      </c>
      <c r="F671" t="s">
        <v>24</v>
      </c>
      <c r="G671">
        <v>24</v>
      </c>
      <c r="H671">
        <v>0</v>
      </c>
      <c r="I671">
        <v>0</v>
      </c>
      <c r="J671">
        <v>350035</v>
      </c>
      <c r="K671">
        <v>7.7957999999999998</v>
      </c>
      <c r="M671" s="4" t="s">
        <v>1262</v>
      </c>
      <c r="N671" t="s">
        <v>20</v>
      </c>
    </row>
    <row r="672" spans="1:14" x14ac:dyDescent="0.25">
      <c r="A672">
        <v>501</v>
      </c>
      <c r="B672">
        <v>0</v>
      </c>
      <c r="C672">
        <v>3</v>
      </c>
      <c r="D672" t="s">
        <v>988</v>
      </c>
      <c r="E672" s="4">
        <v>16</v>
      </c>
      <c r="F672" t="s">
        <v>24</v>
      </c>
      <c r="G672">
        <v>17</v>
      </c>
      <c r="H672">
        <v>0</v>
      </c>
      <c r="I672">
        <v>0</v>
      </c>
      <c r="J672">
        <v>315086</v>
      </c>
      <c r="K672">
        <v>8.6624999999999996</v>
      </c>
      <c r="M672" s="4" t="s">
        <v>1262</v>
      </c>
      <c r="N672" t="s">
        <v>20</v>
      </c>
    </row>
    <row r="673" spans="1:14" x14ac:dyDescent="0.25">
      <c r="A673">
        <v>502</v>
      </c>
      <c r="B673">
        <v>0</v>
      </c>
      <c r="C673">
        <v>3</v>
      </c>
      <c r="D673" t="s">
        <v>989</v>
      </c>
      <c r="E673" s="4">
        <v>19</v>
      </c>
      <c r="F673" t="s">
        <v>14</v>
      </c>
      <c r="G673">
        <v>21</v>
      </c>
      <c r="H673">
        <v>0</v>
      </c>
      <c r="I673">
        <v>0</v>
      </c>
      <c r="J673">
        <v>364846</v>
      </c>
      <c r="K673">
        <v>7.75</v>
      </c>
      <c r="M673" s="4" t="s">
        <v>1262</v>
      </c>
      <c r="N673" t="s">
        <v>161</v>
      </c>
    </row>
    <row r="674" spans="1:14" x14ac:dyDescent="0.25">
      <c r="A674">
        <v>336</v>
      </c>
      <c r="B674">
        <v>0</v>
      </c>
      <c r="C674">
        <v>3</v>
      </c>
      <c r="D674" t="s">
        <v>990</v>
      </c>
      <c r="E674" s="4">
        <v>18</v>
      </c>
      <c r="F674" t="s">
        <v>24</v>
      </c>
      <c r="H674">
        <v>0</v>
      </c>
      <c r="I674">
        <v>0</v>
      </c>
      <c r="J674">
        <v>349225</v>
      </c>
      <c r="K674">
        <v>7.8958000000000004</v>
      </c>
      <c r="M674" s="4" t="s">
        <v>1262</v>
      </c>
      <c r="N674" t="s">
        <v>20</v>
      </c>
    </row>
    <row r="675" spans="1:14" x14ac:dyDescent="0.25">
      <c r="A675">
        <v>504</v>
      </c>
      <c r="B675">
        <v>0</v>
      </c>
      <c r="C675">
        <v>3</v>
      </c>
      <c r="D675" t="s">
        <v>991</v>
      </c>
      <c r="E675" s="4">
        <v>30</v>
      </c>
      <c r="F675" t="s">
        <v>14</v>
      </c>
      <c r="G675">
        <v>37</v>
      </c>
      <c r="H675">
        <v>0</v>
      </c>
      <c r="I675">
        <v>0</v>
      </c>
      <c r="J675">
        <v>4135</v>
      </c>
      <c r="K675">
        <v>9.5875000000000004</v>
      </c>
      <c r="M675" s="4" t="s">
        <v>1262</v>
      </c>
      <c r="N675" t="s">
        <v>20</v>
      </c>
    </row>
    <row r="676" spans="1:14" x14ac:dyDescent="0.25">
      <c r="A676">
        <v>385</v>
      </c>
      <c r="B676">
        <v>0</v>
      </c>
      <c r="C676">
        <v>3</v>
      </c>
      <c r="D676" t="s">
        <v>992</v>
      </c>
      <c r="E676" s="4">
        <v>22</v>
      </c>
      <c r="F676" t="s">
        <v>24</v>
      </c>
      <c r="H676">
        <v>0</v>
      </c>
      <c r="I676">
        <v>0</v>
      </c>
      <c r="J676">
        <v>349227</v>
      </c>
      <c r="K676">
        <v>7.8958000000000004</v>
      </c>
      <c r="M676" s="4" t="s">
        <v>1262</v>
      </c>
      <c r="N676" t="s">
        <v>20</v>
      </c>
    </row>
    <row r="677" spans="1:14" x14ac:dyDescent="0.25">
      <c r="A677">
        <v>509</v>
      </c>
      <c r="B677">
        <v>0</v>
      </c>
      <c r="C677">
        <v>3</v>
      </c>
      <c r="D677" t="s">
        <v>993</v>
      </c>
      <c r="E677" s="4">
        <v>24</v>
      </c>
      <c r="F677" t="s">
        <v>24</v>
      </c>
      <c r="G677">
        <v>28</v>
      </c>
      <c r="H677">
        <v>0</v>
      </c>
      <c r="I677">
        <v>0</v>
      </c>
      <c r="J677" t="s">
        <v>994</v>
      </c>
      <c r="K677">
        <v>22.524999999999999</v>
      </c>
      <c r="M677" s="4" t="s">
        <v>1262</v>
      </c>
      <c r="N677" t="s">
        <v>20</v>
      </c>
    </row>
    <row r="678" spans="1:14" x14ac:dyDescent="0.25">
      <c r="A678">
        <v>510</v>
      </c>
      <c r="B678">
        <v>1</v>
      </c>
      <c r="C678">
        <v>3</v>
      </c>
      <c r="D678" t="s">
        <v>995</v>
      </c>
      <c r="E678" s="4">
        <v>14</v>
      </c>
      <c r="F678" t="s">
        <v>24</v>
      </c>
      <c r="G678">
        <v>26</v>
      </c>
      <c r="H678">
        <v>0</v>
      </c>
      <c r="I678">
        <v>0</v>
      </c>
      <c r="J678">
        <v>1601</v>
      </c>
      <c r="K678">
        <v>56.495800000000003</v>
      </c>
      <c r="M678" s="4" t="s">
        <v>1262</v>
      </c>
      <c r="N678" t="s">
        <v>20</v>
      </c>
    </row>
    <row r="679" spans="1:14" x14ac:dyDescent="0.25">
      <c r="A679">
        <v>511</v>
      </c>
      <c r="B679">
        <v>1</v>
      </c>
      <c r="C679">
        <v>3</v>
      </c>
      <c r="D679" t="s">
        <v>996</v>
      </c>
      <c r="E679" s="4">
        <v>24</v>
      </c>
      <c r="F679" t="s">
        <v>24</v>
      </c>
      <c r="G679">
        <v>29</v>
      </c>
      <c r="H679">
        <v>0</v>
      </c>
      <c r="I679">
        <v>0</v>
      </c>
      <c r="J679">
        <v>382651</v>
      </c>
      <c r="K679">
        <v>7.75</v>
      </c>
      <c r="M679" s="4" t="s">
        <v>1262</v>
      </c>
      <c r="N679" t="s">
        <v>161</v>
      </c>
    </row>
    <row r="680" spans="1:14" x14ac:dyDescent="0.25">
      <c r="A680">
        <v>411</v>
      </c>
      <c r="B680">
        <v>0</v>
      </c>
      <c r="C680">
        <v>3</v>
      </c>
      <c r="D680" t="s">
        <v>997</v>
      </c>
      <c r="E680" s="4">
        <v>18</v>
      </c>
      <c r="F680" t="s">
        <v>24</v>
      </c>
      <c r="H680">
        <v>0</v>
      </c>
      <c r="I680">
        <v>0</v>
      </c>
      <c r="J680">
        <v>349222</v>
      </c>
      <c r="K680">
        <v>7.8958000000000004</v>
      </c>
      <c r="M680" s="4" t="s">
        <v>1262</v>
      </c>
      <c r="N680" t="s">
        <v>20</v>
      </c>
    </row>
    <row r="681" spans="1:14" x14ac:dyDescent="0.25">
      <c r="A681">
        <v>515</v>
      </c>
      <c r="B681">
        <v>0</v>
      </c>
      <c r="C681">
        <v>3</v>
      </c>
      <c r="D681" t="s">
        <v>998</v>
      </c>
      <c r="E681" s="4">
        <v>17</v>
      </c>
      <c r="F681" t="s">
        <v>24</v>
      </c>
      <c r="G681">
        <v>24</v>
      </c>
      <c r="H681">
        <v>0</v>
      </c>
      <c r="I681">
        <v>0</v>
      </c>
      <c r="J681">
        <v>349209</v>
      </c>
      <c r="K681">
        <v>7.4958</v>
      </c>
      <c r="M681" s="4" t="s">
        <v>1262</v>
      </c>
      <c r="N681" t="s">
        <v>20</v>
      </c>
    </row>
    <row r="682" spans="1:14" x14ac:dyDescent="0.25">
      <c r="A682">
        <v>421</v>
      </c>
      <c r="B682">
        <v>0</v>
      </c>
      <c r="C682">
        <v>3</v>
      </c>
      <c r="D682" t="s">
        <v>999</v>
      </c>
      <c r="E682" s="4">
        <v>22</v>
      </c>
      <c r="F682" t="s">
        <v>24</v>
      </c>
      <c r="H682">
        <v>0</v>
      </c>
      <c r="I682">
        <v>0</v>
      </c>
      <c r="J682">
        <v>349254</v>
      </c>
      <c r="K682">
        <v>7.8958000000000004</v>
      </c>
      <c r="M682" s="4" t="s">
        <v>1262</v>
      </c>
      <c r="N682" t="s">
        <v>17</v>
      </c>
    </row>
    <row r="683" spans="1:14" x14ac:dyDescent="0.25">
      <c r="A683">
        <v>520</v>
      </c>
      <c r="B683">
        <v>0</v>
      </c>
      <c r="C683">
        <v>3</v>
      </c>
      <c r="D683" t="s">
        <v>1000</v>
      </c>
      <c r="E683" s="4">
        <v>19</v>
      </c>
      <c r="F683" t="s">
        <v>24</v>
      </c>
      <c r="G683">
        <v>32</v>
      </c>
      <c r="H683">
        <v>0</v>
      </c>
      <c r="I683">
        <v>0</v>
      </c>
      <c r="J683">
        <v>349242</v>
      </c>
      <c r="K683">
        <v>7.8958000000000004</v>
      </c>
      <c r="M683" s="4" t="s">
        <v>1262</v>
      </c>
      <c r="N683" t="s">
        <v>20</v>
      </c>
    </row>
    <row r="684" spans="1:14" x14ac:dyDescent="0.25">
      <c r="A684">
        <v>522</v>
      </c>
      <c r="B684">
        <v>0</v>
      </c>
      <c r="C684">
        <v>3</v>
      </c>
      <c r="D684" t="s">
        <v>1001</v>
      </c>
      <c r="E684" s="4">
        <v>15</v>
      </c>
      <c r="F684" t="s">
        <v>24</v>
      </c>
      <c r="G684">
        <v>22</v>
      </c>
      <c r="H684">
        <v>0</v>
      </c>
      <c r="I684">
        <v>0</v>
      </c>
      <c r="J684">
        <v>349252</v>
      </c>
      <c r="K684">
        <v>7.8958000000000004</v>
      </c>
      <c r="M684" s="4" t="s">
        <v>1262</v>
      </c>
      <c r="N684" t="s">
        <v>20</v>
      </c>
    </row>
    <row r="685" spans="1:14" x14ac:dyDescent="0.25">
      <c r="A685">
        <v>602</v>
      </c>
      <c r="B685">
        <v>0</v>
      </c>
      <c r="C685">
        <v>3</v>
      </c>
      <c r="D685" t="s">
        <v>1002</v>
      </c>
      <c r="E685" s="4">
        <v>20</v>
      </c>
      <c r="F685" t="s">
        <v>24</v>
      </c>
      <c r="H685">
        <v>0</v>
      </c>
      <c r="I685">
        <v>0</v>
      </c>
      <c r="J685">
        <v>349214</v>
      </c>
      <c r="K685">
        <v>7.8958000000000004</v>
      </c>
      <c r="M685" s="4" t="s">
        <v>1262</v>
      </c>
      <c r="N685" t="s">
        <v>20</v>
      </c>
    </row>
    <row r="686" spans="1:14" x14ac:dyDescent="0.25">
      <c r="A686">
        <v>651</v>
      </c>
      <c r="B686">
        <v>0</v>
      </c>
      <c r="C686">
        <v>3</v>
      </c>
      <c r="D686" t="s">
        <v>1003</v>
      </c>
      <c r="E686" s="4">
        <v>17</v>
      </c>
      <c r="F686" t="s">
        <v>24</v>
      </c>
      <c r="H686">
        <v>0</v>
      </c>
      <c r="I686">
        <v>0</v>
      </c>
      <c r="J686">
        <v>349221</v>
      </c>
      <c r="K686">
        <v>7.8958000000000004</v>
      </c>
      <c r="M686" s="4" t="s">
        <v>1262</v>
      </c>
      <c r="N686" t="s">
        <v>20</v>
      </c>
    </row>
    <row r="687" spans="1:14" x14ac:dyDescent="0.25">
      <c r="A687">
        <v>526</v>
      </c>
      <c r="B687">
        <v>0</v>
      </c>
      <c r="C687">
        <v>3</v>
      </c>
      <c r="D687" t="s">
        <v>1004</v>
      </c>
      <c r="E687" s="4">
        <v>18</v>
      </c>
      <c r="F687" t="s">
        <v>24</v>
      </c>
      <c r="G687">
        <v>40.5</v>
      </c>
      <c r="H687">
        <v>0</v>
      </c>
      <c r="I687">
        <v>0</v>
      </c>
      <c r="J687">
        <v>367232</v>
      </c>
      <c r="K687">
        <v>7.75</v>
      </c>
      <c r="M687" s="4" t="s">
        <v>1262</v>
      </c>
      <c r="N687" t="s">
        <v>161</v>
      </c>
    </row>
    <row r="688" spans="1:14" x14ac:dyDescent="0.25">
      <c r="A688">
        <v>657</v>
      </c>
      <c r="B688">
        <v>0</v>
      </c>
      <c r="C688">
        <v>3</v>
      </c>
      <c r="D688" t="s">
        <v>1005</v>
      </c>
      <c r="E688" s="4">
        <v>21</v>
      </c>
      <c r="F688" t="s">
        <v>24</v>
      </c>
      <c r="H688">
        <v>0</v>
      </c>
      <c r="I688">
        <v>0</v>
      </c>
      <c r="J688">
        <v>349223</v>
      </c>
      <c r="K688">
        <v>7.8958000000000004</v>
      </c>
      <c r="M688" s="4" t="s">
        <v>1262</v>
      </c>
      <c r="N688" t="s">
        <v>20</v>
      </c>
    </row>
    <row r="689" spans="1:14" x14ac:dyDescent="0.25">
      <c r="A689">
        <v>529</v>
      </c>
      <c r="B689">
        <v>0</v>
      </c>
      <c r="C689">
        <v>3</v>
      </c>
      <c r="D689" t="s">
        <v>1006</v>
      </c>
      <c r="E689" s="4">
        <v>25</v>
      </c>
      <c r="F689" t="s">
        <v>24</v>
      </c>
      <c r="G689">
        <v>39</v>
      </c>
      <c r="H689">
        <v>0</v>
      </c>
      <c r="I689">
        <v>0</v>
      </c>
      <c r="J689">
        <v>3101296</v>
      </c>
      <c r="K689">
        <v>7.9249999999999998</v>
      </c>
      <c r="M689" s="4" t="s">
        <v>1262</v>
      </c>
      <c r="N689" t="s">
        <v>20</v>
      </c>
    </row>
    <row r="690" spans="1:14" x14ac:dyDescent="0.25">
      <c r="A690">
        <v>739</v>
      </c>
      <c r="B690">
        <v>0</v>
      </c>
      <c r="C690">
        <v>3</v>
      </c>
      <c r="D690" t="s">
        <v>1007</v>
      </c>
      <c r="E690" s="4">
        <v>18</v>
      </c>
      <c r="F690" t="s">
        <v>24</v>
      </c>
      <c r="H690">
        <v>0</v>
      </c>
      <c r="I690">
        <v>0</v>
      </c>
      <c r="J690">
        <v>349201</v>
      </c>
      <c r="K690">
        <v>7.8958000000000004</v>
      </c>
      <c r="M690" s="4" t="s">
        <v>1262</v>
      </c>
      <c r="N690" t="s">
        <v>20</v>
      </c>
    </row>
    <row r="691" spans="1:14" x14ac:dyDescent="0.25">
      <c r="A691">
        <v>533</v>
      </c>
      <c r="B691">
        <v>0</v>
      </c>
      <c r="C691">
        <v>3</v>
      </c>
      <c r="D691" t="s">
        <v>1008</v>
      </c>
      <c r="E691" s="4">
        <v>20</v>
      </c>
      <c r="F691" t="s">
        <v>24</v>
      </c>
      <c r="G691">
        <v>17</v>
      </c>
      <c r="H691">
        <v>1</v>
      </c>
      <c r="I691">
        <v>1</v>
      </c>
      <c r="J691">
        <v>2690</v>
      </c>
      <c r="K691">
        <v>7.2291999999999996</v>
      </c>
      <c r="M691" s="4" t="s">
        <v>1262</v>
      </c>
      <c r="N691" t="s">
        <v>17</v>
      </c>
    </row>
    <row r="692" spans="1:14" x14ac:dyDescent="0.25">
      <c r="A692">
        <v>740</v>
      </c>
      <c r="B692">
        <v>0</v>
      </c>
      <c r="C692">
        <v>3</v>
      </c>
      <c r="D692" t="s">
        <v>1009</v>
      </c>
      <c r="E692" s="4">
        <v>18</v>
      </c>
      <c r="F692" t="s">
        <v>24</v>
      </c>
      <c r="H692">
        <v>0</v>
      </c>
      <c r="I692">
        <v>0</v>
      </c>
      <c r="J692">
        <v>349218</v>
      </c>
      <c r="K692">
        <v>7.8958000000000004</v>
      </c>
      <c r="M692" s="4" t="s">
        <v>1262</v>
      </c>
      <c r="N692" t="s">
        <v>20</v>
      </c>
    </row>
    <row r="693" spans="1:14" x14ac:dyDescent="0.25">
      <c r="A693">
        <v>535</v>
      </c>
      <c r="B693">
        <v>0</v>
      </c>
      <c r="C693">
        <v>3</v>
      </c>
      <c r="D693" t="s">
        <v>1010</v>
      </c>
      <c r="E693" s="4">
        <v>19</v>
      </c>
      <c r="F693" t="s">
        <v>14</v>
      </c>
      <c r="G693">
        <v>30</v>
      </c>
      <c r="H693">
        <v>0</v>
      </c>
      <c r="I693">
        <v>0</v>
      </c>
      <c r="J693">
        <v>315084</v>
      </c>
      <c r="K693">
        <v>8.6624999999999996</v>
      </c>
      <c r="M693" s="4" t="s">
        <v>1262</v>
      </c>
      <c r="N693" t="s">
        <v>20</v>
      </c>
    </row>
    <row r="694" spans="1:14" x14ac:dyDescent="0.25">
      <c r="A694">
        <v>879</v>
      </c>
      <c r="B694">
        <v>0</v>
      </c>
      <c r="C694">
        <v>3</v>
      </c>
      <c r="D694" t="s">
        <v>1011</v>
      </c>
      <c r="E694" s="4">
        <v>18</v>
      </c>
      <c r="F694" t="s">
        <v>24</v>
      </c>
      <c r="H694">
        <v>0</v>
      </c>
      <c r="I694">
        <v>0</v>
      </c>
      <c r="J694">
        <v>349217</v>
      </c>
      <c r="K694">
        <v>7.8958000000000004</v>
      </c>
      <c r="M694" s="4" t="s">
        <v>1262</v>
      </c>
      <c r="N694" t="s">
        <v>20</v>
      </c>
    </row>
    <row r="695" spans="1:14" x14ac:dyDescent="0.25">
      <c r="A695">
        <v>542</v>
      </c>
      <c r="B695">
        <v>0</v>
      </c>
      <c r="C695">
        <v>3</v>
      </c>
      <c r="D695" t="s">
        <v>1012</v>
      </c>
      <c r="E695" s="4">
        <v>36</v>
      </c>
      <c r="F695" t="s">
        <v>14</v>
      </c>
      <c r="G695">
        <v>9</v>
      </c>
      <c r="H695">
        <v>4</v>
      </c>
      <c r="I695">
        <v>2</v>
      </c>
      <c r="J695">
        <v>347082</v>
      </c>
      <c r="K695">
        <v>31.274999999999999</v>
      </c>
      <c r="M695" s="4" t="s">
        <v>1262</v>
      </c>
      <c r="N695" t="s">
        <v>20</v>
      </c>
    </row>
    <row r="696" spans="1:14" x14ac:dyDescent="0.25">
      <c r="A696">
        <v>543</v>
      </c>
      <c r="B696">
        <v>0</v>
      </c>
      <c r="C696">
        <v>3</v>
      </c>
      <c r="D696" t="s">
        <v>1013</v>
      </c>
      <c r="E696" s="4">
        <v>33</v>
      </c>
      <c r="F696" t="s">
        <v>14</v>
      </c>
      <c r="G696">
        <v>11</v>
      </c>
      <c r="H696">
        <v>4</v>
      </c>
      <c r="I696">
        <v>2</v>
      </c>
      <c r="J696">
        <v>347082</v>
      </c>
      <c r="K696">
        <v>31.274999999999999</v>
      </c>
      <c r="M696" s="4" t="s">
        <v>1262</v>
      </c>
      <c r="N696" t="s">
        <v>20</v>
      </c>
    </row>
    <row r="697" spans="1:14" x14ac:dyDescent="0.25">
      <c r="A697">
        <v>29</v>
      </c>
      <c r="B697">
        <v>1</v>
      </c>
      <c r="C697">
        <v>3</v>
      </c>
      <c r="D697" t="s">
        <v>1014</v>
      </c>
      <c r="E697" s="4">
        <v>29</v>
      </c>
      <c r="F697" t="s">
        <v>14</v>
      </c>
      <c r="H697">
        <v>0</v>
      </c>
      <c r="I697">
        <v>0</v>
      </c>
      <c r="J697">
        <v>330959</v>
      </c>
      <c r="K697">
        <v>7.8792</v>
      </c>
      <c r="M697" s="4" t="s">
        <v>1262</v>
      </c>
      <c r="N697" t="s">
        <v>161</v>
      </c>
    </row>
    <row r="698" spans="1:14" x14ac:dyDescent="0.25">
      <c r="A698">
        <v>549</v>
      </c>
      <c r="B698">
        <v>0</v>
      </c>
      <c r="C698">
        <v>3</v>
      </c>
      <c r="D698" t="s">
        <v>1015</v>
      </c>
      <c r="E698" s="4">
        <v>25</v>
      </c>
      <c r="F698" t="s">
        <v>24</v>
      </c>
      <c r="G698">
        <v>33</v>
      </c>
      <c r="H698">
        <v>1</v>
      </c>
      <c r="I698">
        <v>1</v>
      </c>
      <c r="J698">
        <v>363291</v>
      </c>
      <c r="K698">
        <v>20.524999999999999</v>
      </c>
      <c r="M698" s="4" t="s">
        <v>1262</v>
      </c>
      <c r="N698" t="s">
        <v>20</v>
      </c>
    </row>
    <row r="699" spans="1:14" x14ac:dyDescent="0.25">
      <c r="A699">
        <v>359</v>
      </c>
      <c r="B699">
        <v>1</v>
      </c>
      <c r="C699">
        <v>3</v>
      </c>
      <c r="D699" t="s">
        <v>1016</v>
      </c>
      <c r="E699" s="4">
        <v>20</v>
      </c>
      <c r="F699" t="s">
        <v>14</v>
      </c>
      <c r="H699">
        <v>0</v>
      </c>
      <c r="I699">
        <v>0</v>
      </c>
      <c r="J699">
        <v>330931</v>
      </c>
      <c r="K699">
        <v>7.8792</v>
      </c>
      <c r="M699" s="4" t="s">
        <v>1262</v>
      </c>
      <c r="N699" t="s">
        <v>161</v>
      </c>
    </row>
    <row r="700" spans="1:14" x14ac:dyDescent="0.25">
      <c r="A700">
        <v>554</v>
      </c>
      <c r="B700">
        <v>1</v>
      </c>
      <c r="C700">
        <v>3</v>
      </c>
      <c r="D700" t="s">
        <v>1017</v>
      </c>
      <c r="E700" s="4">
        <v>33</v>
      </c>
      <c r="F700" t="s">
        <v>24</v>
      </c>
      <c r="G700">
        <v>22</v>
      </c>
      <c r="H700">
        <v>0</v>
      </c>
      <c r="I700">
        <v>0</v>
      </c>
      <c r="J700">
        <v>2620</v>
      </c>
      <c r="K700">
        <v>7.2249999999999996</v>
      </c>
      <c r="M700" s="4" t="s">
        <v>1262</v>
      </c>
      <c r="N700" t="s">
        <v>17</v>
      </c>
    </row>
    <row r="701" spans="1:14" x14ac:dyDescent="0.25">
      <c r="A701">
        <v>555</v>
      </c>
      <c r="B701">
        <v>1</v>
      </c>
      <c r="C701">
        <v>3</v>
      </c>
      <c r="D701" t="s">
        <v>1018</v>
      </c>
      <c r="E701" s="4">
        <v>18</v>
      </c>
      <c r="F701" t="s">
        <v>14</v>
      </c>
      <c r="G701">
        <v>22</v>
      </c>
      <c r="H701">
        <v>0</v>
      </c>
      <c r="I701">
        <v>0</v>
      </c>
      <c r="J701">
        <v>347085</v>
      </c>
      <c r="K701">
        <v>7.7750000000000004</v>
      </c>
      <c r="M701" s="4" t="s">
        <v>1262</v>
      </c>
      <c r="N701" t="s">
        <v>20</v>
      </c>
    </row>
    <row r="702" spans="1:14" x14ac:dyDescent="0.25">
      <c r="A702">
        <v>360</v>
      </c>
      <c r="B702">
        <v>1</v>
      </c>
      <c r="C702">
        <v>3</v>
      </c>
      <c r="D702" t="s">
        <v>1019</v>
      </c>
      <c r="E702" s="4">
        <v>33</v>
      </c>
      <c r="F702" t="s">
        <v>14</v>
      </c>
      <c r="H702">
        <v>0</v>
      </c>
      <c r="I702">
        <v>0</v>
      </c>
      <c r="J702">
        <v>330980</v>
      </c>
      <c r="K702">
        <v>7.8792</v>
      </c>
      <c r="M702" s="4" t="s">
        <v>1262</v>
      </c>
      <c r="N702" t="s">
        <v>161</v>
      </c>
    </row>
    <row r="703" spans="1:14" x14ac:dyDescent="0.25">
      <c r="A703">
        <v>560</v>
      </c>
      <c r="B703">
        <v>1</v>
      </c>
      <c r="C703">
        <v>3</v>
      </c>
      <c r="D703" t="s">
        <v>1020</v>
      </c>
      <c r="E703" s="4">
        <v>44</v>
      </c>
      <c r="F703" t="s">
        <v>14</v>
      </c>
      <c r="G703">
        <v>36</v>
      </c>
      <c r="H703">
        <v>1</v>
      </c>
      <c r="I703">
        <v>0</v>
      </c>
      <c r="J703">
        <v>345572</v>
      </c>
      <c r="K703">
        <v>17.399999999999999</v>
      </c>
      <c r="M703" s="4" t="s">
        <v>1262</v>
      </c>
      <c r="N703" t="s">
        <v>20</v>
      </c>
    </row>
    <row r="704" spans="1:14" x14ac:dyDescent="0.25">
      <c r="A704">
        <v>553</v>
      </c>
      <c r="B704">
        <v>0</v>
      </c>
      <c r="C704">
        <v>3</v>
      </c>
      <c r="D704" t="s">
        <v>1021</v>
      </c>
      <c r="E704" s="4">
        <v>20</v>
      </c>
      <c r="F704" t="s">
        <v>24</v>
      </c>
      <c r="H704">
        <v>0</v>
      </c>
      <c r="I704">
        <v>0</v>
      </c>
      <c r="J704">
        <v>330979</v>
      </c>
      <c r="K704">
        <v>7.8292000000000002</v>
      </c>
      <c r="M704" s="4" t="s">
        <v>1262</v>
      </c>
      <c r="N704" t="s">
        <v>161</v>
      </c>
    </row>
    <row r="705" spans="1:14" x14ac:dyDescent="0.25">
      <c r="A705">
        <v>562</v>
      </c>
      <c r="B705">
        <v>0</v>
      </c>
      <c r="C705">
        <v>3</v>
      </c>
      <c r="D705" t="s">
        <v>1022</v>
      </c>
      <c r="E705" s="4">
        <v>17</v>
      </c>
      <c r="F705" t="s">
        <v>24</v>
      </c>
      <c r="G705">
        <v>40</v>
      </c>
      <c r="H705">
        <v>0</v>
      </c>
      <c r="I705">
        <v>0</v>
      </c>
      <c r="J705">
        <v>349251</v>
      </c>
      <c r="K705">
        <v>7.8958000000000004</v>
      </c>
      <c r="M705" s="4" t="s">
        <v>1262</v>
      </c>
      <c r="N705" t="s">
        <v>20</v>
      </c>
    </row>
    <row r="706" spans="1:14" x14ac:dyDescent="0.25">
      <c r="A706">
        <v>654</v>
      </c>
      <c r="B706">
        <v>1</v>
      </c>
      <c r="C706">
        <v>3</v>
      </c>
      <c r="D706" t="s">
        <v>1023</v>
      </c>
      <c r="E706" s="4">
        <v>29</v>
      </c>
      <c r="F706" t="s">
        <v>14</v>
      </c>
      <c r="H706">
        <v>0</v>
      </c>
      <c r="I706">
        <v>0</v>
      </c>
      <c r="J706">
        <v>330919</v>
      </c>
      <c r="K706">
        <v>7.8292000000000002</v>
      </c>
      <c r="M706" s="4" t="s">
        <v>1262</v>
      </c>
      <c r="N706" t="s">
        <v>161</v>
      </c>
    </row>
    <row r="707" spans="1:14" x14ac:dyDescent="0.25">
      <c r="A707">
        <v>83</v>
      </c>
      <c r="B707">
        <v>1</v>
      </c>
      <c r="C707">
        <v>3</v>
      </c>
      <c r="D707" t="s">
        <v>1024</v>
      </c>
      <c r="E707" s="4">
        <v>30</v>
      </c>
      <c r="F707" t="s">
        <v>14</v>
      </c>
      <c r="H707">
        <v>0</v>
      </c>
      <c r="I707">
        <v>0</v>
      </c>
      <c r="J707">
        <v>330932</v>
      </c>
      <c r="K707">
        <v>7.7874999999999996</v>
      </c>
      <c r="M707" s="4" t="s">
        <v>1262</v>
      </c>
      <c r="N707" t="s">
        <v>161</v>
      </c>
    </row>
    <row r="708" spans="1:14" x14ac:dyDescent="0.25">
      <c r="A708">
        <v>566</v>
      </c>
      <c r="B708">
        <v>0</v>
      </c>
      <c r="C708">
        <v>3</v>
      </c>
      <c r="D708" t="s">
        <v>1025</v>
      </c>
      <c r="E708" s="4">
        <v>20</v>
      </c>
      <c r="F708" t="s">
        <v>24</v>
      </c>
      <c r="G708">
        <v>24</v>
      </c>
      <c r="H708">
        <v>2</v>
      </c>
      <c r="I708">
        <v>0</v>
      </c>
      <c r="J708" t="s">
        <v>1026</v>
      </c>
      <c r="K708">
        <v>24.15</v>
      </c>
      <c r="M708" s="4" t="s">
        <v>1262</v>
      </c>
      <c r="N708" t="s">
        <v>20</v>
      </c>
    </row>
    <row r="709" spans="1:14" x14ac:dyDescent="0.25">
      <c r="A709">
        <v>567</v>
      </c>
      <c r="B709">
        <v>0</v>
      </c>
      <c r="C709">
        <v>3</v>
      </c>
      <c r="D709" t="s">
        <v>1027</v>
      </c>
      <c r="E709" s="4">
        <v>20</v>
      </c>
      <c r="F709" t="s">
        <v>24</v>
      </c>
      <c r="G709">
        <v>19</v>
      </c>
      <c r="H709">
        <v>0</v>
      </c>
      <c r="I709">
        <v>0</v>
      </c>
      <c r="J709">
        <v>349205</v>
      </c>
      <c r="K709">
        <v>7.8958000000000004</v>
      </c>
      <c r="M709" s="4" t="s">
        <v>1262</v>
      </c>
      <c r="N709" t="s">
        <v>20</v>
      </c>
    </row>
    <row r="710" spans="1:14" x14ac:dyDescent="0.25">
      <c r="A710">
        <v>568</v>
      </c>
      <c r="B710">
        <v>0</v>
      </c>
      <c r="C710">
        <v>3</v>
      </c>
      <c r="D710" t="s">
        <v>1028</v>
      </c>
      <c r="E710" s="4">
        <v>43</v>
      </c>
      <c r="F710" t="s">
        <v>14</v>
      </c>
      <c r="G710">
        <v>29</v>
      </c>
      <c r="H710">
        <v>0</v>
      </c>
      <c r="I710">
        <v>4</v>
      </c>
      <c r="J710">
        <v>349909</v>
      </c>
      <c r="K710">
        <v>21.074999999999999</v>
      </c>
      <c r="M710" s="4" t="s">
        <v>1262</v>
      </c>
      <c r="N710" t="s">
        <v>20</v>
      </c>
    </row>
    <row r="711" spans="1:14" x14ac:dyDescent="0.25">
      <c r="A711">
        <v>668</v>
      </c>
      <c r="B711">
        <v>0</v>
      </c>
      <c r="C711">
        <v>3</v>
      </c>
      <c r="D711" t="s">
        <v>1029</v>
      </c>
      <c r="E711" s="4">
        <v>26</v>
      </c>
      <c r="F711" t="s">
        <v>24</v>
      </c>
      <c r="H711">
        <v>0</v>
      </c>
      <c r="I711">
        <v>0</v>
      </c>
      <c r="J711">
        <v>312993</v>
      </c>
      <c r="K711">
        <v>7.7750000000000004</v>
      </c>
      <c r="M711" s="4" t="s">
        <v>1262</v>
      </c>
      <c r="N711" t="s">
        <v>20</v>
      </c>
    </row>
    <row r="712" spans="1:14" x14ac:dyDescent="0.25">
      <c r="A712">
        <v>570</v>
      </c>
      <c r="B712">
        <v>1</v>
      </c>
      <c r="C712">
        <v>3</v>
      </c>
      <c r="D712" t="s">
        <v>1030</v>
      </c>
      <c r="E712" s="4">
        <v>17</v>
      </c>
      <c r="F712" t="s">
        <v>24</v>
      </c>
      <c r="G712">
        <v>32</v>
      </c>
      <c r="H712">
        <v>0</v>
      </c>
      <c r="I712">
        <v>0</v>
      </c>
      <c r="J712">
        <v>350417</v>
      </c>
      <c r="K712">
        <v>7.8541999999999996</v>
      </c>
      <c r="M712" s="4" t="s">
        <v>1262</v>
      </c>
      <c r="N712" t="s">
        <v>20</v>
      </c>
    </row>
    <row r="713" spans="1:14" x14ac:dyDescent="0.25">
      <c r="A713">
        <v>108</v>
      </c>
      <c r="B713">
        <v>1</v>
      </c>
      <c r="C713">
        <v>3</v>
      </c>
      <c r="D713" t="s">
        <v>1031</v>
      </c>
      <c r="E713" s="4">
        <v>22</v>
      </c>
      <c r="F713" t="s">
        <v>24</v>
      </c>
      <c r="H713">
        <v>0</v>
      </c>
      <c r="I713">
        <v>0</v>
      </c>
      <c r="J713">
        <v>312991</v>
      </c>
      <c r="K713">
        <v>7.7750000000000004</v>
      </c>
      <c r="M713" s="4" t="s">
        <v>1262</v>
      </c>
      <c r="N713" t="s">
        <v>20</v>
      </c>
    </row>
    <row r="714" spans="1:14" x14ac:dyDescent="0.25">
      <c r="A714">
        <v>575</v>
      </c>
      <c r="B714">
        <v>0</v>
      </c>
      <c r="C714">
        <v>3</v>
      </c>
      <c r="D714" t="s">
        <v>1032</v>
      </c>
      <c r="E714" s="4">
        <v>28</v>
      </c>
      <c r="F714" t="s">
        <v>24</v>
      </c>
      <c r="G714">
        <v>16</v>
      </c>
      <c r="H714">
        <v>0</v>
      </c>
      <c r="I714">
        <v>0</v>
      </c>
      <c r="J714" t="s">
        <v>1033</v>
      </c>
      <c r="K714">
        <v>8.0500000000000007</v>
      </c>
      <c r="M714" s="4" t="s">
        <v>1262</v>
      </c>
      <c r="N714" t="s">
        <v>20</v>
      </c>
    </row>
    <row r="715" spans="1:14" x14ac:dyDescent="0.25">
      <c r="A715">
        <v>576</v>
      </c>
      <c r="B715">
        <v>0</v>
      </c>
      <c r="C715">
        <v>3</v>
      </c>
      <c r="D715" t="s">
        <v>1034</v>
      </c>
      <c r="E715" s="4">
        <v>20</v>
      </c>
      <c r="F715" t="s">
        <v>24</v>
      </c>
      <c r="G715">
        <v>19</v>
      </c>
      <c r="H715">
        <v>0</v>
      </c>
      <c r="I715">
        <v>0</v>
      </c>
      <c r="J715">
        <v>358585</v>
      </c>
      <c r="K715">
        <v>14.5</v>
      </c>
      <c r="M715" s="4" t="s">
        <v>1262</v>
      </c>
      <c r="N715" t="s">
        <v>20</v>
      </c>
    </row>
    <row r="716" spans="1:14" x14ac:dyDescent="0.25">
      <c r="A716">
        <v>215</v>
      </c>
      <c r="B716">
        <v>0</v>
      </c>
      <c r="C716">
        <v>3</v>
      </c>
      <c r="D716" t="s">
        <v>1035</v>
      </c>
      <c r="E716" s="4">
        <v>19</v>
      </c>
      <c r="F716" t="s">
        <v>24</v>
      </c>
      <c r="H716">
        <v>1</v>
      </c>
      <c r="I716">
        <v>0</v>
      </c>
      <c r="J716">
        <v>367229</v>
      </c>
      <c r="K716">
        <v>7.75</v>
      </c>
      <c r="M716" s="4" t="s">
        <v>1262</v>
      </c>
      <c r="N716" t="s">
        <v>161</v>
      </c>
    </row>
    <row r="717" spans="1:14" x14ac:dyDescent="0.25">
      <c r="A717">
        <v>580</v>
      </c>
      <c r="B717">
        <v>1</v>
      </c>
      <c r="C717">
        <v>3</v>
      </c>
      <c r="D717" t="s">
        <v>1036</v>
      </c>
      <c r="E717" s="4">
        <v>19</v>
      </c>
      <c r="F717" t="s">
        <v>24</v>
      </c>
      <c r="G717">
        <v>32</v>
      </c>
      <c r="H717">
        <v>0</v>
      </c>
      <c r="I717">
        <v>0</v>
      </c>
      <c r="J717" t="s">
        <v>1037</v>
      </c>
      <c r="K717">
        <v>7.9249999999999998</v>
      </c>
      <c r="M717" s="4" t="s">
        <v>1262</v>
      </c>
      <c r="N717" t="s">
        <v>20</v>
      </c>
    </row>
    <row r="718" spans="1:14" x14ac:dyDescent="0.25">
      <c r="A718">
        <v>127</v>
      </c>
      <c r="B718">
        <v>0</v>
      </c>
      <c r="C718">
        <v>3</v>
      </c>
      <c r="D718" t="s">
        <v>1038</v>
      </c>
      <c r="E718" s="4">
        <v>19</v>
      </c>
      <c r="F718" t="s">
        <v>24</v>
      </c>
      <c r="H718">
        <v>0</v>
      </c>
      <c r="I718">
        <v>0</v>
      </c>
      <c r="J718">
        <v>370372</v>
      </c>
      <c r="K718">
        <v>7.75</v>
      </c>
      <c r="M718" s="4" t="s">
        <v>1262</v>
      </c>
      <c r="N718" t="s">
        <v>161</v>
      </c>
    </row>
    <row r="719" spans="1:14" x14ac:dyDescent="0.25">
      <c r="A719">
        <v>589</v>
      </c>
      <c r="B719">
        <v>0</v>
      </c>
      <c r="C719">
        <v>3</v>
      </c>
      <c r="D719" t="s">
        <v>1039</v>
      </c>
      <c r="E719" s="4">
        <v>21</v>
      </c>
      <c r="F719" t="s">
        <v>24</v>
      </c>
      <c r="G719">
        <v>22</v>
      </c>
      <c r="H719">
        <v>0</v>
      </c>
      <c r="I719">
        <v>0</v>
      </c>
      <c r="J719">
        <v>14973</v>
      </c>
      <c r="K719">
        <v>8.0500000000000007</v>
      </c>
      <c r="M719" s="4" t="s">
        <v>1262</v>
      </c>
      <c r="N719" t="s">
        <v>20</v>
      </c>
    </row>
    <row r="720" spans="1:14" x14ac:dyDescent="0.25">
      <c r="A720">
        <v>197</v>
      </c>
      <c r="B720">
        <v>0</v>
      </c>
      <c r="C720">
        <v>3</v>
      </c>
      <c r="D720" t="s">
        <v>1040</v>
      </c>
      <c r="E720" s="4">
        <v>19</v>
      </c>
      <c r="F720" t="s">
        <v>24</v>
      </c>
      <c r="H720">
        <v>0</v>
      </c>
      <c r="I720">
        <v>0</v>
      </c>
      <c r="J720">
        <v>368703</v>
      </c>
      <c r="K720">
        <v>7.75</v>
      </c>
      <c r="M720" s="4" t="s">
        <v>1262</v>
      </c>
      <c r="N720" t="s">
        <v>161</v>
      </c>
    </row>
    <row r="721" spans="1:14" x14ac:dyDescent="0.25">
      <c r="A721">
        <v>591</v>
      </c>
      <c r="B721">
        <v>0</v>
      </c>
      <c r="C721">
        <v>3</v>
      </c>
      <c r="D721" t="s">
        <v>1041</v>
      </c>
      <c r="E721" s="4">
        <v>20</v>
      </c>
      <c r="F721" t="s">
        <v>24</v>
      </c>
      <c r="G721">
        <v>35</v>
      </c>
      <c r="H721">
        <v>0</v>
      </c>
      <c r="I721">
        <v>0</v>
      </c>
      <c r="J721" t="s">
        <v>1042</v>
      </c>
      <c r="K721">
        <v>7.125</v>
      </c>
      <c r="M721" s="4" t="s">
        <v>1262</v>
      </c>
      <c r="N721" t="s">
        <v>20</v>
      </c>
    </row>
    <row r="722" spans="1:14" x14ac:dyDescent="0.25">
      <c r="A722">
        <v>593</v>
      </c>
      <c r="B722">
        <v>0</v>
      </c>
      <c r="C722">
        <v>3</v>
      </c>
      <c r="D722" t="s">
        <v>1043</v>
      </c>
      <c r="E722" s="4">
        <v>26</v>
      </c>
      <c r="F722" t="s">
        <v>24</v>
      </c>
      <c r="G722">
        <v>47</v>
      </c>
      <c r="H722">
        <v>0</v>
      </c>
      <c r="I722">
        <v>0</v>
      </c>
      <c r="J722" t="s">
        <v>1044</v>
      </c>
      <c r="K722">
        <v>7.25</v>
      </c>
      <c r="M722" s="4" t="s">
        <v>1262</v>
      </c>
      <c r="N722" t="s">
        <v>20</v>
      </c>
    </row>
    <row r="723" spans="1:14" x14ac:dyDescent="0.25">
      <c r="A723">
        <v>261</v>
      </c>
      <c r="B723">
        <v>0</v>
      </c>
      <c r="C723">
        <v>3</v>
      </c>
      <c r="D723" t="s">
        <v>1045</v>
      </c>
      <c r="E723" s="4">
        <v>17</v>
      </c>
      <c r="F723" t="s">
        <v>24</v>
      </c>
      <c r="H723">
        <v>0</v>
      </c>
      <c r="I723">
        <v>0</v>
      </c>
      <c r="J723">
        <v>384461</v>
      </c>
      <c r="K723">
        <v>7.75</v>
      </c>
      <c r="M723" s="4" t="s">
        <v>1262</v>
      </c>
      <c r="N723" t="s">
        <v>161</v>
      </c>
    </row>
    <row r="724" spans="1:14" x14ac:dyDescent="0.25">
      <c r="A724">
        <v>596</v>
      </c>
      <c r="B724">
        <v>0</v>
      </c>
      <c r="C724">
        <v>3</v>
      </c>
      <c r="D724" t="s">
        <v>1046</v>
      </c>
      <c r="E724" s="4">
        <v>27</v>
      </c>
      <c r="F724" t="s">
        <v>24</v>
      </c>
      <c r="G724">
        <v>36</v>
      </c>
      <c r="H724">
        <v>1</v>
      </c>
      <c r="I724">
        <v>1</v>
      </c>
      <c r="J724">
        <v>345773</v>
      </c>
      <c r="K724">
        <v>24.15</v>
      </c>
      <c r="M724" s="4" t="s">
        <v>1262</v>
      </c>
      <c r="N724" t="s">
        <v>20</v>
      </c>
    </row>
    <row r="725" spans="1:14" x14ac:dyDescent="0.25">
      <c r="A725">
        <v>265</v>
      </c>
      <c r="B725">
        <v>0</v>
      </c>
      <c r="C725">
        <v>3</v>
      </c>
      <c r="D725" t="s">
        <v>1047</v>
      </c>
      <c r="E725" s="4">
        <v>18</v>
      </c>
      <c r="F725" t="s">
        <v>14</v>
      </c>
      <c r="H725">
        <v>0</v>
      </c>
      <c r="I725">
        <v>0</v>
      </c>
      <c r="J725">
        <v>382649</v>
      </c>
      <c r="K725">
        <v>7.75</v>
      </c>
      <c r="M725" s="4" t="s">
        <v>1262</v>
      </c>
      <c r="N725" t="s">
        <v>161</v>
      </c>
    </row>
    <row r="726" spans="1:14" x14ac:dyDescent="0.25">
      <c r="A726">
        <v>598</v>
      </c>
      <c r="B726">
        <v>0</v>
      </c>
      <c r="C726">
        <v>3</v>
      </c>
      <c r="D726" t="s">
        <v>1048</v>
      </c>
      <c r="E726" s="4">
        <v>19</v>
      </c>
      <c r="F726" t="s">
        <v>24</v>
      </c>
      <c r="G726">
        <v>49</v>
      </c>
      <c r="H726">
        <v>0</v>
      </c>
      <c r="I726">
        <v>0</v>
      </c>
      <c r="J726" t="s">
        <v>770</v>
      </c>
      <c r="K726">
        <v>0</v>
      </c>
      <c r="M726" s="4" t="s">
        <v>1262</v>
      </c>
      <c r="N726" t="s">
        <v>20</v>
      </c>
    </row>
    <row r="727" spans="1:14" x14ac:dyDescent="0.25">
      <c r="A727">
        <v>429</v>
      </c>
      <c r="B727">
        <v>0</v>
      </c>
      <c r="C727">
        <v>3</v>
      </c>
      <c r="D727" t="s">
        <v>1049</v>
      </c>
      <c r="E727" s="4">
        <v>16</v>
      </c>
      <c r="F727" t="s">
        <v>24</v>
      </c>
      <c r="H727">
        <v>0</v>
      </c>
      <c r="I727">
        <v>0</v>
      </c>
      <c r="J727">
        <v>364851</v>
      </c>
      <c r="K727">
        <v>7.75</v>
      </c>
      <c r="M727" s="4" t="s">
        <v>1262</v>
      </c>
      <c r="N727" t="s">
        <v>161</v>
      </c>
    </row>
    <row r="728" spans="1:14" x14ac:dyDescent="0.25">
      <c r="A728">
        <v>460</v>
      </c>
      <c r="B728">
        <v>0</v>
      </c>
      <c r="C728">
        <v>3</v>
      </c>
      <c r="D728" t="s">
        <v>1050</v>
      </c>
      <c r="E728" s="4">
        <v>21</v>
      </c>
      <c r="F728" t="s">
        <v>24</v>
      </c>
      <c r="H728">
        <v>0</v>
      </c>
      <c r="I728">
        <v>0</v>
      </c>
      <c r="J728">
        <v>371060</v>
      </c>
      <c r="K728">
        <v>7.75</v>
      </c>
      <c r="M728" s="4" t="s">
        <v>1262</v>
      </c>
      <c r="N728" t="s">
        <v>161</v>
      </c>
    </row>
    <row r="729" spans="1:14" x14ac:dyDescent="0.25">
      <c r="A729">
        <v>561</v>
      </c>
      <c r="B729">
        <v>0</v>
      </c>
      <c r="C729">
        <v>3</v>
      </c>
      <c r="D729" t="s">
        <v>1051</v>
      </c>
      <c r="E729" s="4">
        <v>24</v>
      </c>
      <c r="F729" t="s">
        <v>24</v>
      </c>
      <c r="H729">
        <v>0</v>
      </c>
      <c r="I729">
        <v>0</v>
      </c>
      <c r="J729">
        <v>372622</v>
      </c>
      <c r="K729">
        <v>7.75</v>
      </c>
      <c r="M729" s="4" t="s">
        <v>1262</v>
      </c>
      <c r="N729" t="s">
        <v>161</v>
      </c>
    </row>
    <row r="730" spans="1:14" x14ac:dyDescent="0.25">
      <c r="A730">
        <v>604</v>
      </c>
      <c r="B730">
        <v>0</v>
      </c>
      <c r="C730">
        <v>3</v>
      </c>
      <c r="D730" t="s">
        <v>1052</v>
      </c>
      <c r="E730" s="4">
        <v>25</v>
      </c>
      <c r="F730" t="s">
        <v>24</v>
      </c>
      <c r="G730">
        <v>44</v>
      </c>
      <c r="H730">
        <v>0</v>
      </c>
      <c r="I730">
        <v>0</v>
      </c>
      <c r="J730">
        <v>364511</v>
      </c>
      <c r="K730">
        <v>8.0500000000000007</v>
      </c>
      <c r="M730" s="4" t="s">
        <v>1262</v>
      </c>
      <c r="N730" t="s">
        <v>20</v>
      </c>
    </row>
    <row r="731" spans="1:14" x14ac:dyDescent="0.25">
      <c r="A731">
        <v>606</v>
      </c>
      <c r="B731">
        <v>0</v>
      </c>
      <c r="C731">
        <v>3</v>
      </c>
      <c r="D731" t="s">
        <v>1053</v>
      </c>
      <c r="E731" s="4">
        <v>29</v>
      </c>
      <c r="F731" t="s">
        <v>24</v>
      </c>
      <c r="G731">
        <v>36</v>
      </c>
      <c r="H731">
        <v>1</v>
      </c>
      <c r="I731">
        <v>0</v>
      </c>
      <c r="J731">
        <v>349910</v>
      </c>
      <c r="K731">
        <v>15.55</v>
      </c>
      <c r="M731" s="4" t="s">
        <v>1262</v>
      </c>
      <c r="N731" t="s">
        <v>20</v>
      </c>
    </row>
    <row r="732" spans="1:14" x14ac:dyDescent="0.25">
      <c r="A732">
        <v>607</v>
      </c>
      <c r="B732">
        <v>0</v>
      </c>
      <c r="C732">
        <v>3</v>
      </c>
      <c r="D732" t="s">
        <v>1054</v>
      </c>
      <c r="E732" s="4">
        <v>17</v>
      </c>
      <c r="F732" t="s">
        <v>24</v>
      </c>
      <c r="G732">
        <v>30</v>
      </c>
      <c r="H732">
        <v>0</v>
      </c>
      <c r="I732">
        <v>0</v>
      </c>
      <c r="J732">
        <v>349246</v>
      </c>
      <c r="K732">
        <v>7.8958000000000004</v>
      </c>
      <c r="M732" s="4" t="s">
        <v>1262</v>
      </c>
      <c r="N732" t="s">
        <v>20</v>
      </c>
    </row>
    <row r="733" spans="1:14" x14ac:dyDescent="0.25">
      <c r="A733">
        <v>611</v>
      </c>
      <c r="B733">
        <v>0</v>
      </c>
      <c r="C733">
        <v>3</v>
      </c>
      <c r="D733" t="s">
        <v>1055</v>
      </c>
      <c r="E733" s="4">
        <v>57</v>
      </c>
      <c r="F733" t="s">
        <v>14</v>
      </c>
      <c r="G733">
        <v>39</v>
      </c>
      <c r="H733">
        <v>1</v>
      </c>
      <c r="I733">
        <v>5</v>
      </c>
      <c r="J733">
        <v>347082</v>
      </c>
      <c r="K733">
        <v>31.274999999999999</v>
      </c>
      <c r="M733" s="4" t="s">
        <v>1262</v>
      </c>
      <c r="N733" t="s">
        <v>20</v>
      </c>
    </row>
    <row r="734" spans="1:14" x14ac:dyDescent="0.25">
      <c r="A734">
        <v>594</v>
      </c>
      <c r="B734">
        <v>0</v>
      </c>
      <c r="C734">
        <v>3</v>
      </c>
      <c r="D734" t="s">
        <v>1056</v>
      </c>
      <c r="E734" s="4">
        <v>18</v>
      </c>
      <c r="F734" t="s">
        <v>14</v>
      </c>
      <c r="H734">
        <v>0</v>
      </c>
      <c r="I734">
        <v>2</v>
      </c>
      <c r="J734">
        <v>364848</v>
      </c>
      <c r="K734">
        <v>7.75</v>
      </c>
      <c r="M734" s="4" t="s">
        <v>1262</v>
      </c>
      <c r="N734" t="s">
        <v>161</v>
      </c>
    </row>
    <row r="735" spans="1:14" x14ac:dyDescent="0.25">
      <c r="A735">
        <v>614</v>
      </c>
      <c r="B735">
        <v>0</v>
      </c>
      <c r="C735">
        <v>3</v>
      </c>
      <c r="D735" t="s">
        <v>1057</v>
      </c>
      <c r="E735" s="4">
        <v>16</v>
      </c>
      <c r="F735" t="s">
        <v>24</v>
      </c>
      <c r="H735">
        <v>0</v>
      </c>
      <c r="I735">
        <v>0</v>
      </c>
      <c r="J735">
        <v>370377</v>
      </c>
      <c r="K735">
        <v>7.75</v>
      </c>
      <c r="M735" s="4" t="s">
        <v>1262</v>
      </c>
      <c r="N735" t="s">
        <v>161</v>
      </c>
    </row>
    <row r="736" spans="1:14" x14ac:dyDescent="0.25">
      <c r="A736">
        <v>777</v>
      </c>
      <c r="B736">
        <v>0</v>
      </c>
      <c r="C736">
        <v>3</v>
      </c>
      <c r="D736" t="s">
        <v>1058</v>
      </c>
      <c r="E736" s="4">
        <v>16</v>
      </c>
      <c r="F736" t="s">
        <v>24</v>
      </c>
      <c r="H736">
        <v>0</v>
      </c>
      <c r="I736">
        <v>0</v>
      </c>
      <c r="J736">
        <v>383121</v>
      </c>
      <c r="K736">
        <v>7.75</v>
      </c>
      <c r="L736" t="s">
        <v>1059</v>
      </c>
      <c r="M736" s="4" t="s">
        <v>185</v>
      </c>
      <c r="N736" t="s">
        <v>161</v>
      </c>
    </row>
    <row r="737" spans="1:14" x14ac:dyDescent="0.25">
      <c r="A737">
        <v>615</v>
      </c>
      <c r="B737">
        <v>0</v>
      </c>
      <c r="C737">
        <v>3</v>
      </c>
      <c r="D737" t="s">
        <v>1060</v>
      </c>
      <c r="E737" s="4">
        <v>31</v>
      </c>
      <c r="F737" t="s">
        <v>24</v>
      </c>
      <c r="G737">
        <v>35</v>
      </c>
      <c r="H737">
        <v>0</v>
      </c>
      <c r="I737">
        <v>0</v>
      </c>
      <c r="J737">
        <v>364512</v>
      </c>
      <c r="K737">
        <v>8.0500000000000007</v>
      </c>
      <c r="M737" s="4" t="s">
        <v>1262</v>
      </c>
      <c r="N737" t="s">
        <v>20</v>
      </c>
    </row>
    <row r="738" spans="1:14" x14ac:dyDescent="0.25">
      <c r="A738">
        <v>617</v>
      </c>
      <c r="B738">
        <v>0</v>
      </c>
      <c r="C738">
        <v>3</v>
      </c>
      <c r="D738" t="s">
        <v>1061</v>
      </c>
      <c r="E738" s="4">
        <v>25</v>
      </c>
      <c r="F738" t="s">
        <v>24</v>
      </c>
      <c r="G738">
        <v>34</v>
      </c>
      <c r="H738">
        <v>1</v>
      </c>
      <c r="I738">
        <v>1</v>
      </c>
      <c r="J738">
        <v>347080</v>
      </c>
      <c r="K738">
        <v>14.4</v>
      </c>
      <c r="M738" s="4" t="s">
        <v>1262</v>
      </c>
      <c r="N738" t="s">
        <v>20</v>
      </c>
    </row>
    <row r="739" spans="1:14" x14ac:dyDescent="0.25">
      <c r="A739">
        <v>618</v>
      </c>
      <c r="B739">
        <v>0</v>
      </c>
      <c r="C739">
        <v>3</v>
      </c>
      <c r="D739" t="s">
        <v>1062</v>
      </c>
      <c r="E739" s="4">
        <v>47</v>
      </c>
      <c r="F739" t="s">
        <v>14</v>
      </c>
      <c r="G739">
        <v>26</v>
      </c>
      <c r="H739">
        <v>1</v>
      </c>
      <c r="I739">
        <v>0</v>
      </c>
      <c r="J739" t="s">
        <v>818</v>
      </c>
      <c r="K739">
        <v>16.100000000000001</v>
      </c>
      <c r="M739" s="4" t="s">
        <v>1262</v>
      </c>
      <c r="N739" t="s">
        <v>20</v>
      </c>
    </row>
    <row r="740" spans="1:14" x14ac:dyDescent="0.25">
      <c r="A740">
        <v>621</v>
      </c>
      <c r="B740">
        <v>0</v>
      </c>
      <c r="C740">
        <v>3</v>
      </c>
      <c r="D740" t="s">
        <v>1063</v>
      </c>
      <c r="E740" s="4">
        <v>19</v>
      </c>
      <c r="F740" t="s">
        <v>24</v>
      </c>
      <c r="G740">
        <v>27</v>
      </c>
      <c r="H740">
        <v>1</v>
      </c>
      <c r="I740">
        <v>0</v>
      </c>
      <c r="J740">
        <v>2659</v>
      </c>
      <c r="K740">
        <v>14.4542</v>
      </c>
      <c r="M740" s="4" t="s">
        <v>1262</v>
      </c>
      <c r="N740" t="s">
        <v>17</v>
      </c>
    </row>
    <row r="741" spans="1:14" x14ac:dyDescent="0.25">
      <c r="A741">
        <v>623</v>
      </c>
      <c r="B741">
        <v>1</v>
      </c>
      <c r="C741">
        <v>3</v>
      </c>
      <c r="D741" t="s">
        <v>1064</v>
      </c>
      <c r="E741" s="4">
        <v>16</v>
      </c>
      <c r="F741" t="s">
        <v>24</v>
      </c>
      <c r="G741">
        <v>20</v>
      </c>
      <c r="H741">
        <v>1</v>
      </c>
      <c r="I741">
        <v>1</v>
      </c>
      <c r="J741">
        <v>2653</v>
      </c>
      <c r="K741">
        <v>15.7417</v>
      </c>
      <c r="M741" s="4" t="s">
        <v>1262</v>
      </c>
      <c r="N741" t="s">
        <v>17</v>
      </c>
    </row>
    <row r="742" spans="1:14" x14ac:dyDescent="0.25">
      <c r="A742">
        <v>624</v>
      </c>
      <c r="B742">
        <v>0</v>
      </c>
      <c r="C742">
        <v>3</v>
      </c>
      <c r="D742" t="s">
        <v>1065</v>
      </c>
      <c r="E742" s="4">
        <v>27</v>
      </c>
      <c r="F742" t="s">
        <v>24</v>
      </c>
      <c r="G742">
        <v>21</v>
      </c>
      <c r="H742">
        <v>0</v>
      </c>
      <c r="I742">
        <v>0</v>
      </c>
      <c r="J742">
        <v>350029</v>
      </c>
      <c r="K742">
        <v>7.8541999999999996</v>
      </c>
      <c r="M742" s="4" t="s">
        <v>1262</v>
      </c>
      <c r="N742" t="s">
        <v>20</v>
      </c>
    </row>
    <row r="743" spans="1:14" x14ac:dyDescent="0.25">
      <c r="A743">
        <v>625</v>
      </c>
      <c r="B743">
        <v>0</v>
      </c>
      <c r="C743">
        <v>3</v>
      </c>
      <c r="D743" t="s">
        <v>1066</v>
      </c>
      <c r="E743" s="4">
        <v>27</v>
      </c>
      <c r="F743" t="s">
        <v>24</v>
      </c>
      <c r="G743">
        <v>21</v>
      </c>
      <c r="H743">
        <v>0</v>
      </c>
      <c r="I743">
        <v>0</v>
      </c>
      <c r="J743">
        <v>54636</v>
      </c>
      <c r="K743">
        <v>16.100000000000001</v>
      </c>
      <c r="M743" s="4" t="s">
        <v>1262</v>
      </c>
      <c r="N743" t="s">
        <v>20</v>
      </c>
    </row>
    <row r="744" spans="1:14" x14ac:dyDescent="0.25">
      <c r="A744">
        <v>629</v>
      </c>
      <c r="B744">
        <v>0</v>
      </c>
      <c r="C744">
        <v>3</v>
      </c>
      <c r="D744" t="s">
        <v>1067</v>
      </c>
      <c r="E744" s="4">
        <v>25</v>
      </c>
      <c r="F744" t="s">
        <v>24</v>
      </c>
      <c r="G744">
        <v>26</v>
      </c>
      <c r="H744">
        <v>0</v>
      </c>
      <c r="I744">
        <v>0</v>
      </c>
      <c r="J744">
        <v>349224</v>
      </c>
      <c r="K744">
        <v>7.8958000000000004</v>
      </c>
      <c r="M744" s="4" t="s">
        <v>1262</v>
      </c>
      <c r="N744" t="s">
        <v>20</v>
      </c>
    </row>
    <row r="745" spans="1:14" x14ac:dyDescent="0.25">
      <c r="A745">
        <v>791</v>
      </c>
      <c r="B745">
        <v>0</v>
      </c>
      <c r="C745">
        <v>3</v>
      </c>
      <c r="D745" t="s">
        <v>1068</v>
      </c>
      <c r="E745" s="4">
        <v>24</v>
      </c>
      <c r="F745" t="s">
        <v>24</v>
      </c>
      <c r="H745">
        <v>0</v>
      </c>
      <c r="I745">
        <v>0</v>
      </c>
      <c r="J745">
        <v>12460</v>
      </c>
      <c r="K745">
        <v>7.75</v>
      </c>
      <c r="M745" s="4" t="s">
        <v>1262</v>
      </c>
      <c r="N745" t="s">
        <v>161</v>
      </c>
    </row>
    <row r="746" spans="1:14" x14ac:dyDescent="0.25">
      <c r="A746">
        <v>632</v>
      </c>
      <c r="B746">
        <v>0</v>
      </c>
      <c r="C746">
        <v>3</v>
      </c>
      <c r="D746" t="s">
        <v>1069</v>
      </c>
      <c r="E746" s="4">
        <v>27</v>
      </c>
      <c r="F746" t="s">
        <v>24</v>
      </c>
      <c r="G746">
        <v>51</v>
      </c>
      <c r="H746">
        <v>0</v>
      </c>
      <c r="I746">
        <v>0</v>
      </c>
      <c r="J746">
        <v>347743</v>
      </c>
      <c r="K746">
        <v>7.0541999999999998</v>
      </c>
      <c r="M746" s="4" t="s">
        <v>1262</v>
      </c>
      <c r="N746" t="s">
        <v>20</v>
      </c>
    </row>
    <row r="747" spans="1:14" x14ac:dyDescent="0.25">
      <c r="A747">
        <v>33</v>
      </c>
      <c r="B747">
        <v>1</v>
      </c>
      <c r="C747">
        <v>3</v>
      </c>
      <c r="D747" t="s">
        <v>1070</v>
      </c>
      <c r="E747" s="4">
        <v>24</v>
      </c>
      <c r="F747" t="s">
        <v>14</v>
      </c>
      <c r="H747">
        <v>0</v>
      </c>
      <c r="I747">
        <v>0</v>
      </c>
      <c r="J747">
        <v>335677</v>
      </c>
      <c r="K747">
        <v>7.75</v>
      </c>
      <c r="M747" s="4" t="s">
        <v>1262</v>
      </c>
      <c r="N747" t="s">
        <v>161</v>
      </c>
    </row>
    <row r="748" spans="1:14" x14ac:dyDescent="0.25">
      <c r="A748">
        <v>635</v>
      </c>
      <c r="B748">
        <v>0</v>
      </c>
      <c r="C748">
        <v>3</v>
      </c>
      <c r="D748" t="s">
        <v>1071</v>
      </c>
      <c r="E748" s="4">
        <v>18</v>
      </c>
      <c r="F748" t="s">
        <v>14</v>
      </c>
      <c r="G748">
        <v>9</v>
      </c>
      <c r="H748">
        <v>3</v>
      </c>
      <c r="I748">
        <v>2</v>
      </c>
      <c r="J748">
        <v>347088</v>
      </c>
      <c r="K748">
        <v>27.9</v>
      </c>
      <c r="M748" s="4" t="s">
        <v>1262</v>
      </c>
      <c r="N748" t="s">
        <v>20</v>
      </c>
    </row>
    <row r="749" spans="1:14" x14ac:dyDescent="0.25">
      <c r="A749">
        <v>637</v>
      </c>
      <c r="B749">
        <v>0</v>
      </c>
      <c r="C749">
        <v>3</v>
      </c>
      <c r="D749" t="s">
        <v>1072</v>
      </c>
      <c r="E749" s="4">
        <v>26</v>
      </c>
      <c r="F749" t="s">
        <v>24</v>
      </c>
      <c r="G749">
        <v>32</v>
      </c>
      <c r="H749">
        <v>0</v>
      </c>
      <c r="I749">
        <v>0</v>
      </c>
      <c r="J749" t="s">
        <v>1073</v>
      </c>
      <c r="K749">
        <v>7.9249999999999998</v>
      </c>
      <c r="M749" s="4" t="s">
        <v>1262</v>
      </c>
      <c r="N749" t="s">
        <v>20</v>
      </c>
    </row>
    <row r="750" spans="1:14" x14ac:dyDescent="0.25">
      <c r="A750">
        <v>639</v>
      </c>
      <c r="B750">
        <v>0</v>
      </c>
      <c r="C750">
        <v>3</v>
      </c>
      <c r="D750" t="s">
        <v>1074</v>
      </c>
      <c r="E750" s="4">
        <v>38</v>
      </c>
      <c r="F750" t="s">
        <v>14</v>
      </c>
      <c r="G750">
        <v>41</v>
      </c>
      <c r="H750">
        <v>0</v>
      </c>
      <c r="I750">
        <v>5</v>
      </c>
      <c r="J750">
        <v>3101295</v>
      </c>
      <c r="K750">
        <v>39.6875</v>
      </c>
      <c r="M750" s="4" t="s">
        <v>1262</v>
      </c>
      <c r="N750" t="s">
        <v>20</v>
      </c>
    </row>
    <row r="751" spans="1:14" x14ac:dyDescent="0.25">
      <c r="A751">
        <v>48</v>
      </c>
      <c r="B751">
        <v>1</v>
      </c>
      <c r="C751">
        <v>3</v>
      </c>
      <c r="D751" t="s">
        <v>1075</v>
      </c>
      <c r="E751" s="4">
        <v>25</v>
      </c>
      <c r="F751" t="s">
        <v>14</v>
      </c>
      <c r="H751">
        <v>0</v>
      </c>
      <c r="I751">
        <v>0</v>
      </c>
      <c r="J751">
        <v>14311</v>
      </c>
      <c r="K751">
        <v>7.75</v>
      </c>
      <c r="M751" s="4" t="s">
        <v>1262</v>
      </c>
      <c r="N751" t="s">
        <v>161</v>
      </c>
    </row>
    <row r="752" spans="1:14" x14ac:dyDescent="0.25">
      <c r="A752">
        <v>641</v>
      </c>
      <c r="B752">
        <v>0</v>
      </c>
      <c r="C752">
        <v>3</v>
      </c>
      <c r="D752" t="s">
        <v>1076</v>
      </c>
      <c r="E752" s="4">
        <v>22</v>
      </c>
      <c r="F752" t="s">
        <v>24</v>
      </c>
      <c r="G752">
        <v>20</v>
      </c>
      <c r="H752">
        <v>0</v>
      </c>
      <c r="I752">
        <v>0</v>
      </c>
      <c r="J752">
        <v>350050</v>
      </c>
      <c r="K752">
        <v>7.8541999999999996</v>
      </c>
      <c r="M752" s="4" t="s">
        <v>1262</v>
      </c>
      <c r="N752" t="s">
        <v>20</v>
      </c>
    </row>
    <row r="753" spans="1:14" x14ac:dyDescent="0.25">
      <c r="A753">
        <v>643</v>
      </c>
      <c r="B753">
        <v>0</v>
      </c>
      <c r="C753">
        <v>3</v>
      </c>
      <c r="D753" t="s">
        <v>1077</v>
      </c>
      <c r="E753" s="4">
        <v>29</v>
      </c>
      <c r="F753" t="s">
        <v>14</v>
      </c>
      <c r="G753">
        <v>2</v>
      </c>
      <c r="H753">
        <v>3</v>
      </c>
      <c r="I753">
        <v>2</v>
      </c>
      <c r="J753">
        <v>347088</v>
      </c>
      <c r="K753">
        <v>27.9</v>
      </c>
      <c r="M753" s="4" t="s">
        <v>1262</v>
      </c>
      <c r="N753" t="s">
        <v>20</v>
      </c>
    </row>
    <row r="754" spans="1:14" x14ac:dyDescent="0.25">
      <c r="A754">
        <v>199</v>
      </c>
      <c r="B754">
        <v>1</v>
      </c>
      <c r="C754">
        <v>3</v>
      </c>
      <c r="D754" t="s">
        <v>1078</v>
      </c>
      <c r="E754" s="4">
        <v>32</v>
      </c>
      <c r="F754" t="s">
        <v>14</v>
      </c>
      <c r="H754">
        <v>0</v>
      </c>
      <c r="I754">
        <v>0</v>
      </c>
      <c r="J754">
        <v>370370</v>
      </c>
      <c r="K754">
        <v>7.75</v>
      </c>
      <c r="M754" s="4" t="s">
        <v>1262</v>
      </c>
      <c r="N754" t="s">
        <v>161</v>
      </c>
    </row>
    <row r="755" spans="1:14" x14ac:dyDescent="0.25">
      <c r="A755">
        <v>645</v>
      </c>
      <c r="B755">
        <v>1</v>
      </c>
      <c r="C755">
        <v>3</v>
      </c>
      <c r="D755" t="s">
        <v>1079</v>
      </c>
      <c r="E755" s="4">
        <v>22</v>
      </c>
      <c r="F755" t="s">
        <v>14</v>
      </c>
      <c r="G755">
        <v>0.75</v>
      </c>
      <c r="H755">
        <v>2</v>
      </c>
      <c r="I755">
        <v>1</v>
      </c>
      <c r="J755">
        <v>2666</v>
      </c>
      <c r="K755">
        <v>19.258299999999998</v>
      </c>
      <c r="M755" s="4" t="s">
        <v>1262</v>
      </c>
      <c r="N755" t="s">
        <v>17</v>
      </c>
    </row>
    <row r="756" spans="1:14" x14ac:dyDescent="0.25">
      <c r="A756">
        <v>647</v>
      </c>
      <c r="B756">
        <v>0</v>
      </c>
      <c r="C756">
        <v>3</v>
      </c>
      <c r="D756" t="s">
        <v>1080</v>
      </c>
      <c r="E756" s="4">
        <v>17</v>
      </c>
      <c r="F756" t="s">
        <v>24</v>
      </c>
      <c r="G756">
        <v>19</v>
      </c>
      <c r="H756">
        <v>0</v>
      </c>
      <c r="I756">
        <v>0</v>
      </c>
      <c r="J756">
        <v>349231</v>
      </c>
      <c r="K756">
        <v>7.8958000000000004</v>
      </c>
      <c r="M756" s="4" t="s">
        <v>1262</v>
      </c>
      <c r="N756" t="s">
        <v>20</v>
      </c>
    </row>
    <row r="757" spans="1:14" x14ac:dyDescent="0.25">
      <c r="A757">
        <v>275</v>
      </c>
      <c r="B757">
        <v>1</v>
      </c>
      <c r="C757">
        <v>3</v>
      </c>
      <c r="D757" t="s">
        <v>1081</v>
      </c>
      <c r="E757" s="4">
        <v>26</v>
      </c>
      <c r="F757" t="s">
        <v>14</v>
      </c>
      <c r="H757">
        <v>0</v>
      </c>
      <c r="I757">
        <v>0</v>
      </c>
      <c r="J757">
        <v>370375</v>
      </c>
      <c r="K757">
        <v>7.75</v>
      </c>
      <c r="M757" s="4" t="s">
        <v>1262</v>
      </c>
      <c r="N757" t="s">
        <v>161</v>
      </c>
    </row>
    <row r="758" spans="1:14" x14ac:dyDescent="0.25">
      <c r="A758">
        <v>650</v>
      </c>
      <c r="B758">
        <v>1</v>
      </c>
      <c r="C758">
        <v>3</v>
      </c>
      <c r="D758" t="s">
        <v>1082</v>
      </c>
      <c r="E758" s="4">
        <v>31</v>
      </c>
      <c r="F758" t="s">
        <v>14</v>
      </c>
      <c r="G758">
        <v>23</v>
      </c>
      <c r="H758">
        <v>0</v>
      </c>
      <c r="I758">
        <v>0</v>
      </c>
      <c r="J758" t="s">
        <v>1083</v>
      </c>
      <c r="K758">
        <v>7.55</v>
      </c>
      <c r="M758" s="4" t="s">
        <v>1262</v>
      </c>
      <c r="N758" t="s">
        <v>20</v>
      </c>
    </row>
    <row r="759" spans="1:14" x14ac:dyDescent="0.25">
      <c r="A759">
        <v>301</v>
      </c>
      <c r="B759">
        <v>1</v>
      </c>
      <c r="C759">
        <v>3</v>
      </c>
      <c r="D759" t="s">
        <v>1084</v>
      </c>
      <c r="E759" s="4">
        <v>40</v>
      </c>
      <c r="F759" t="s">
        <v>14</v>
      </c>
      <c r="H759">
        <v>0</v>
      </c>
      <c r="I759">
        <v>0</v>
      </c>
      <c r="J759">
        <v>9234</v>
      </c>
      <c r="K759">
        <v>7.75</v>
      </c>
      <c r="M759" s="4" t="s">
        <v>1262</v>
      </c>
      <c r="N759" t="s">
        <v>161</v>
      </c>
    </row>
    <row r="760" spans="1:14" x14ac:dyDescent="0.25">
      <c r="A760">
        <v>653</v>
      </c>
      <c r="B760">
        <v>0</v>
      </c>
      <c r="C760">
        <v>3</v>
      </c>
      <c r="D760" t="s">
        <v>1085</v>
      </c>
      <c r="E760" s="4">
        <v>30</v>
      </c>
      <c r="F760" t="s">
        <v>24</v>
      </c>
      <c r="G760">
        <v>21</v>
      </c>
      <c r="H760">
        <v>0</v>
      </c>
      <c r="I760">
        <v>0</v>
      </c>
      <c r="J760">
        <v>8475</v>
      </c>
      <c r="K760">
        <v>8.4332999999999991</v>
      </c>
      <c r="M760" s="4" t="s">
        <v>1262</v>
      </c>
      <c r="N760" t="s">
        <v>20</v>
      </c>
    </row>
    <row r="761" spans="1:14" x14ac:dyDescent="0.25">
      <c r="A761">
        <v>369</v>
      </c>
      <c r="B761">
        <v>1</v>
      </c>
      <c r="C761">
        <v>3</v>
      </c>
      <c r="D761" t="s">
        <v>1086</v>
      </c>
      <c r="E761" s="4">
        <v>19</v>
      </c>
      <c r="F761" t="s">
        <v>14</v>
      </c>
      <c r="H761">
        <v>0</v>
      </c>
      <c r="I761">
        <v>0</v>
      </c>
      <c r="J761">
        <v>14313</v>
      </c>
      <c r="K761">
        <v>7.75</v>
      </c>
      <c r="M761" s="4" t="s">
        <v>1262</v>
      </c>
      <c r="N761" t="s">
        <v>161</v>
      </c>
    </row>
    <row r="762" spans="1:14" x14ac:dyDescent="0.25">
      <c r="A762">
        <v>655</v>
      </c>
      <c r="B762">
        <v>0</v>
      </c>
      <c r="C762">
        <v>3</v>
      </c>
      <c r="D762" t="s">
        <v>1087</v>
      </c>
      <c r="E762" s="4">
        <v>28</v>
      </c>
      <c r="F762" t="s">
        <v>14</v>
      </c>
      <c r="G762">
        <v>18</v>
      </c>
      <c r="H762">
        <v>0</v>
      </c>
      <c r="I762">
        <v>0</v>
      </c>
      <c r="J762">
        <v>365226</v>
      </c>
      <c r="K762">
        <v>6.75</v>
      </c>
      <c r="M762" s="4" t="s">
        <v>1262</v>
      </c>
      <c r="N762" t="s">
        <v>161</v>
      </c>
    </row>
    <row r="763" spans="1:14" x14ac:dyDescent="0.25">
      <c r="A763">
        <v>574</v>
      </c>
      <c r="B763">
        <v>1</v>
      </c>
      <c r="C763">
        <v>3</v>
      </c>
      <c r="D763" t="s">
        <v>1088</v>
      </c>
      <c r="E763" s="4">
        <v>17</v>
      </c>
      <c r="F763" t="s">
        <v>14</v>
      </c>
      <c r="H763">
        <v>0</v>
      </c>
      <c r="I763">
        <v>0</v>
      </c>
      <c r="J763">
        <v>14312</v>
      </c>
      <c r="K763">
        <v>7.75</v>
      </c>
      <c r="M763" s="4" t="s">
        <v>1262</v>
      </c>
      <c r="N763" t="s">
        <v>161</v>
      </c>
    </row>
    <row r="764" spans="1:14" x14ac:dyDescent="0.25">
      <c r="A764">
        <v>658</v>
      </c>
      <c r="B764">
        <v>0</v>
      </c>
      <c r="C764">
        <v>3</v>
      </c>
      <c r="D764" t="s">
        <v>1089</v>
      </c>
      <c r="E764" s="4">
        <v>29</v>
      </c>
      <c r="F764" t="s">
        <v>14</v>
      </c>
      <c r="G764">
        <v>32</v>
      </c>
      <c r="H764">
        <v>1</v>
      </c>
      <c r="I764">
        <v>1</v>
      </c>
      <c r="J764">
        <v>364849</v>
      </c>
      <c r="K764">
        <v>15.5</v>
      </c>
      <c r="M764" s="4" t="s">
        <v>1262</v>
      </c>
      <c r="N764" t="s">
        <v>161</v>
      </c>
    </row>
    <row r="765" spans="1:14" x14ac:dyDescent="0.25">
      <c r="A765">
        <v>662</v>
      </c>
      <c r="B765">
        <v>0</v>
      </c>
      <c r="C765">
        <v>3</v>
      </c>
      <c r="D765" t="s">
        <v>1090</v>
      </c>
      <c r="E765" s="4">
        <v>17</v>
      </c>
      <c r="F765" t="s">
        <v>24</v>
      </c>
      <c r="G765">
        <v>40</v>
      </c>
      <c r="H765">
        <v>0</v>
      </c>
      <c r="I765">
        <v>0</v>
      </c>
      <c r="J765">
        <v>2623</v>
      </c>
      <c r="K765">
        <v>7.2249999999999996</v>
      </c>
      <c r="M765" s="4" t="s">
        <v>1262</v>
      </c>
      <c r="N765" t="s">
        <v>17</v>
      </c>
    </row>
    <row r="766" spans="1:14" x14ac:dyDescent="0.25">
      <c r="A766">
        <v>664</v>
      </c>
      <c r="B766">
        <v>0</v>
      </c>
      <c r="C766">
        <v>3</v>
      </c>
      <c r="D766" t="s">
        <v>1091</v>
      </c>
      <c r="E766" s="4">
        <v>16</v>
      </c>
      <c r="F766" t="s">
        <v>24</v>
      </c>
      <c r="G766">
        <v>36</v>
      </c>
      <c r="H766">
        <v>0</v>
      </c>
      <c r="I766">
        <v>0</v>
      </c>
      <c r="J766">
        <v>349210</v>
      </c>
      <c r="K766">
        <v>7.4958</v>
      </c>
      <c r="M766" s="4" t="s">
        <v>1262</v>
      </c>
      <c r="N766" t="s">
        <v>20</v>
      </c>
    </row>
    <row r="767" spans="1:14" x14ac:dyDescent="0.25">
      <c r="A767">
        <v>665</v>
      </c>
      <c r="B767">
        <v>1</v>
      </c>
      <c r="C767">
        <v>3</v>
      </c>
      <c r="D767" t="s">
        <v>1092</v>
      </c>
      <c r="E767" s="4">
        <v>27</v>
      </c>
      <c r="F767" t="s">
        <v>24</v>
      </c>
      <c r="G767">
        <v>20</v>
      </c>
      <c r="H767">
        <v>1</v>
      </c>
      <c r="I767">
        <v>0</v>
      </c>
      <c r="J767" t="s">
        <v>1093</v>
      </c>
      <c r="K767">
        <v>7.9249999999999998</v>
      </c>
      <c r="M767" s="4" t="s">
        <v>1262</v>
      </c>
      <c r="N767" t="s">
        <v>20</v>
      </c>
    </row>
    <row r="768" spans="1:14" x14ac:dyDescent="0.25">
      <c r="A768">
        <v>829</v>
      </c>
      <c r="B768">
        <v>1</v>
      </c>
      <c r="C768">
        <v>3</v>
      </c>
      <c r="D768" t="s">
        <v>1094</v>
      </c>
      <c r="E768" s="4">
        <v>28</v>
      </c>
      <c r="F768" t="s">
        <v>24</v>
      </c>
      <c r="H768">
        <v>0</v>
      </c>
      <c r="I768">
        <v>0</v>
      </c>
      <c r="J768">
        <v>367228</v>
      </c>
      <c r="K768">
        <v>7.75</v>
      </c>
      <c r="M768" s="4" t="s">
        <v>1262</v>
      </c>
      <c r="N768" t="s">
        <v>161</v>
      </c>
    </row>
    <row r="769" spans="1:14" x14ac:dyDescent="0.25">
      <c r="A769">
        <v>669</v>
      </c>
      <c r="B769">
        <v>0</v>
      </c>
      <c r="C769">
        <v>3</v>
      </c>
      <c r="D769" t="s">
        <v>1095</v>
      </c>
      <c r="E769" s="4">
        <v>15</v>
      </c>
      <c r="F769" t="s">
        <v>24</v>
      </c>
      <c r="G769">
        <v>43</v>
      </c>
      <c r="H769">
        <v>0</v>
      </c>
      <c r="I769">
        <v>0</v>
      </c>
      <c r="J769" t="s">
        <v>1096</v>
      </c>
      <c r="K769">
        <v>8.0500000000000007</v>
      </c>
      <c r="M769" s="4" t="s">
        <v>1262</v>
      </c>
      <c r="N769" t="s">
        <v>20</v>
      </c>
    </row>
    <row r="770" spans="1:14" x14ac:dyDescent="0.25">
      <c r="A770">
        <v>779</v>
      </c>
      <c r="B770">
        <v>0</v>
      </c>
      <c r="C770">
        <v>3</v>
      </c>
      <c r="D770" t="s">
        <v>1097</v>
      </c>
      <c r="E770" s="4">
        <v>23</v>
      </c>
      <c r="F770" t="s">
        <v>24</v>
      </c>
      <c r="H770">
        <v>0</v>
      </c>
      <c r="I770">
        <v>0</v>
      </c>
      <c r="J770">
        <v>36865</v>
      </c>
      <c r="K770">
        <v>7.7374999999999998</v>
      </c>
      <c r="M770" s="4" t="s">
        <v>1262</v>
      </c>
      <c r="N770" t="s">
        <v>161</v>
      </c>
    </row>
    <row r="771" spans="1:14" x14ac:dyDescent="0.25">
      <c r="A771">
        <v>728</v>
      </c>
      <c r="B771">
        <v>1</v>
      </c>
      <c r="C771">
        <v>3</v>
      </c>
      <c r="D771" t="s">
        <v>1098</v>
      </c>
      <c r="E771" s="4">
        <v>24</v>
      </c>
      <c r="F771" t="s">
        <v>14</v>
      </c>
      <c r="H771">
        <v>0</v>
      </c>
      <c r="I771">
        <v>0</v>
      </c>
      <c r="J771">
        <v>36866</v>
      </c>
      <c r="K771">
        <v>7.7374999999999998</v>
      </c>
      <c r="M771" s="4" t="s">
        <v>1262</v>
      </c>
      <c r="N771" t="s">
        <v>161</v>
      </c>
    </row>
    <row r="772" spans="1:14" x14ac:dyDescent="0.25">
      <c r="A772">
        <v>676</v>
      </c>
      <c r="B772">
        <v>0</v>
      </c>
      <c r="C772">
        <v>3</v>
      </c>
      <c r="D772" t="s">
        <v>1099</v>
      </c>
      <c r="E772" s="4">
        <v>30</v>
      </c>
      <c r="F772" t="s">
        <v>24</v>
      </c>
      <c r="G772">
        <v>18</v>
      </c>
      <c r="H772">
        <v>0</v>
      </c>
      <c r="I772">
        <v>0</v>
      </c>
      <c r="J772">
        <v>349912</v>
      </c>
      <c r="K772">
        <v>7.7750000000000004</v>
      </c>
      <c r="M772" s="4" t="s">
        <v>1262</v>
      </c>
      <c r="N772" t="s">
        <v>20</v>
      </c>
    </row>
    <row r="773" spans="1:14" x14ac:dyDescent="0.25">
      <c r="A773">
        <v>677</v>
      </c>
      <c r="B773">
        <v>0</v>
      </c>
      <c r="C773">
        <v>3</v>
      </c>
      <c r="D773" t="s">
        <v>1100</v>
      </c>
      <c r="E773" s="4">
        <v>29</v>
      </c>
      <c r="F773" t="s">
        <v>24</v>
      </c>
      <c r="G773">
        <v>24.5</v>
      </c>
      <c r="H773">
        <v>0</v>
      </c>
      <c r="I773">
        <v>0</v>
      </c>
      <c r="J773">
        <v>342826</v>
      </c>
      <c r="K773">
        <v>8.0500000000000007</v>
      </c>
      <c r="M773" s="4" t="s">
        <v>1262</v>
      </c>
      <c r="N773" t="s">
        <v>20</v>
      </c>
    </row>
    <row r="774" spans="1:14" x14ac:dyDescent="0.25">
      <c r="A774">
        <v>678</v>
      </c>
      <c r="B774">
        <v>1</v>
      </c>
      <c r="C774">
        <v>3</v>
      </c>
      <c r="D774" t="s">
        <v>1101</v>
      </c>
      <c r="E774" s="4">
        <v>23</v>
      </c>
      <c r="F774" t="s">
        <v>14</v>
      </c>
      <c r="G774">
        <v>18</v>
      </c>
      <c r="H774">
        <v>0</v>
      </c>
      <c r="I774">
        <v>0</v>
      </c>
      <c r="J774">
        <v>4138</v>
      </c>
      <c r="K774">
        <v>9.8416999999999994</v>
      </c>
      <c r="M774" s="4" t="s">
        <v>1262</v>
      </c>
      <c r="N774" t="s">
        <v>20</v>
      </c>
    </row>
    <row r="775" spans="1:14" x14ac:dyDescent="0.25">
      <c r="A775">
        <v>679</v>
      </c>
      <c r="B775">
        <v>0</v>
      </c>
      <c r="C775">
        <v>3</v>
      </c>
      <c r="D775" t="s">
        <v>1102</v>
      </c>
      <c r="E775" s="4">
        <v>39</v>
      </c>
      <c r="F775" t="s">
        <v>14</v>
      </c>
      <c r="G775">
        <v>43</v>
      </c>
      <c r="H775">
        <v>1</v>
      </c>
      <c r="I775">
        <v>6</v>
      </c>
      <c r="J775" t="s">
        <v>693</v>
      </c>
      <c r="K775">
        <v>46.9</v>
      </c>
      <c r="M775" s="4" t="s">
        <v>1262</v>
      </c>
      <c r="N775" t="s">
        <v>20</v>
      </c>
    </row>
    <row r="776" spans="1:14" x14ac:dyDescent="0.25">
      <c r="A776">
        <v>630</v>
      </c>
      <c r="B776">
        <v>0</v>
      </c>
      <c r="C776">
        <v>3</v>
      </c>
      <c r="D776" t="s">
        <v>1103</v>
      </c>
      <c r="E776" s="4">
        <v>24</v>
      </c>
      <c r="F776" t="s">
        <v>24</v>
      </c>
      <c r="H776">
        <v>0</v>
      </c>
      <c r="I776">
        <v>0</v>
      </c>
      <c r="J776">
        <v>334912</v>
      </c>
      <c r="K776">
        <v>7.7332999999999998</v>
      </c>
      <c r="M776" s="4" t="s">
        <v>1262</v>
      </c>
      <c r="N776" t="s">
        <v>161</v>
      </c>
    </row>
    <row r="777" spans="1:14" x14ac:dyDescent="0.25">
      <c r="A777">
        <v>683</v>
      </c>
      <c r="B777">
        <v>0</v>
      </c>
      <c r="C777">
        <v>3</v>
      </c>
      <c r="D777" t="s">
        <v>1104</v>
      </c>
      <c r="E777" s="4">
        <v>27</v>
      </c>
      <c r="F777" t="s">
        <v>24</v>
      </c>
      <c r="G777">
        <v>20</v>
      </c>
      <c r="H777">
        <v>0</v>
      </c>
      <c r="I777">
        <v>0</v>
      </c>
      <c r="J777">
        <v>6563</v>
      </c>
      <c r="K777">
        <v>9.2249999999999996</v>
      </c>
      <c r="M777" s="4" t="s">
        <v>1262</v>
      </c>
      <c r="N777" t="s">
        <v>20</v>
      </c>
    </row>
    <row r="778" spans="1:14" x14ac:dyDescent="0.25">
      <c r="A778">
        <v>684</v>
      </c>
      <c r="B778">
        <v>0</v>
      </c>
      <c r="C778">
        <v>3</v>
      </c>
      <c r="D778" t="s">
        <v>1105</v>
      </c>
      <c r="E778" s="4">
        <v>27</v>
      </c>
      <c r="F778" t="s">
        <v>24</v>
      </c>
      <c r="G778">
        <v>14</v>
      </c>
      <c r="H778">
        <v>5</v>
      </c>
      <c r="I778">
        <v>2</v>
      </c>
      <c r="J778" t="s">
        <v>693</v>
      </c>
      <c r="K778">
        <v>46.9</v>
      </c>
      <c r="M778" s="4" t="s">
        <v>1262</v>
      </c>
      <c r="N778" t="s">
        <v>20</v>
      </c>
    </row>
    <row r="779" spans="1:14" x14ac:dyDescent="0.25">
      <c r="A779">
        <v>687</v>
      </c>
      <c r="B779">
        <v>0</v>
      </c>
      <c r="C779">
        <v>3</v>
      </c>
      <c r="D779" t="s">
        <v>1106</v>
      </c>
      <c r="E779" s="4">
        <v>24</v>
      </c>
      <c r="F779" t="s">
        <v>24</v>
      </c>
      <c r="G779">
        <v>14</v>
      </c>
      <c r="H779">
        <v>4</v>
      </c>
      <c r="I779">
        <v>1</v>
      </c>
      <c r="J779">
        <v>3101295</v>
      </c>
      <c r="K779">
        <v>39.6875</v>
      </c>
      <c r="M779" s="4" t="s">
        <v>1262</v>
      </c>
      <c r="N779" t="s">
        <v>20</v>
      </c>
    </row>
    <row r="780" spans="1:14" x14ac:dyDescent="0.25">
      <c r="A780">
        <v>688</v>
      </c>
      <c r="B780">
        <v>0</v>
      </c>
      <c r="C780">
        <v>3</v>
      </c>
      <c r="D780" t="s">
        <v>1107</v>
      </c>
      <c r="E780" s="4">
        <v>17</v>
      </c>
      <c r="F780" t="s">
        <v>24</v>
      </c>
      <c r="G780">
        <v>19</v>
      </c>
      <c r="H780">
        <v>0</v>
      </c>
      <c r="I780">
        <v>0</v>
      </c>
      <c r="J780">
        <v>349228</v>
      </c>
      <c r="K780">
        <v>10.1708</v>
      </c>
      <c r="M780" s="4" t="s">
        <v>1262</v>
      </c>
      <c r="N780" t="s">
        <v>20</v>
      </c>
    </row>
    <row r="781" spans="1:14" x14ac:dyDescent="0.25">
      <c r="A781">
        <v>689</v>
      </c>
      <c r="B781">
        <v>0</v>
      </c>
      <c r="C781">
        <v>3</v>
      </c>
      <c r="D781" t="s">
        <v>1108</v>
      </c>
      <c r="E781" s="4">
        <v>31</v>
      </c>
      <c r="F781" t="s">
        <v>24</v>
      </c>
      <c r="G781">
        <v>18</v>
      </c>
      <c r="H781">
        <v>0</v>
      </c>
      <c r="I781">
        <v>0</v>
      </c>
      <c r="J781">
        <v>350036</v>
      </c>
      <c r="K781">
        <v>7.7957999999999998</v>
      </c>
      <c r="M781" s="4" t="s">
        <v>1262</v>
      </c>
      <c r="N781" t="s">
        <v>20</v>
      </c>
    </row>
    <row r="782" spans="1:14" x14ac:dyDescent="0.25">
      <c r="A782">
        <v>692</v>
      </c>
      <c r="B782">
        <v>1</v>
      </c>
      <c r="C782">
        <v>3</v>
      </c>
      <c r="D782" t="s">
        <v>1109</v>
      </c>
      <c r="E782" s="4">
        <v>18</v>
      </c>
      <c r="F782" t="s">
        <v>14</v>
      </c>
      <c r="G782">
        <v>4</v>
      </c>
      <c r="H782">
        <v>0</v>
      </c>
      <c r="I782">
        <v>1</v>
      </c>
      <c r="J782">
        <v>349256</v>
      </c>
      <c r="K782">
        <v>13.416700000000001</v>
      </c>
      <c r="M782" s="4" t="s">
        <v>1262</v>
      </c>
      <c r="N782" t="s">
        <v>17</v>
      </c>
    </row>
    <row r="783" spans="1:14" x14ac:dyDescent="0.25">
      <c r="A783">
        <v>698</v>
      </c>
      <c r="B783">
        <v>1</v>
      </c>
      <c r="C783">
        <v>3</v>
      </c>
      <c r="D783" t="s">
        <v>1110</v>
      </c>
      <c r="E783" s="4">
        <v>32</v>
      </c>
      <c r="F783" t="s">
        <v>14</v>
      </c>
      <c r="H783">
        <v>0</v>
      </c>
      <c r="I783">
        <v>0</v>
      </c>
      <c r="J783">
        <v>35852</v>
      </c>
      <c r="K783">
        <v>7.7332999999999998</v>
      </c>
      <c r="M783" s="4" t="s">
        <v>1262</v>
      </c>
      <c r="N783" t="s">
        <v>161</v>
      </c>
    </row>
    <row r="784" spans="1:14" x14ac:dyDescent="0.25">
      <c r="A784">
        <v>694</v>
      </c>
      <c r="B784">
        <v>0</v>
      </c>
      <c r="C784">
        <v>3</v>
      </c>
      <c r="D784" t="s">
        <v>1111</v>
      </c>
      <c r="E784" s="4">
        <v>16</v>
      </c>
      <c r="F784" t="s">
        <v>24</v>
      </c>
      <c r="G784">
        <v>25</v>
      </c>
      <c r="H784">
        <v>0</v>
      </c>
      <c r="I784">
        <v>0</v>
      </c>
      <c r="J784">
        <v>2672</v>
      </c>
      <c r="K784">
        <v>7.2249999999999996</v>
      </c>
      <c r="M784" s="4" t="s">
        <v>1262</v>
      </c>
      <c r="N784" t="s">
        <v>17</v>
      </c>
    </row>
    <row r="785" spans="1:14" x14ac:dyDescent="0.25">
      <c r="A785">
        <v>697</v>
      </c>
      <c r="B785">
        <v>0</v>
      </c>
      <c r="C785">
        <v>3</v>
      </c>
      <c r="D785" t="s">
        <v>1112</v>
      </c>
      <c r="E785" s="4">
        <v>16</v>
      </c>
      <c r="F785" t="s">
        <v>24</v>
      </c>
      <c r="G785">
        <v>44</v>
      </c>
      <c r="H785">
        <v>0</v>
      </c>
      <c r="I785">
        <v>0</v>
      </c>
      <c r="J785">
        <v>363592</v>
      </c>
      <c r="K785">
        <v>8.0500000000000007</v>
      </c>
      <c r="M785" s="4" t="s">
        <v>1262</v>
      </c>
      <c r="N785" t="s">
        <v>20</v>
      </c>
    </row>
    <row r="786" spans="1:14" x14ac:dyDescent="0.25">
      <c r="A786">
        <v>389</v>
      </c>
      <c r="B786">
        <v>0</v>
      </c>
      <c r="C786">
        <v>3</v>
      </c>
      <c r="D786" t="s">
        <v>1113</v>
      </c>
      <c r="E786" s="4">
        <v>20</v>
      </c>
      <c r="F786" t="s">
        <v>24</v>
      </c>
      <c r="H786">
        <v>0</v>
      </c>
      <c r="I786">
        <v>0</v>
      </c>
      <c r="J786">
        <v>367655</v>
      </c>
      <c r="K786">
        <v>7.7291999999999996</v>
      </c>
      <c r="M786" s="4" t="s">
        <v>1262</v>
      </c>
      <c r="N786" t="s">
        <v>161</v>
      </c>
    </row>
    <row r="787" spans="1:14" x14ac:dyDescent="0.25">
      <c r="A787">
        <v>700</v>
      </c>
      <c r="B787">
        <v>0</v>
      </c>
      <c r="C787">
        <v>3</v>
      </c>
      <c r="D787" t="s">
        <v>1114</v>
      </c>
      <c r="E787" s="4">
        <v>40</v>
      </c>
      <c r="F787" t="s">
        <v>24</v>
      </c>
      <c r="G787">
        <v>42</v>
      </c>
      <c r="H787">
        <v>0</v>
      </c>
      <c r="I787">
        <v>0</v>
      </c>
      <c r="J787">
        <v>348121</v>
      </c>
      <c r="K787">
        <v>7.65</v>
      </c>
      <c r="L787" t="s">
        <v>1115</v>
      </c>
      <c r="M787" s="4" t="s">
        <v>185</v>
      </c>
      <c r="N787" t="s">
        <v>20</v>
      </c>
    </row>
    <row r="788" spans="1:14" x14ac:dyDescent="0.25">
      <c r="A788">
        <v>703</v>
      </c>
      <c r="B788">
        <v>0</v>
      </c>
      <c r="C788">
        <v>3</v>
      </c>
      <c r="D788" t="s">
        <v>1116</v>
      </c>
      <c r="E788" s="4">
        <v>21</v>
      </c>
      <c r="F788" t="s">
        <v>14</v>
      </c>
      <c r="G788">
        <v>18</v>
      </c>
      <c r="H788">
        <v>0</v>
      </c>
      <c r="I788">
        <v>1</v>
      </c>
      <c r="J788">
        <v>2691</v>
      </c>
      <c r="K788">
        <v>14.4542</v>
      </c>
      <c r="M788" s="4" t="s">
        <v>1262</v>
      </c>
      <c r="N788" t="s">
        <v>17</v>
      </c>
    </row>
    <row r="789" spans="1:14" x14ac:dyDescent="0.25">
      <c r="A789">
        <v>704</v>
      </c>
      <c r="B789">
        <v>0</v>
      </c>
      <c r="C789">
        <v>3</v>
      </c>
      <c r="D789" t="s">
        <v>1117</v>
      </c>
      <c r="E789" s="4">
        <v>21</v>
      </c>
      <c r="F789" t="s">
        <v>24</v>
      </c>
      <c r="G789">
        <v>25</v>
      </c>
      <c r="H789">
        <v>0</v>
      </c>
      <c r="I789">
        <v>0</v>
      </c>
      <c r="J789">
        <v>36864</v>
      </c>
      <c r="K789">
        <v>7.7416999999999998</v>
      </c>
      <c r="M789" s="4" t="s">
        <v>1262</v>
      </c>
      <c r="N789" t="s">
        <v>161</v>
      </c>
    </row>
    <row r="790" spans="1:14" x14ac:dyDescent="0.25">
      <c r="A790">
        <v>705</v>
      </c>
      <c r="B790">
        <v>0</v>
      </c>
      <c r="C790">
        <v>3</v>
      </c>
      <c r="D790" t="s">
        <v>1118</v>
      </c>
      <c r="E790" s="4">
        <v>23</v>
      </c>
      <c r="F790" t="s">
        <v>24</v>
      </c>
      <c r="G790">
        <v>26</v>
      </c>
      <c r="H790">
        <v>1</v>
      </c>
      <c r="I790">
        <v>0</v>
      </c>
      <c r="J790">
        <v>350025</v>
      </c>
      <c r="K790">
        <v>7.8541999999999996</v>
      </c>
      <c r="M790" s="4" t="s">
        <v>1262</v>
      </c>
      <c r="N790" t="s">
        <v>20</v>
      </c>
    </row>
    <row r="791" spans="1:14" x14ac:dyDescent="0.25">
      <c r="A791">
        <v>469</v>
      </c>
      <c r="B791">
        <v>0</v>
      </c>
      <c r="C791">
        <v>3</v>
      </c>
      <c r="D791" t="s">
        <v>1119</v>
      </c>
      <c r="E791" s="4">
        <v>18</v>
      </c>
      <c r="F791" t="s">
        <v>24</v>
      </c>
      <c r="H791">
        <v>0</v>
      </c>
      <c r="I791">
        <v>0</v>
      </c>
      <c r="J791">
        <v>36209</v>
      </c>
      <c r="K791">
        <v>7.7249999999999996</v>
      </c>
      <c r="M791" s="4" t="s">
        <v>1262</v>
      </c>
      <c r="N791" t="s">
        <v>161</v>
      </c>
    </row>
    <row r="792" spans="1:14" x14ac:dyDescent="0.25">
      <c r="A792">
        <v>503</v>
      </c>
      <c r="B792">
        <v>0</v>
      </c>
      <c r="C792">
        <v>3</v>
      </c>
      <c r="D792" t="s">
        <v>1120</v>
      </c>
      <c r="E792" s="4">
        <v>30</v>
      </c>
      <c r="F792" t="s">
        <v>14</v>
      </c>
      <c r="H792">
        <v>0</v>
      </c>
      <c r="I792">
        <v>0</v>
      </c>
      <c r="J792">
        <v>330909</v>
      </c>
      <c r="K792">
        <v>7.6292</v>
      </c>
      <c r="M792" s="4" t="s">
        <v>1262</v>
      </c>
      <c r="N792" t="s">
        <v>161</v>
      </c>
    </row>
    <row r="793" spans="1:14" x14ac:dyDescent="0.25">
      <c r="A793">
        <v>714</v>
      </c>
      <c r="B793">
        <v>0</v>
      </c>
      <c r="C793">
        <v>3</v>
      </c>
      <c r="D793" t="s">
        <v>1121</v>
      </c>
      <c r="E793" s="4">
        <v>26</v>
      </c>
      <c r="F793" t="s">
        <v>24</v>
      </c>
      <c r="G793">
        <v>29</v>
      </c>
      <c r="H793">
        <v>0</v>
      </c>
      <c r="I793">
        <v>0</v>
      </c>
      <c r="J793">
        <v>7545</v>
      </c>
      <c r="K793">
        <v>9.4832999999999998</v>
      </c>
      <c r="M793" s="4" t="s">
        <v>1262</v>
      </c>
      <c r="N793" t="s">
        <v>20</v>
      </c>
    </row>
    <row r="794" spans="1:14" x14ac:dyDescent="0.25">
      <c r="A794">
        <v>716</v>
      </c>
      <c r="B794">
        <v>0</v>
      </c>
      <c r="C794">
        <v>3</v>
      </c>
      <c r="D794" t="s">
        <v>1122</v>
      </c>
      <c r="E794" s="4">
        <v>42</v>
      </c>
      <c r="F794" t="s">
        <v>24</v>
      </c>
      <c r="G794">
        <v>19</v>
      </c>
      <c r="H794">
        <v>0</v>
      </c>
      <c r="I794">
        <v>0</v>
      </c>
      <c r="J794">
        <v>348124</v>
      </c>
      <c r="K794">
        <v>7.65</v>
      </c>
      <c r="L794" t="s">
        <v>706</v>
      </c>
      <c r="M794" s="4" t="s">
        <v>185</v>
      </c>
      <c r="N794" t="s">
        <v>20</v>
      </c>
    </row>
    <row r="795" spans="1:14" x14ac:dyDescent="0.25">
      <c r="A795">
        <v>236</v>
      </c>
      <c r="B795">
        <v>0</v>
      </c>
      <c r="C795">
        <v>3</v>
      </c>
      <c r="D795" t="s">
        <v>1123</v>
      </c>
      <c r="E795" s="4">
        <v>28</v>
      </c>
      <c r="F795" t="s">
        <v>14</v>
      </c>
      <c r="H795">
        <v>0</v>
      </c>
      <c r="I795">
        <v>0</v>
      </c>
      <c r="J795" t="s">
        <v>1124</v>
      </c>
      <c r="K795">
        <v>7.55</v>
      </c>
      <c r="M795" s="4" t="s">
        <v>1262</v>
      </c>
      <c r="N795" t="s">
        <v>20</v>
      </c>
    </row>
    <row r="796" spans="1:14" x14ac:dyDescent="0.25">
      <c r="A796">
        <v>720</v>
      </c>
      <c r="B796">
        <v>0</v>
      </c>
      <c r="C796">
        <v>3</v>
      </c>
      <c r="D796" t="s">
        <v>1125</v>
      </c>
      <c r="E796" s="4">
        <v>28</v>
      </c>
      <c r="F796" t="s">
        <v>24</v>
      </c>
      <c r="G796">
        <v>33</v>
      </c>
      <c r="H796">
        <v>0</v>
      </c>
      <c r="I796">
        <v>0</v>
      </c>
      <c r="J796">
        <v>347062</v>
      </c>
      <c r="K796">
        <v>7.7750000000000004</v>
      </c>
      <c r="M796" s="4" t="s">
        <v>1262</v>
      </c>
      <c r="N796" t="s">
        <v>20</v>
      </c>
    </row>
    <row r="797" spans="1:14" x14ac:dyDescent="0.25">
      <c r="A797">
        <v>722</v>
      </c>
      <c r="B797">
        <v>0</v>
      </c>
      <c r="C797">
        <v>3</v>
      </c>
      <c r="D797" t="s">
        <v>1126</v>
      </c>
      <c r="E797" s="4">
        <v>25</v>
      </c>
      <c r="F797" t="s">
        <v>24</v>
      </c>
      <c r="G797">
        <v>17</v>
      </c>
      <c r="H797">
        <v>1</v>
      </c>
      <c r="I797">
        <v>0</v>
      </c>
      <c r="J797">
        <v>350048</v>
      </c>
      <c r="K797">
        <v>7.0541999999999998</v>
      </c>
      <c r="M797" s="4" t="s">
        <v>1262</v>
      </c>
      <c r="N797" t="s">
        <v>20</v>
      </c>
    </row>
    <row r="798" spans="1:14" x14ac:dyDescent="0.25">
      <c r="A798">
        <v>726</v>
      </c>
      <c r="B798">
        <v>0</v>
      </c>
      <c r="C798">
        <v>3</v>
      </c>
      <c r="D798" t="s">
        <v>1127</v>
      </c>
      <c r="E798" s="4">
        <v>19</v>
      </c>
      <c r="F798" t="s">
        <v>24</v>
      </c>
      <c r="G798">
        <v>20</v>
      </c>
      <c r="H798">
        <v>0</v>
      </c>
      <c r="I798">
        <v>0</v>
      </c>
      <c r="J798">
        <v>315094</v>
      </c>
      <c r="K798">
        <v>8.6624999999999996</v>
      </c>
      <c r="M798" s="4" t="s">
        <v>1262</v>
      </c>
      <c r="N798" t="s">
        <v>20</v>
      </c>
    </row>
    <row r="799" spans="1:14" x14ac:dyDescent="0.25">
      <c r="A799">
        <v>649</v>
      </c>
      <c r="B799">
        <v>0</v>
      </c>
      <c r="C799">
        <v>3</v>
      </c>
      <c r="D799" t="s">
        <v>1128</v>
      </c>
      <c r="E799" s="4">
        <v>18</v>
      </c>
      <c r="F799" t="s">
        <v>24</v>
      </c>
      <c r="H799">
        <v>0</v>
      </c>
      <c r="I799">
        <v>0</v>
      </c>
      <c r="J799" t="s">
        <v>1129</v>
      </c>
      <c r="K799">
        <v>7.55</v>
      </c>
      <c r="M799" s="4" t="s">
        <v>1262</v>
      </c>
      <c r="N799" t="s">
        <v>20</v>
      </c>
    </row>
    <row r="800" spans="1:14" x14ac:dyDescent="0.25">
      <c r="A800">
        <v>730</v>
      </c>
      <c r="B800">
        <v>0</v>
      </c>
      <c r="C800">
        <v>3</v>
      </c>
      <c r="D800" t="s">
        <v>1130</v>
      </c>
      <c r="E800" s="4">
        <v>29</v>
      </c>
      <c r="F800" t="s">
        <v>14</v>
      </c>
      <c r="G800">
        <v>25</v>
      </c>
      <c r="H800">
        <v>1</v>
      </c>
      <c r="I800">
        <v>0</v>
      </c>
      <c r="J800" t="s">
        <v>1131</v>
      </c>
      <c r="K800">
        <v>7.9249999999999998</v>
      </c>
      <c r="M800" s="4" t="s">
        <v>1262</v>
      </c>
      <c r="N800" t="s">
        <v>20</v>
      </c>
    </row>
    <row r="801" spans="1:14" x14ac:dyDescent="0.25">
      <c r="A801">
        <v>732</v>
      </c>
      <c r="B801">
        <v>0</v>
      </c>
      <c r="C801">
        <v>3</v>
      </c>
      <c r="D801" t="s">
        <v>1132</v>
      </c>
      <c r="E801" s="4">
        <v>24</v>
      </c>
      <c r="F801" t="s">
        <v>24</v>
      </c>
      <c r="G801">
        <v>11</v>
      </c>
      <c r="H801">
        <v>0</v>
      </c>
      <c r="I801">
        <v>0</v>
      </c>
      <c r="J801">
        <v>2699</v>
      </c>
      <c r="K801">
        <v>18.787500000000001</v>
      </c>
      <c r="M801" s="4" t="s">
        <v>1262</v>
      </c>
      <c r="N801" t="s">
        <v>17</v>
      </c>
    </row>
    <row r="802" spans="1:14" x14ac:dyDescent="0.25">
      <c r="A802">
        <v>155</v>
      </c>
      <c r="B802">
        <v>0</v>
      </c>
      <c r="C802">
        <v>3</v>
      </c>
      <c r="D802" t="s">
        <v>1133</v>
      </c>
      <c r="E802" s="4">
        <v>21</v>
      </c>
      <c r="F802" t="s">
        <v>24</v>
      </c>
      <c r="H802">
        <v>0</v>
      </c>
      <c r="I802">
        <v>0</v>
      </c>
      <c r="J802" t="s">
        <v>1134</v>
      </c>
      <c r="K802">
        <v>7.3125</v>
      </c>
      <c r="M802" s="4" t="s">
        <v>1262</v>
      </c>
      <c r="N802" t="s">
        <v>20</v>
      </c>
    </row>
    <row r="803" spans="1:14" x14ac:dyDescent="0.25">
      <c r="A803">
        <v>736</v>
      </c>
      <c r="B803">
        <v>0</v>
      </c>
      <c r="C803">
        <v>3</v>
      </c>
      <c r="D803" t="s">
        <v>1135</v>
      </c>
      <c r="E803" s="4">
        <v>20</v>
      </c>
      <c r="F803" t="s">
        <v>24</v>
      </c>
      <c r="G803">
        <v>28.5</v>
      </c>
      <c r="H803">
        <v>0</v>
      </c>
      <c r="I803">
        <v>0</v>
      </c>
      <c r="J803">
        <v>54636</v>
      </c>
      <c r="K803">
        <v>16.100000000000001</v>
      </c>
      <c r="M803" s="4" t="s">
        <v>1262</v>
      </c>
      <c r="N803" t="s">
        <v>20</v>
      </c>
    </row>
    <row r="804" spans="1:14" x14ac:dyDescent="0.25">
      <c r="A804">
        <v>737</v>
      </c>
      <c r="B804">
        <v>0</v>
      </c>
      <c r="C804">
        <v>3</v>
      </c>
      <c r="D804" t="s">
        <v>1136</v>
      </c>
      <c r="E804" s="4">
        <v>39</v>
      </c>
      <c r="F804" t="s">
        <v>14</v>
      </c>
      <c r="G804">
        <v>48</v>
      </c>
      <c r="H804">
        <v>1</v>
      </c>
      <c r="I804">
        <v>3</v>
      </c>
      <c r="J804" t="s">
        <v>713</v>
      </c>
      <c r="K804">
        <v>34.375</v>
      </c>
      <c r="M804" s="4" t="s">
        <v>1262</v>
      </c>
      <c r="N804" t="s">
        <v>20</v>
      </c>
    </row>
    <row r="805" spans="1:14" x14ac:dyDescent="0.25">
      <c r="A805">
        <v>251</v>
      </c>
      <c r="B805">
        <v>0</v>
      </c>
      <c r="C805">
        <v>3</v>
      </c>
      <c r="D805" t="s">
        <v>1137</v>
      </c>
      <c r="E805" s="4">
        <v>22</v>
      </c>
      <c r="F805" t="s">
        <v>24</v>
      </c>
      <c r="H805">
        <v>0</v>
      </c>
      <c r="I805">
        <v>0</v>
      </c>
      <c r="J805">
        <v>362316</v>
      </c>
      <c r="K805">
        <v>7.25</v>
      </c>
      <c r="M805" s="4" t="s">
        <v>1262</v>
      </c>
      <c r="N805" t="s">
        <v>20</v>
      </c>
    </row>
    <row r="806" spans="1:14" x14ac:dyDescent="0.25">
      <c r="A806">
        <v>426</v>
      </c>
      <c r="B806">
        <v>0</v>
      </c>
      <c r="C806">
        <v>3</v>
      </c>
      <c r="D806" t="s">
        <v>1138</v>
      </c>
      <c r="E806" s="4">
        <v>22</v>
      </c>
      <c r="F806" t="s">
        <v>24</v>
      </c>
      <c r="H806">
        <v>0</v>
      </c>
      <c r="I806">
        <v>0</v>
      </c>
      <c r="J806" t="s">
        <v>1139</v>
      </c>
      <c r="K806">
        <v>7.25</v>
      </c>
      <c r="M806" s="4" t="s">
        <v>1262</v>
      </c>
      <c r="N806" t="s">
        <v>20</v>
      </c>
    </row>
    <row r="807" spans="1:14" x14ac:dyDescent="0.25">
      <c r="A807">
        <v>471</v>
      </c>
      <c r="B807">
        <v>0</v>
      </c>
      <c r="C807">
        <v>3</v>
      </c>
      <c r="D807" t="s">
        <v>1140</v>
      </c>
      <c r="E807" s="4">
        <v>17</v>
      </c>
      <c r="F807" t="s">
        <v>24</v>
      </c>
      <c r="H807">
        <v>0</v>
      </c>
      <c r="I807">
        <v>0</v>
      </c>
      <c r="J807">
        <v>323592</v>
      </c>
      <c r="K807">
        <v>7.25</v>
      </c>
      <c r="M807" s="4" t="s">
        <v>1262</v>
      </c>
      <c r="N807" t="s">
        <v>20</v>
      </c>
    </row>
    <row r="808" spans="1:14" x14ac:dyDescent="0.25">
      <c r="A808">
        <v>744</v>
      </c>
      <c r="B808">
        <v>0</v>
      </c>
      <c r="C808">
        <v>3</v>
      </c>
      <c r="D808" t="s">
        <v>1141</v>
      </c>
      <c r="E808" s="4">
        <v>17</v>
      </c>
      <c r="F808" t="s">
        <v>24</v>
      </c>
      <c r="G808">
        <v>24</v>
      </c>
      <c r="H808">
        <v>1</v>
      </c>
      <c r="I808">
        <v>0</v>
      </c>
      <c r="J808">
        <v>376566</v>
      </c>
      <c r="K808">
        <v>16.100000000000001</v>
      </c>
      <c r="M808" s="4" t="s">
        <v>1262</v>
      </c>
      <c r="N808" t="s">
        <v>20</v>
      </c>
    </row>
    <row r="809" spans="1:14" x14ac:dyDescent="0.25">
      <c r="A809">
        <v>745</v>
      </c>
      <c r="B809">
        <v>1</v>
      </c>
      <c r="C809">
        <v>3</v>
      </c>
      <c r="D809" t="s">
        <v>1142</v>
      </c>
      <c r="E809" s="4">
        <v>18</v>
      </c>
      <c r="F809" t="s">
        <v>24</v>
      </c>
      <c r="G809">
        <v>31</v>
      </c>
      <c r="H809">
        <v>0</v>
      </c>
      <c r="I809">
        <v>0</v>
      </c>
      <c r="J809" t="s">
        <v>1143</v>
      </c>
      <c r="K809">
        <v>7.9249999999999998</v>
      </c>
      <c r="M809" s="4" t="s">
        <v>1262</v>
      </c>
      <c r="N809" t="s">
        <v>20</v>
      </c>
    </row>
    <row r="810" spans="1:14" x14ac:dyDescent="0.25">
      <c r="A810">
        <v>747</v>
      </c>
      <c r="B810">
        <v>0</v>
      </c>
      <c r="C810">
        <v>3</v>
      </c>
      <c r="D810" t="s">
        <v>1144</v>
      </c>
      <c r="E810" s="4">
        <v>27</v>
      </c>
      <c r="F810" t="s">
        <v>24</v>
      </c>
      <c r="G810">
        <v>16</v>
      </c>
      <c r="H810">
        <v>1</v>
      </c>
      <c r="I810">
        <v>1</v>
      </c>
      <c r="J810" t="s">
        <v>835</v>
      </c>
      <c r="K810">
        <v>20.25</v>
      </c>
      <c r="M810" s="4" t="s">
        <v>1262</v>
      </c>
      <c r="N810" t="s">
        <v>20</v>
      </c>
    </row>
    <row r="811" spans="1:14" x14ac:dyDescent="0.25">
      <c r="A811">
        <v>750</v>
      </c>
      <c r="B811">
        <v>0</v>
      </c>
      <c r="C811">
        <v>3</v>
      </c>
      <c r="D811" t="s">
        <v>1145</v>
      </c>
      <c r="E811" s="4">
        <v>23</v>
      </c>
      <c r="F811" t="s">
        <v>24</v>
      </c>
      <c r="G811">
        <v>31</v>
      </c>
      <c r="H811">
        <v>0</v>
      </c>
      <c r="I811">
        <v>0</v>
      </c>
      <c r="J811">
        <v>335097</v>
      </c>
      <c r="K811">
        <v>7.75</v>
      </c>
      <c r="M811" s="4" t="s">
        <v>1262</v>
      </c>
      <c r="N811" t="s">
        <v>161</v>
      </c>
    </row>
    <row r="812" spans="1:14" x14ac:dyDescent="0.25">
      <c r="A812">
        <v>752</v>
      </c>
      <c r="B812">
        <v>1</v>
      </c>
      <c r="C812">
        <v>3</v>
      </c>
      <c r="D812" t="s">
        <v>1146</v>
      </c>
      <c r="E812" s="4">
        <v>19</v>
      </c>
      <c r="F812" t="s">
        <v>24</v>
      </c>
      <c r="G812">
        <v>6</v>
      </c>
      <c r="H812">
        <v>0</v>
      </c>
      <c r="I812">
        <v>1</v>
      </c>
      <c r="J812">
        <v>392096</v>
      </c>
      <c r="K812">
        <v>12.475</v>
      </c>
      <c r="L812" t="s">
        <v>1147</v>
      </c>
      <c r="M812" s="4" t="s">
        <v>31</v>
      </c>
      <c r="N812" t="s">
        <v>20</v>
      </c>
    </row>
    <row r="813" spans="1:14" x14ac:dyDescent="0.25">
      <c r="A813">
        <v>753</v>
      </c>
      <c r="B813">
        <v>0</v>
      </c>
      <c r="C813">
        <v>3</v>
      </c>
      <c r="D813" t="s">
        <v>1148</v>
      </c>
      <c r="E813" s="4">
        <v>32</v>
      </c>
      <c r="F813" t="s">
        <v>24</v>
      </c>
      <c r="G813">
        <v>33</v>
      </c>
      <c r="H813">
        <v>0</v>
      </c>
      <c r="I813">
        <v>0</v>
      </c>
      <c r="J813">
        <v>345780</v>
      </c>
      <c r="K813">
        <v>9.5</v>
      </c>
      <c r="M813" s="4" t="s">
        <v>1262</v>
      </c>
      <c r="N813" t="s">
        <v>20</v>
      </c>
    </row>
    <row r="814" spans="1:14" x14ac:dyDescent="0.25">
      <c r="A814">
        <v>754</v>
      </c>
      <c r="B814">
        <v>0</v>
      </c>
      <c r="C814">
        <v>3</v>
      </c>
      <c r="D814" t="s">
        <v>1149</v>
      </c>
      <c r="E814" s="4">
        <v>18</v>
      </c>
      <c r="F814" t="s">
        <v>24</v>
      </c>
      <c r="G814">
        <v>23</v>
      </c>
      <c r="H814">
        <v>0</v>
      </c>
      <c r="I814">
        <v>0</v>
      </c>
      <c r="J814">
        <v>349204</v>
      </c>
      <c r="K814">
        <v>7.8958000000000004</v>
      </c>
      <c r="M814" s="4" t="s">
        <v>1262</v>
      </c>
      <c r="N814" t="s">
        <v>20</v>
      </c>
    </row>
    <row r="815" spans="1:14" x14ac:dyDescent="0.25">
      <c r="A815">
        <v>757</v>
      </c>
      <c r="B815">
        <v>0</v>
      </c>
      <c r="C815">
        <v>3</v>
      </c>
      <c r="D815" t="s">
        <v>1150</v>
      </c>
      <c r="E815" s="4">
        <v>28</v>
      </c>
      <c r="F815" t="s">
        <v>24</v>
      </c>
      <c r="G815">
        <v>28</v>
      </c>
      <c r="H815">
        <v>0</v>
      </c>
      <c r="I815">
        <v>0</v>
      </c>
      <c r="J815">
        <v>350042</v>
      </c>
      <c r="K815">
        <v>7.7957999999999998</v>
      </c>
      <c r="M815" s="4" t="s">
        <v>1262</v>
      </c>
      <c r="N815" t="s">
        <v>20</v>
      </c>
    </row>
    <row r="816" spans="1:14" x14ac:dyDescent="0.25">
      <c r="A816">
        <v>759</v>
      </c>
      <c r="B816">
        <v>0</v>
      </c>
      <c r="C816">
        <v>3</v>
      </c>
      <c r="D816" t="s">
        <v>1151</v>
      </c>
      <c r="E816" s="4">
        <v>28</v>
      </c>
      <c r="F816" t="s">
        <v>24</v>
      </c>
      <c r="G816">
        <v>34</v>
      </c>
      <c r="H816">
        <v>0</v>
      </c>
      <c r="I816">
        <v>0</v>
      </c>
      <c r="J816">
        <v>363294</v>
      </c>
      <c r="K816">
        <v>8.0500000000000007</v>
      </c>
      <c r="M816" s="4" t="s">
        <v>1262</v>
      </c>
      <c r="N816" t="s">
        <v>20</v>
      </c>
    </row>
    <row r="817" spans="1:14" x14ac:dyDescent="0.25">
      <c r="A817">
        <v>525</v>
      </c>
      <c r="B817">
        <v>0</v>
      </c>
      <c r="C817">
        <v>3</v>
      </c>
      <c r="D817" t="s">
        <v>1152</v>
      </c>
      <c r="E817" s="4">
        <v>17</v>
      </c>
      <c r="F817" t="s">
        <v>24</v>
      </c>
      <c r="H817">
        <v>0</v>
      </c>
      <c r="I817">
        <v>0</v>
      </c>
      <c r="J817">
        <v>2700</v>
      </c>
      <c r="K817">
        <v>7.2291999999999996</v>
      </c>
      <c r="M817" s="4" t="s">
        <v>1262</v>
      </c>
      <c r="N817" t="s">
        <v>17</v>
      </c>
    </row>
    <row r="818" spans="1:14" x14ac:dyDescent="0.25">
      <c r="A818">
        <v>762</v>
      </c>
      <c r="B818">
        <v>0</v>
      </c>
      <c r="C818">
        <v>3</v>
      </c>
      <c r="D818" t="s">
        <v>1153</v>
      </c>
      <c r="E818" s="4">
        <v>30</v>
      </c>
      <c r="F818" t="s">
        <v>24</v>
      </c>
      <c r="G818">
        <v>41</v>
      </c>
      <c r="H818">
        <v>0</v>
      </c>
      <c r="I818">
        <v>0</v>
      </c>
      <c r="J818" t="s">
        <v>1154</v>
      </c>
      <c r="K818">
        <v>7.125</v>
      </c>
      <c r="M818" s="4" t="s">
        <v>1262</v>
      </c>
      <c r="N818" t="s">
        <v>20</v>
      </c>
    </row>
    <row r="819" spans="1:14" x14ac:dyDescent="0.25">
      <c r="A819">
        <v>763</v>
      </c>
      <c r="B819">
        <v>1</v>
      </c>
      <c r="C819">
        <v>3</v>
      </c>
      <c r="D819" t="s">
        <v>1155</v>
      </c>
      <c r="E819" s="4">
        <v>21</v>
      </c>
      <c r="F819" t="s">
        <v>24</v>
      </c>
      <c r="G819">
        <v>20</v>
      </c>
      <c r="H819">
        <v>0</v>
      </c>
      <c r="I819">
        <v>0</v>
      </c>
      <c r="J819">
        <v>2663</v>
      </c>
      <c r="K819">
        <v>7.2291999999999996</v>
      </c>
      <c r="M819" s="4" t="s">
        <v>1262</v>
      </c>
      <c r="N819" t="s">
        <v>17</v>
      </c>
    </row>
    <row r="820" spans="1:14" x14ac:dyDescent="0.25">
      <c r="A820">
        <v>765</v>
      </c>
      <c r="B820">
        <v>0</v>
      </c>
      <c r="C820">
        <v>3</v>
      </c>
      <c r="D820" t="s">
        <v>1156</v>
      </c>
      <c r="E820" s="4">
        <v>22</v>
      </c>
      <c r="F820" t="s">
        <v>24</v>
      </c>
      <c r="G820">
        <v>16</v>
      </c>
      <c r="H820">
        <v>0</v>
      </c>
      <c r="I820">
        <v>0</v>
      </c>
      <c r="J820">
        <v>347074</v>
      </c>
      <c r="K820">
        <v>7.7750000000000004</v>
      </c>
      <c r="M820" s="4" t="s">
        <v>1262</v>
      </c>
      <c r="N820" t="s">
        <v>20</v>
      </c>
    </row>
    <row r="821" spans="1:14" x14ac:dyDescent="0.25">
      <c r="A821">
        <v>532</v>
      </c>
      <c r="B821">
        <v>0</v>
      </c>
      <c r="C821">
        <v>3</v>
      </c>
      <c r="D821" t="s">
        <v>1157</v>
      </c>
      <c r="E821" s="4">
        <v>17</v>
      </c>
      <c r="F821" t="s">
        <v>24</v>
      </c>
      <c r="H821">
        <v>0</v>
      </c>
      <c r="I821">
        <v>0</v>
      </c>
      <c r="J821">
        <v>2641</v>
      </c>
      <c r="K821">
        <v>7.2291999999999996</v>
      </c>
      <c r="M821" s="4" t="s">
        <v>1262</v>
      </c>
      <c r="N821" t="s">
        <v>17</v>
      </c>
    </row>
    <row r="822" spans="1:14" x14ac:dyDescent="0.25">
      <c r="A822">
        <v>768</v>
      </c>
      <c r="B822">
        <v>0</v>
      </c>
      <c r="C822">
        <v>3</v>
      </c>
      <c r="D822" t="s">
        <v>1158</v>
      </c>
      <c r="E822" s="4">
        <v>18</v>
      </c>
      <c r="F822" t="s">
        <v>14</v>
      </c>
      <c r="G822">
        <v>30.5</v>
      </c>
      <c r="H822">
        <v>0</v>
      </c>
      <c r="I822">
        <v>0</v>
      </c>
      <c r="J822">
        <v>364850</v>
      </c>
      <c r="K822">
        <v>7.75</v>
      </c>
      <c r="M822" s="4" t="s">
        <v>1262</v>
      </c>
      <c r="N822" t="s">
        <v>161</v>
      </c>
    </row>
    <row r="823" spans="1:14" x14ac:dyDescent="0.25">
      <c r="A823">
        <v>569</v>
      </c>
      <c r="B823">
        <v>0</v>
      </c>
      <c r="C823">
        <v>3</v>
      </c>
      <c r="D823" t="s">
        <v>1159</v>
      </c>
      <c r="E823" s="4">
        <v>19</v>
      </c>
      <c r="F823" t="s">
        <v>24</v>
      </c>
      <c r="H823">
        <v>0</v>
      </c>
      <c r="I823">
        <v>0</v>
      </c>
      <c r="J823">
        <v>2686</v>
      </c>
      <c r="K823">
        <v>7.2291999999999996</v>
      </c>
      <c r="M823" s="4" t="s">
        <v>1262</v>
      </c>
      <c r="N823" t="s">
        <v>17</v>
      </c>
    </row>
    <row r="824" spans="1:14" x14ac:dyDescent="0.25">
      <c r="A824">
        <v>770</v>
      </c>
      <c r="B824">
        <v>0</v>
      </c>
      <c r="C824">
        <v>3</v>
      </c>
      <c r="D824" t="s">
        <v>1160</v>
      </c>
      <c r="E824" s="4">
        <v>32</v>
      </c>
      <c r="F824" t="s">
        <v>24</v>
      </c>
      <c r="G824">
        <v>32</v>
      </c>
      <c r="H824">
        <v>0</v>
      </c>
      <c r="I824">
        <v>0</v>
      </c>
      <c r="J824">
        <v>8471</v>
      </c>
      <c r="K824">
        <v>8.3625000000000007</v>
      </c>
      <c r="M824" s="4" t="s">
        <v>1262</v>
      </c>
      <c r="N824" t="s">
        <v>20</v>
      </c>
    </row>
    <row r="825" spans="1:14" x14ac:dyDescent="0.25">
      <c r="A825">
        <v>771</v>
      </c>
      <c r="B825">
        <v>0</v>
      </c>
      <c r="C825">
        <v>3</v>
      </c>
      <c r="D825" t="s">
        <v>1161</v>
      </c>
      <c r="E825" s="4">
        <v>22</v>
      </c>
      <c r="F825" t="s">
        <v>24</v>
      </c>
      <c r="G825">
        <v>24</v>
      </c>
      <c r="H825">
        <v>0</v>
      </c>
      <c r="I825">
        <v>0</v>
      </c>
      <c r="J825">
        <v>345781</v>
      </c>
      <c r="K825">
        <v>9.5</v>
      </c>
      <c r="M825" s="4" t="s">
        <v>1262</v>
      </c>
      <c r="N825" t="s">
        <v>20</v>
      </c>
    </row>
    <row r="826" spans="1:14" x14ac:dyDescent="0.25">
      <c r="A826">
        <v>772</v>
      </c>
      <c r="B826">
        <v>0</v>
      </c>
      <c r="C826">
        <v>3</v>
      </c>
      <c r="D826" t="s">
        <v>1162</v>
      </c>
      <c r="E826" s="4">
        <v>23</v>
      </c>
      <c r="F826" t="s">
        <v>24</v>
      </c>
      <c r="G826">
        <v>48</v>
      </c>
      <c r="H826">
        <v>0</v>
      </c>
      <c r="I826">
        <v>0</v>
      </c>
      <c r="J826">
        <v>350047</v>
      </c>
      <c r="K826">
        <v>7.8541999999999996</v>
      </c>
      <c r="M826" s="4" t="s">
        <v>1262</v>
      </c>
      <c r="N826" t="s">
        <v>20</v>
      </c>
    </row>
    <row r="827" spans="1:14" x14ac:dyDescent="0.25">
      <c r="A827">
        <v>833</v>
      </c>
      <c r="B827">
        <v>0</v>
      </c>
      <c r="C827">
        <v>3</v>
      </c>
      <c r="D827" t="s">
        <v>1163</v>
      </c>
      <c r="E827" s="4">
        <v>14</v>
      </c>
      <c r="F827" t="s">
        <v>24</v>
      </c>
      <c r="H827">
        <v>0</v>
      </c>
      <c r="I827">
        <v>0</v>
      </c>
      <c r="J827">
        <v>2671</v>
      </c>
      <c r="K827">
        <v>7.2291999999999996</v>
      </c>
      <c r="M827" s="4" t="s">
        <v>1262</v>
      </c>
      <c r="N827" t="s">
        <v>17</v>
      </c>
    </row>
    <row r="828" spans="1:14" x14ac:dyDescent="0.25">
      <c r="A828">
        <v>776</v>
      </c>
      <c r="B828">
        <v>0</v>
      </c>
      <c r="C828">
        <v>3</v>
      </c>
      <c r="D828" t="s">
        <v>1164</v>
      </c>
      <c r="E828" s="4">
        <v>39</v>
      </c>
      <c r="F828" t="s">
        <v>24</v>
      </c>
      <c r="G828">
        <v>18</v>
      </c>
      <c r="H828">
        <v>0</v>
      </c>
      <c r="I828">
        <v>0</v>
      </c>
      <c r="J828">
        <v>347078</v>
      </c>
      <c r="K828">
        <v>7.75</v>
      </c>
      <c r="M828" s="4" t="s">
        <v>1262</v>
      </c>
      <c r="N828" t="s">
        <v>20</v>
      </c>
    </row>
    <row r="829" spans="1:14" x14ac:dyDescent="0.25">
      <c r="A829">
        <v>860</v>
      </c>
      <c r="B829">
        <v>0</v>
      </c>
      <c r="C829">
        <v>3</v>
      </c>
      <c r="D829" t="s">
        <v>1165</v>
      </c>
      <c r="E829" s="4">
        <v>16</v>
      </c>
      <c r="F829" t="s">
        <v>24</v>
      </c>
      <c r="H829">
        <v>0</v>
      </c>
      <c r="I829">
        <v>0</v>
      </c>
      <c r="J829">
        <v>2629</v>
      </c>
      <c r="K829">
        <v>7.2291999999999996</v>
      </c>
      <c r="M829" s="4" t="s">
        <v>1262</v>
      </c>
      <c r="N829" t="s">
        <v>17</v>
      </c>
    </row>
    <row r="830" spans="1:14" x14ac:dyDescent="0.25">
      <c r="A830">
        <v>778</v>
      </c>
      <c r="B830">
        <v>1</v>
      </c>
      <c r="C830">
        <v>3</v>
      </c>
      <c r="D830" t="s">
        <v>1166</v>
      </c>
      <c r="E830" s="4">
        <v>29</v>
      </c>
      <c r="F830" t="s">
        <v>14</v>
      </c>
      <c r="G830">
        <v>5</v>
      </c>
      <c r="H830">
        <v>0</v>
      </c>
      <c r="I830">
        <v>0</v>
      </c>
      <c r="J830">
        <v>364516</v>
      </c>
      <c r="K830">
        <v>12.475</v>
      </c>
      <c r="M830" s="4" t="s">
        <v>1262</v>
      </c>
      <c r="N830" t="s">
        <v>20</v>
      </c>
    </row>
    <row r="831" spans="1:14" x14ac:dyDescent="0.25">
      <c r="A831">
        <v>37</v>
      </c>
      <c r="B831">
        <v>1</v>
      </c>
      <c r="C831">
        <v>3</v>
      </c>
      <c r="D831" t="s">
        <v>1167</v>
      </c>
      <c r="E831" s="4">
        <v>16</v>
      </c>
      <c r="F831" t="s">
        <v>24</v>
      </c>
      <c r="H831">
        <v>0</v>
      </c>
      <c r="I831">
        <v>0</v>
      </c>
      <c r="J831">
        <v>2677</v>
      </c>
      <c r="K831">
        <v>7.2291999999999996</v>
      </c>
      <c r="M831" s="4" t="s">
        <v>1262</v>
      </c>
      <c r="N831" t="s">
        <v>17</v>
      </c>
    </row>
    <row r="832" spans="1:14" x14ac:dyDescent="0.25">
      <c r="A832">
        <v>781</v>
      </c>
      <c r="B832">
        <v>1</v>
      </c>
      <c r="C832">
        <v>3</v>
      </c>
      <c r="D832" t="s">
        <v>1168</v>
      </c>
      <c r="E832" s="4">
        <v>20</v>
      </c>
      <c r="F832" t="s">
        <v>14</v>
      </c>
      <c r="G832">
        <v>13</v>
      </c>
      <c r="H832">
        <v>0</v>
      </c>
      <c r="I832">
        <v>0</v>
      </c>
      <c r="J832">
        <v>2687</v>
      </c>
      <c r="K832">
        <v>7.2291999999999996</v>
      </c>
      <c r="M832" s="4" t="s">
        <v>1262</v>
      </c>
      <c r="N832" t="s">
        <v>17</v>
      </c>
    </row>
    <row r="833" spans="1:14" x14ac:dyDescent="0.25">
      <c r="A833">
        <v>368</v>
      </c>
      <c r="B833">
        <v>1</v>
      </c>
      <c r="C833">
        <v>3</v>
      </c>
      <c r="D833" t="s">
        <v>1169</v>
      </c>
      <c r="E833" s="4">
        <v>30</v>
      </c>
      <c r="F833" t="s">
        <v>14</v>
      </c>
      <c r="H833">
        <v>0</v>
      </c>
      <c r="I833">
        <v>0</v>
      </c>
      <c r="J833">
        <v>2626</v>
      </c>
      <c r="K833">
        <v>7.2291999999999996</v>
      </c>
      <c r="M833" s="4" t="s">
        <v>1262</v>
      </c>
      <c r="N833" t="s">
        <v>17</v>
      </c>
    </row>
    <row r="834" spans="1:14" x14ac:dyDescent="0.25">
      <c r="A834">
        <v>785</v>
      </c>
      <c r="B834">
        <v>0</v>
      </c>
      <c r="C834">
        <v>3</v>
      </c>
      <c r="D834" t="s">
        <v>1170</v>
      </c>
      <c r="E834" s="4">
        <v>16</v>
      </c>
      <c r="F834" t="s">
        <v>24</v>
      </c>
      <c r="G834">
        <v>25</v>
      </c>
      <c r="H834">
        <v>0</v>
      </c>
      <c r="I834">
        <v>0</v>
      </c>
      <c r="J834" t="s">
        <v>1171</v>
      </c>
      <c r="K834">
        <v>7.05</v>
      </c>
      <c r="M834" s="4" t="s">
        <v>1262</v>
      </c>
      <c r="N834" t="s">
        <v>20</v>
      </c>
    </row>
    <row r="835" spans="1:14" x14ac:dyDescent="0.25">
      <c r="A835">
        <v>786</v>
      </c>
      <c r="B835">
        <v>0</v>
      </c>
      <c r="C835">
        <v>3</v>
      </c>
      <c r="D835" t="s">
        <v>1172</v>
      </c>
      <c r="E835" s="4">
        <v>34</v>
      </c>
      <c r="F835" t="s">
        <v>24</v>
      </c>
      <c r="G835">
        <v>25</v>
      </c>
      <c r="H835">
        <v>0</v>
      </c>
      <c r="I835">
        <v>0</v>
      </c>
      <c r="J835">
        <v>374887</v>
      </c>
      <c r="K835">
        <v>7.25</v>
      </c>
      <c r="M835" s="4" t="s">
        <v>1262</v>
      </c>
      <c r="N835" t="s">
        <v>20</v>
      </c>
    </row>
    <row r="836" spans="1:14" x14ac:dyDescent="0.25">
      <c r="A836">
        <v>787</v>
      </c>
      <c r="B836">
        <v>1</v>
      </c>
      <c r="C836">
        <v>3</v>
      </c>
      <c r="D836" t="s">
        <v>1173</v>
      </c>
      <c r="E836" s="4">
        <v>25</v>
      </c>
      <c r="F836" t="s">
        <v>14</v>
      </c>
      <c r="G836">
        <v>18</v>
      </c>
      <c r="H836">
        <v>0</v>
      </c>
      <c r="I836">
        <v>0</v>
      </c>
      <c r="J836">
        <v>3101265</v>
      </c>
      <c r="K836">
        <v>7.4958</v>
      </c>
      <c r="M836" s="4" t="s">
        <v>1262</v>
      </c>
      <c r="N836" t="s">
        <v>20</v>
      </c>
    </row>
    <row r="837" spans="1:14" x14ac:dyDescent="0.25">
      <c r="A837">
        <v>788</v>
      </c>
      <c r="B837">
        <v>0</v>
      </c>
      <c r="C837">
        <v>3</v>
      </c>
      <c r="D837" t="s">
        <v>1174</v>
      </c>
      <c r="E837" s="4">
        <v>25</v>
      </c>
      <c r="F837" t="s">
        <v>24</v>
      </c>
      <c r="G837">
        <v>8</v>
      </c>
      <c r="H837">
        <v>4</v>
      </c>
      <c r="I837">
        <v>1</v>
      </c>
      <c r="J837">
        <v>382652</v>
      </c>
      <c r="K837">
        <v>29.125</v>
      </c>
      <c r="M837" s="4" t="s">
        <v>1262</v>
      </c>
      <c r="N837" t="s">
        <v>161</v>
      </c>
    </row>
    <row r="838" spans="1:14" x14ac:dyDescent="0.25">
      <c r="A838">
        <v>789</v>
      </c>
      <c r="B838">
        <v>1</v>
      </c>
      <c r="C838">
        <v>3</v>
      </c>
      <c r="D838" t="s">
        <v>1175</v>
      </c>
      <c r="E838" s="4">
        <v>26</v>
      </c>
      <c r="F838" t="s">
        <v>24</v>
      </c>
      <c r="G838">
        <v>1</v>
      </c>
      <c r="H838">
        <v>1</v>
      </c>
      <c r="I838">
        <v>2</v>
      </c>
      <c r="J838" t="s">
        <v>718</v>
      </c>
      <c r="K838">
        <v>20.574999999999999</v>
      </c>
      <c r="M838" s="4" t="s">
        <v>1262</v>
      </c>
      <c r="N838" t="s">
        <v>20</v>
      </c>
    </row>
    <row r="839" spans="1:14" x14ac:dyDescent="0.25">
      <c r="A839">
        <v>27</v>
      </c>
      <c r="B839">
        <v>0</v>
      </c>
      <c r="C839">
        <v>3</v>
      </c>
      <c r="D839" t="s">
        <v>1176</v>
      </c>
      <c r="E839" s="4">
        <v>23</v>
      </c>
      <c r="F839" t="s">
        <v>24</v>
      </c>
      <c r="H839">
        <v>0</v>
      </c>
      <c r="I839">
        <v>0</v>
      </c>
      <c r="J839">
        <v>2631</v>
      </c>
      <c r="K839">
        <v>7.2249999999999996</v>
      </c>
      <c r="M839" s="4" t="s">
        <v>1262</v>
      </c>
      <c r="N839" t="s">
        <v>17</v>
      </c>
    </row>
    <row r="840" spans="1:14" x14ac:dyDescent="0.25">
      <c r="A840">
        <v>355</v>
      </c>
      <c r="B840">
        <v>0</v>
      </c>
      <c r="C840">
        <v>3</v>
      </c>
      <c r="D840" t="s">
        <v>1177</v>
      </c>
      <c r="E840" s="4">
        <v>17</v>
      </c>
      <c r="F840" t="s">
        <v>24</v>
      </c>
      <c r="H840">
        <v>0</v>
      </c>
      <c r="I840">
        <v>0</v>
      </c>
      <c r="J840">
        <v>2647</v>
      </c>
      <c r="K840">
        <v>7.2249999999999996</v>
      </c>
      <c r="M840" s="4" t="s">
        <v>1262</v>
      </c>
      <c r="N840" t="s">
        <v>17</v>
      </c>
    </row>
    <row r="841" spans="1:14" x14ac:dyDescent="0.25">
      <c r="A841">
        <v>523</v>
      </c>
      <c r="B841">
        <v>0</v>
      </c>
      <c r="C841">
        <v>3</v>
      </c>
      <c r="D841" t="s">
        <v>1178</v>
      </c>
      <c r="E841" s="4">
        <v>18</v>
      </c>
      <c r="F841" t="s">
        <v>24</v>
      </c>
      <c r="H841">
        <v>0</v>
      </c>
      <c r="I841">
        <v>0</v>
      </c>
      <c r="J841">
        <v>2624</v>
      </c>
      <c r="K841">
        <v>7.2249999999999996</v>
      </c>
      <c r="M841" s="4" t="s">
        <v>1262</v>
      </c>
      <c r="N841" t="s">
        <v>17</v>
      </c>
    </row>
    <row r="842" spans="1:14" x14ac:dyDescent="0.25">
      <c r="A842">
        <v>795</v>
      </c>
      <c r="B842">
        <v>0</v>
      </c>
      <c r="C842">
        <v>3</v>
      </c>
      <c r="D842" t="s">
        <v>1179</v>
      </c>
      <c r="E842" s="4">
        <v>21</v>
      </c>
      <c r="F842" t="s">
        <v>24</v>
      </c>
      <c r="G842">
        <v>25</v>
      </c>
      <c r="H842">
        <v>0</v>
      </c>
      <c r="I842">
        <v>0</v>
      </c>
      <c r="J842">
        <v>349203</v>
      </c>
      <c r="K842">
        <v>7.8958000000000004</v>
      </c>
      <c r="M842" s="4" t="s">
        <v>1262</v>
      </c>
      <c r="N842" t="s">
        <v>20</v>
      </c>
    </row>
    <row r="843" spans="1:14" x14ac:dyDescent="0.25">
      <c r="A843">
        <v>798</v>
      </c>
      <c r="B843">
        <v>1</v>
      </c>
      <c r="C843">
        <v>3</v>
      </c>
      <c r="D843" t="s">
        <v>1180</v>
      </c>
      <c r="E843" s="4">
        <v>16</v>
      </c>
      <c r="F843" t="s">
        <v>14</v>
      </c>
      <c r="G843">
        <v>31</v>
      </c>
      <c r="H843">
        <v>0</v>
      </c>
      <c r="I843">
        <v>0</v>
      </c>
      <c r="J843">
        <v>349244</v>
      </c>
      <c r="K843">
        <v>8.6832999999999991</v>
      </c>
      <c r="M843" s="4" t="s">
        <v>1262</v>
      </c>
      <c r="N843" t="s">
        <v>20</v>
      </c>
    </row>
    <row r="844" spans="1:14" x14ac:dyDescent="0.25">
      <c r="A844">
        <v>799</v>
      </c>
      <c r="B844">
        <v>0</v>
      </c>
      <c r="C844">
        <v>3</v>
      </c>
      <c r="D844" t="s">
        <v>1181</v>
      </c>
      <c r="E844" s="4">
        <v>28</v>
      </c>
      <c r="F844" t="s">
        <v>24</v>
      </c>
      <c r="G844">
        <v>30</v>
      </c>
      <c r="H844">
        <v>0</v>
      </c>
      <c r="I844">
        <v>0</v>
      </c>
      <c r="J844">
        <v>2685</v>
      </c>
      <c r="K844">
        <v>7.2291999999999996</v>
      </c>
      <c r="M844" s="4" t="s">
        <v>1262</v>
      </c>
      <c r="N844" t="s">
        <v>17</v>
      </c>
    </row>
    <row r="845" spans="1:14" x14ac:dyDescent="0.25">
      <c r="A845">
        <v>800</v>
      </c>
      <c r="B845">
        <v>0</v>
      </c>
      <c r="C845">
        <v>3</v>
      </c>
      <c r="D845" t="s">
        <v>1182</v>
      </c>
      <c r="E845" s="4">
        <v>52</v>
      </c>
      <c r="F845" t="s">
        <v>14</v>
      </c>
      <c r="G845">
        <v>30</v>
      </c>
      <c r="H845">
        <v>1</v>
      </c>
      <c r="I845">
        <v>1</v>
      </c>
      <c r="J845">
        <v>345773</v>
      </c>
      <c r="K845">
        <v>24.15</v>
      </c>
      <c r="M845" s="4" t="s">
        <v>1262</v>
      </c>
      <c r="N845" t="s">
        <v>20</v>
      </c>
    </row>
    <row r="846" spans="1:14" x14ac:dyDescent="0.25">
      <c r="A846">
        <v>804</v>
      </c>
      <c r="B846">
        <v>1</v>
      </c>
      <c r="C846">
        <v>3</v>
      </c>
      <c r="D846" t="s">
        <v>1183</v>
      </c>
      <c r="E846" s="4">
        <v>31</v>
      </c>
      <c r="F846" t="s">
        <v>24</v>
      </c>
      <c r="G846">
        <v>0.42</v>
      </c>
      <c r="H846">
        <v>0</v>
      </c>
      <c r="I846">
        <v>1</v>
      </c>
      <c r="J846">
        <v>2625</v>
      </c>
      <c r="K846">
        <v>8.5167000000000002</v>
      </c>
      <c r="M846" s="4" t="s">
        <v>1262</v>
      </c>
      <c r="N846" t="s">
        <v>17</v>
      </c>
    </row>
    <row r="847" spans="1:14" x14ac:dyDescent="0.25">
      <c r="A847">
        <v>805</v>
      </c>
      <c r="B847">
        <v>1</v>
      </c>
      <c r="C847">
        <v>3</v>
      </c>
      <c r="D847" t="s">
        <v>1184</v>
      </c>
      <c r="E847" s="4">
        <v>23</v>
      </c>
      <c r="F847" t="s">
        <v>24</v>
      </c>
      <c r="G847">
        <v>27</v>
      </c>
      <c r="H847">
        <v>0</v>
      </c>
      <c r="I847">
        <v>0</v>
      </c>
      <c r="J847">
        <v>347089</v>
      </c>
      <c r="K847">
        <v>6.9749999999999996</v>
      </c>
      <c r="M847" s="4" t="s">
        <v>1262</v>
      </c>
      <c r="N847" t="s">
        <v>20</v>
      </c>
    </row>
    <row r="848" spans="1:14" x14ac:dyDescent="0.25">
      <c r="A848">
        <v>806</v>
      </c>
      <c r="B848">
        <v>0</v>
      </c>
      <c r="C848">
        <v>3</v>
      </c>
      <c r="D848" t="s">
        <v>1185</v>
      </c>
      <c r="E848" s="4">
        <v>25</v>
      </c>
      <c r="F848" t="s">
        <v>24</v>
      </c>
      <c r="G848">
        <v>31</v>
      </c>
      <c r="H848">
        <v>0</v>
      </c>
      <c r="I848">
        <v>0</v>
      </c>
      <c r="J848">
        <v>347063</v>
      </c>
      <c r="K848">
        <v>7.7750000000000004</v>
      </c>
      <c r="M848" s="4" t="s">
        <v>1262</v>
      </c>
      <c r="N848" t="s">
        <v>20</v>
      </c>
    </row>
    <row r="849" spans="1:14" x14ac:dyDescent="0.25">
      <c r="A849">
        <v>808</v>
      </c>
      <c r="B849">
        <v>0</v>
      </c>
      <c r="C849">
        <v>3</v>
      </c>
      <c r="D849" t="s">
        <v>1186</v>
      </c>
      <c r="E849" s="4">
        <v>31</v>
      </c>
      <c r="F849" t="s">
        <v>14</v>
      </c>
      <c r="G849">
        <v>18</v>
      </c>
      <c r="H849">
        <v>0</v>
      </c>
      <c r="I849">
        <v>0</v>
      </c>
      <c r="J849">
        <v>347087</v>
      </c>
      <c r="K849">
        <v>7.7750000000000004</v>
      </c>
      <c r="M849" s="4" t="s">
        <v>1262</v>
      </c>
      <c r="N849" t="s">
        <v>20</v>
      </c>
    </row>
    <row r="850" spans="1:14" x14ac:dyDescent="0.25">
      <c r="A850">
        <v>811</v>
      </c>
      <c r="B850">
        <v>0</v>
      </c>
      <c r="C850">
        <v>3</v>
      </c>
      <c r="D850" t="s">
        <v>1187</v>
      </c>
      <c r="E850" s="4">
        <v>22</v>
      </c>
      <c r="F850" t="s">
        <v>24</v>
      </c>
      <c r="G850">
        <v>26</v>
      </c>
      <c r="H850">
        <v>0</v>
      </c>
      <c r="I850">
        <v>0</v>
      </c>
      <c r="J850">
        <v>3474</v>
      </c>
      <c r="K850">
        <v>7.8875000000000002</v>
      </c>
      <c r="M850" s="4" t="s">
        <v>1262</v>
      </c>
      <c r="N850" t="s">
        <v>20</v>
      </c>
    </row>
    <row r="851" spans="1:14" x14ac:dyDescent="0.25">
      <c r="A851">
        <v>812</v>
      </c>
      <c r="B851">
        <v>0</v>
      </c>
      <c r="C851">
        <v>3</v>
      </c>
      <c r="D851" t="s">
        <v>1188</v>
      </c>
      <c r="E851" s="4">
        <v>17</v>
      </c>
      <c r="F851" t="s">
        <v>24</v>
      </c>
      <c r="G851">
        <v>39</v>
      </c>
      <c r="H851">
        <v>0</v>
      </c>
      <c r="I851">
        <v>0</v>
      </c>
      <c r="J851" t="s">
        <v>1026</v>
      </c>
      <c r="K851">
        <v>24.15</v>
      </c>
      <c r="M851" s="4" t="s">
        <v>1262</v>
      </c>
      <c r="N851" t="s">
        <v>20</v>
      </c>
    </row>
    <row r="852" spans="1:14" x14ac:dyDescent="0.25">
      <c r="A852">
        <v>814</v>
      </c>
      <c r="B852">
        <v>0</v>
      </c>
      <c r="C852">
        <v>3</v>
      </c>
      <c r="D852" t="s">
        <v>1189</v>
      </c>
      <c r="E852" s="4">
        <v>34</v>
      </c>
      <c r="F852" t="s">
        <v>14</v>
      </c>
      <c r="G852">
        <v>6</v>
      </c>
      <c r="H852">
        <v>4</v>
      </c>
      <c r="I852">
        <v>2</v>
      </c>
      <c r="J852">
        <v>347082</v>
      </c>
      <c r="K852">
        <v>31.274999999999999</v>
      </c>
      <c r="M852" s="4" t="s">
        <v>1262</v>
      </c>
      <c r="N852" t="s">
        <v>20</v>
      </c>
    </row>
    <row r="853" spans="1:14" x14ac:dyDescent="0.25">
      <c r="A853">
        <v>815</v>
      </c>
      <c r="B853">
        <v>0</v>
      </c>
      <c r="C853">
        <v>3</v>
      </c>
      <c r="D853" t="s">
        <v>1190</v>
      </c>
      <c r="E853" s="4">
        <v>26</v>
      </c>
      <c r="F853" t="s">
        <v>24</v>
      </c>
      <c r="G853">
        <v>30.5</v>
      </c>
      <c r="H853">
        <v>0</v>
      </c>
      <c r="I853">
        <v>0</v>
      </c>
      <c r="J853">
        <v>364499</v>
      </c>
      <c r="K853">
        <v>8.0500000000000007</v>
      </c>
      <c r="M853" s="4" t="s">
        <v>1262</v>
      </c>
      <c r="N853" t="s">
        <v>20</v>
      </c>
    </row>
    <row r="854" spans="1:14" x14ac:dyDescent="0.25">
      <c r="A854">
        <v>599</v>
      </c>
      <c r="B854">
        <v>0</v>
      </c>
      <c r="C854">
        <v>3</v>
      </c>
      <c r="D854" t="s">
        <v>1191</v>
      </c>
      <c r="E854" s="4">
        <v>17</v>
      </c>
      <c r="F854" t="s">
        <v>24</v>
      </c>
      <c r="H854">
        <v>0</v>
      </c>
      <c r="I854">
        <v>0</v>
      </c>
      <c r="J854">
        <v>2664</v>
      </c>
      <c r="K854">
        <v>7.2249999999999996</v>
      </c>
      <c r="M854" s="4" t="s">
        <v>1262</v>
      </c>
      <c r="N854" t="s">
        <v>17</v>
      </c>
    </row>
    <row r="855" spans="1:14" x14ac:dyDescent="0.25">
      <c r="A855">
        <v>817</v>
      </c>
      <c r="B855">
        <v>0</v>
      </c>
      <c r="C855">
        <v>3</v>
      </c>
      <c r="D855" t="s">
        <v>1192</v>
      </c>
      <c r="E855" s="4">
        <v>28</v>
      </c>
      <c r="F855" t="s">
        <v>14</v>
      </c>
      <c r="G855">
        <v>23</v>
      </c>
      <c r="H855">
        <v>0</v>
      </c>
      <c r="I855">
        <v>0</v>
      </c>
      <c r="J855" t="s">
        <v>1193</v>
      </c>
      <c r="K855">
        <v>7.9249999999999998</v>
      </c>
      <c r="M855" s="4" t="s">
        <v>1262</v>
      </c>
      <c r="N855" t="s">
        <v>20</v>
      </c>
    </row>
    <row r="856" spans="1:14" x14ac:dyDescent="0.25">
      <c r="A856">
        <v>819</v>
      </c>
      <c r="B856">
        <v>0</v>
      </c>
      <c r="C856">
        <v>3</v>
      </c>
      <c r="D856" t="s">
        <v>1194</v>
      </c>
      <c r="E856" s="4">
        <v>32</v>
      </c>
      <c r="F856" t="s">
        <v>24</v>
      </c>
      <c r="G856">
        <v>43</v>
      </c>
      <c r="H856">
        <v>0</v>
      </c>
      <c r="I856">
        <v>0</v>
      </c>
      <c r="J856" t="s">
        <v>1195</v>
      </c>
      <c r="K856">
        <v>6.45</v>
      </c>
      <c r="M856" s="4" t="s">
        <v>1262</v>
      </c>
      <c r="N856" t="s">
        <v>20</v>
      </c>
    </row>
    <row r="857" spans="1:14" x14ac:dyDescent="0.25">
      <c r="A857">
        <v>820</v>
      </c>
      <c r="B857">
        <v>0</v>
      </c>
      <c r="C857">
        <v>3</v>
      </c>
      <c r="D857" t="s">
        <v>1196</v>
      </c>
      <c r="E857" s="4">
        <v>28</v>
      </c>
      <c r="F857" t="s">
        <v>24</v>
      </c>
      <c r="G857">
        <v>10</v>
      </c>
      <c r="H857">
        <v>3</v>
      </c>
      <c r="I857">
        <v>2</v>
      </c>
      <c r="J857">
        <v>347088</v>
      </c>
      <c r="K857">
        <v>27.9</v>
      </c>
      <c r="M857" s="4" t="s">
        <v>1262</v>
      </c>
      <c r="N857" t="s">
        <v>20</v>
      </c>
    </row>
    <row r="858" spans="1:14" x14ac:dyDescent="0.25">
      <c r="A858">
        <v>822</v>
      </c>
      <c r="B858">
        <v>1</v>
      </c>
      <c r="C858">
        <v>3</v>
      </c>
      <c r="D858" t="s">
        <v>1197</v>
      </c>
      <c r="E858" s="4">
        <v>17</v>
      </c>
      <c r="F858" t="s">
        <v>24</v>
      </c>
      <c r="G858">
        <v>27</v>
      </c>
      <c r="H858">
        <v>0</v>
      </c>
      <c r="I858">
        <v>0</v>
      </c>
      <c r="J858">
        <v>315098</v>
      </c>
      <c r="K858">
        <v>8.6624999999999996</v>
      </c>
      <c r="M858" s="4" t="s">
        <v>1262</v>
      </c>
      <c r="N858" t="s">
        <v>20</v>
      </c>
    </row>
    <row r="859" spans="1:14" x14ac:dyDescent="0.25">
      <c r="A859">
        <v>824</v>
      </c>
      <c r="B859">
        <v>1</v>
      </c>
      <c r="C859">
        <v>3</v>
      </c>
      <c r="D859" t="s">
        <v>1198</v>
      </c>
      <c r="E859" s="4">
        <v>18</v>
      </c>
      <c r="F859" t="s">
        <v>14</v>
      </c>
      <c r="G859">
        <v>27</v>
      </c>
      <c r="H859">
        <v>0</v>
      </c>
      <c r="I859">
        <v>1</v>
      </c>
      <c r="J859">
        <v>392096</v>
      </c>
      <c r="K859">
        <v>12.475</v>
      </c>
      <c r="L859" t="s">
        <v>1147</v>
      </c>
      <c r="M859" s="4" t="s">
        <v>31</v>
      </c>
      <c r="N859" t="s">
        <v>20</v>
      </c>
    </row>
    <row r="860" spans="1:14" x14ac:dyDescent="0.25">
      <c r="A860">
        <v>825</v>
      </c>
      <c r="B860">
        <v>0</v>
      </c>
      <c r="C860">
        <v>3</v>
      </c>
      <c r="D860" t="s">
        <v>1199</v>
      </c>
      <c r="E860" s="4">
        <v>28</v>
      </c>
      <c r="F860" t="s">
        <v>24</v>
      </c>
      <c r="G860">
        <v>2</v>
      </c>
      <c r="H860">
        <v>4</v>
      </c>
      <c r="I860">
        <v>1</v>
      </c>
      <c r="J860">
        <v>3101295</v>
      </c>
      <c r="K860">
        <v>39.6875</v>
      </c>
      <c r="M860" s="4" t="s">
        <v>1262</v>
      </c>
      <c r="N860" t="s">
        <v>20</v>
      </c>
    </row>
    <row r="861" spans="1:14" x14ac:dyDescent="0.25">
      <c r="A861">
        <v>774</v>
      </c>
      <c r="B861">
        <v>0</v>
      </c>
      <c r="C861">
        <v>3</v>
      </c>
      <c r="D861" t="s">
        <v>1200</v>
      </c>
      <c r="E861" s="4">
        <v>15</v>
      </c>
      <c r="F861" t="s">
        <v>24</v>
      </c>
      <c r="H861">
        <v>0</v>
      </c>
      <c r="I861">
        <v>0</v>
      </c>
      <c r="J861">
        <v>2674</v>
      </c>
      <c r="K861">
        <v>7.2249999999999996</v>
      </c>
      <c r="M861" s="4" t="s">
        <v>1262</v>
      </c>
      <c r="N861" t="s">
        <v>17</v>
      </c>
    </row>
    <row r="862" spans="1:14" x14ac:dyDescent="0.25">
      <c r="A862">
        <v>20</v>
      </c>
      <c r="B862">
        <v>1</v>
      </c>
      <c r="C862">
        <v>3</v>
      </c>
      <c r="D862" t="s">
        <v>1201</v>
      </c>
      <c r="E862" s="4">
        <v>23</v>
      </c>
      <c r="F862" t="s">
        <v>14</v>
      </c>
      <c r="H862">
        <v>0</v>
      </c>
      <c r="I862">
        <v>0</v>
      </c>
      <c r="J862">
        <v>2649</v>
      </c>
      <c r="K862">
        <v>7.2249999999999996</v>
      </c>
      <c r="M862" s="4" t="s">
        <v>1262</v>
      </c>
      <c r="N862" t="s">
        <v>17</v>
      </c>
    </row>
    <row r="863" spans="1:14" x14ac:dyDescent="0.25">
      <c r="A863">
        <v>612</v>
      </c>
      <c r="B863">
        <v>0</v>
      </c>
      <c r="C863">
        <v>3</v>
      </c>
      <c r="D863" t="s">
        <v>1202</v>
      </c>
      <c r="E863" s="4">
        <v>21</v>
      </c>
      <c r="F863" t="s">
        <v>24</v>
      </c>
      <c r="H863">
        <v>0</v>
      </c>
      <c r="I863">
        <v>0</v>
      </c>
      <c r="J863" t="s">
        <v>1203</v>
      </c>
      <c r="K863">
        <v>7.05</v>
      </c>
      <c r="M863" s="4" t="s">
        <v>1262</v>
      </c>
      <c r="N863" t="s">
        <v>20</v>
      </c>
    </row>
    <row r="864" spans="1:14" x14ac:dyDescent="0.25">
      <c r="A864">
        <v>831</v>
      </c>
      <c r="B864">
        <v>1</v>
      </c>
      <c r="C864">
        <v>3</v>
      </c>
      <c r="D864" t="s">
        <v>1204</v>
      </c>
      <c r="E864" s="4">
        <v>39</v>
      </c>
      <c r="F864" t="s">
        <v>14</v>
      </c>
      <c r="G864">
        <v>15</v>
      </c>
      <c r="H864">
        <v>1</v>
      </c>
      <c r="I864">
        <v>0</v>
      </c>
      <c r="J864">
        <v>2659</v>
      </c>
      <c r="K864">
        <v>14.4542</v>
      </c>
      <c r="M864" s="4" t="s">
        <v>1262</v>
      </c>
      <c r="N864" t="s">
        <v>17</v>
      </c>
    </row>
    <row r="865" spans="1:14" x14ac:dyDescent="0.25">
      <c r="A865">
        <v>826</v>
      </c>
      <c r="B865">
        <v>0</v>
      </c>
      <c r="C865">
        <v>3</v>
      </c>
      <c r="D865" t="s">
        <v>1205</v>
      </c>
      <c r="E865" s="4">
        <v>15</v>
      </c>
      <c r="F865" t="s">
        <v>24</v>
      </c>
      <c r="H865">
        <v>0</v>
      </c>
      <c r="I865">
        <v>0</v>
      </c>
      <c r="J865">
        <v>368323</v>
      </c>
      <c r="K865">
        <v>6.95</v>
      </c>
      <c r="M865" s="4" t="s">
        <v>1262</v>
      </c>
      <c r="N865" t="s">
        <v>161</v>
      </c>
    </row>
    <row r="866" spans="1:14" x14ac:dyDescent="0.25">
      <c r="A866">
        <v>834</v>
      </c>
      <c r="B866">
        <v>0</v>
      </c>
      <c r="C866">
        <v>3</v>
      </c>
      <c r="D866" t="s">
        <v>1206</v>
      </c>
      <c r="E866" s="4">
        <v>22</v>
      </c>
      <c r="F866" t="s">
        <v>24</v>
      </c>
      <c r="G866">
        <v>23</v>
      </c>
      <c r="H866">
        <v>0</v>
      </c>
      <c r="I866">
        <v>0</v>
      </c>
      <c r="J866">
        <v>347468</v>
      </c>
      <c r="K866">
        <v>7.8541999999999996</v>
      </c>
      <c r="M866" s="4" t="s">
        <v>1262</v>
      </c>
      <c r="N866" t="s">
        <v>20</v>
      </c>
    </row>
    <row r="867" spans="1:14" x14ac:dyDescent="0.25">
      <c r="A867">
        <v>835</v>
      </c>
      <c r="B867">
        <v>0</v>
      </c>
      <c r="C867">
        <v>3</v>
      </c>
      <c r="D867" t="s">
        <v>1207</v>
      </c>
      <c r="E867" s="4">
        <v>22</v>
      </c>
      <c r="F867" t="s">
        <v>24</v>
      </c>
      <c r="G867">
        <v>18</v>
      </c>
      <c r="H867">
        <v>0</v>
      </c>
      <c r="I867">
        <v>0</v>
      </c>
      <c r="J867">
        <v>2223</v>
      </c>
      <c r="K867">
        <v>8.3000000000000007</v>
      </c>
      <c r="M867" s="4" t="s">
        <v>1262</v>
      </c>
      <c r="N867" t="s">
        <v>20</v>
      </c>
    </row>
    <row r="868" spans="1:14" x14ac:dyDescent="0.25">
      <c r="A868">
        <v>837</v>
      </c>
      <c r="B868">
        <v>0</v>
      </c>
      <c r="C868">
        <v>3</v>
      </c>
      <c r="D868" t="s">
        <v>1208</v>
      </c>
      <c r="E868" s="4">
        <v>16</v>
      </c>
      <c r="F868" t="s">
        <v>24</v>
      </c>
      <c r="G868">
        <v>21</v>
      </c>
      <c r="H868">
        <v>0</v>
      </c>
      <c r="I868">
        <v>0</v>
      </c>
      <c r="J868">
        <v>315097</v>
      </c>
      <c r="K868">
        <v>8.6624999999999996</v>
      </c>
      <c r="M868" s="4" t="s">
        <v>1262</v>
      </c>
      <c r="N868" t="s">
        <v>20</v>
      </c>
    </row>
    <row r="869" spans="1:14" x14ac:dyDescent="0.25">
      <c r="A869">
        <v>412</v>
      </c>
      <c r="B869">
        <v>0</v>
      </c>
      <c r="C869">
        <v>3</v>
      </c>
      <c r="D869" t="s">
        <v>1209</v>
      </c>
      <c r="E869" s="4">
        <v>15</v>
      </c>
      <c r="F869" t="s">
        <v>24</v>
      </c>
      <c r="H869">
        <v>0</v>
      </c>
      <c r="I869">
        <v>0</v>
      </c>
      <c r="J869">
        <v>394140</v>
      </c>
      <c r="K869">
        <v>6.8582999999999998</v>
      </c>
      <c r="M869" s="4" t="s">
        <v>1262</v>
      </c>
      <c r="N869" t="s">
        <v>161</v>
      </c>
    </row>
    <row r="870" spans="1:14" x14ac:dyDescent="0.25">
      <c r="A870">
        <v>839</v>
      </c>
      <c r="B870">
        <v>1</v>
      </c>
      <c r="C870">
        <v>3</v>
      </c>
      <c r="D870" t="s">
        <v>1210</v>
      </c>
      <c r="E870" s="4">
        <v>15</v>
      </c>
      <c r="F870" t="s">
        <v>24</v>
      </c>
      <c r="G870">
        <v>32</v>
      </c>
      <c r="H870">
        <v>0</v>
      </c>
      <c r="I870">
        <v>0</v>
      </c>
      <c r="J870">
        <v>1601</v>
      </c>
      <c r="K870">
        <v>56.495800000000003</v>
      </c>
      <c r="M870" s="4" t="s">
        <v>1262</v>
      </c>
      <c r="N870" t="s">
        <v>20</v>
      </c>
    </row>
    <row r="871" spans="1:14" x14ac:dyDescent="0.25">
      <c r="A871">
        <v>841</v>
      </c>
      <c r="B871">
        <v>0</v>
      </c>
      <c r="C871">
        <v>3</v>
      </c>
      <c r="D871" t="s">
        <v>1211</v>
      </c>
      <c r="E871" s="4">
        <v>27</v>
      </c>
      <c r="F871" t="s">
        <v>24</v>
      </c>
      <c r="G871">
        <v>20</v>
      </c>
      <c r="H871">
        <v>0</v>
      </c>
      <c r="I871">
        <v>0</v>
      </c>
      <c r="J871" t="s">
        <v>1212</v>
      </c>
      <c r="K871">
        <v>7.9249999999999998</v>
      </c>
      <c r="M871" s="4" t="s">
        <v>1262</v>
      </c>
      <c r="N871" t="s">
        <v>20</v>
      </c>
    </row>
    <row r="872" spans="1:14" x14ac:dyDescent="0.25">
      <c r="A872">
        <v>844</v>
      </c>
      <c r="B872">
        <v>0</v>
      </c>
      <c r="C872">
        <v>3</v>
      </c>
      <c r="D872" t="s">
        <v>1213</v>
      </c>
      <c r="E872" s="4">
        <v>26</v>
      </c>
      <c r="F872" t="s">
        <v>24</v>
      </c>
      <c r="G872">
        <v>34.5</v>
      </c>
      <c r="H872">
        <v>0</v>
      </c>
      <c r="I872">
        <v>0</v>
      </c>
      <c r="J872">
        <v>2683</v>
      </c>
      <c r="K872">
        <v>6.4375</v>
      </c>
      <c r="M872" s="4" t="s">
        <v>1262</v>
      </c>
      <c r="N872" t="s">
        <v>17</v>
      </c>
    </row>
    <row r="873" spans="1:14" x14ac:dyDescent="0.25">
      <c r="A873">
        <v>845</v>
      </c>
      <c r="B873">
        <v>0</v>
      </c>
      <c r="C873">
        <v>3</v>
      </c>
      <c r="D873" t="s">
        <v>1214</v>
      </c>
      <c r="E873" s="4">
        <v>19</v>
      </c>
      <c r="F873" t="s">
        <v>24</v>
      </c>
      <c r="G873">
        <v>17</v>
      </c>
      <c r="H873">
        <v>0</v>
      </c>
      <c r="I873">
        <v>0</v>
      </c>
      <c r="J873">
        <v>315090</v>
      </c>
      <c r="K873">
        <v>8.6624999999999996</v>
      </c>
      <c r="M873" s="4" t="s">
        <v>1262</v>
      </c>
      <c r="N873" t="s">
        <v>20</v>
      </c>
    </row>
    <row r="874" spans="1:14" x14ac:dyDescent="0.25">
      <c r="A874">
        <v>846</v>
      </c>
      <c r="B874">
        <v>0</v>
      </c>
      <c r="C874">
        <v>3</v>
      </c>
      <c r="D874" t="s">
        <v>1215</v>
      </c>
      <c r="E874" s="4">
        <v>19</v>
      </c>
      <c r="F874" t="s">
        <v>24</v>
      </c>
      <c r="G874">
        <v>42</v>
      </c>
      <c r="H874">
        <v>0</v>
      </c>
      <c r="I874">
        <v>0</v>
      </c>
      <c r="J874" t="s">
        <v>1216</v>
      </c>
      <c r="K874">
        <v>7.55</v>
      </c>
      <c r="M874" s="4" t="s">
        <v>1262</v>
      </c>
      <c r="N874" t="s">
        <v>20</v>
      </c>
    </row>
    <row r="875" spans="1:14" x14ac:dyDescent="0.25">
      <c r="A875">
        <v>848</v>
      </c>
      <c r="B875">
        <v>0</v>
      </c>
      <c r="C875">
        <v>3</v>
      </c>
      <c r="D875" t="s">
        <v>1217</v>
      </c>
      <c r="E875" s="4">
        <v>18</v>
      </c>
      <c r="F875" t="s">
        <v>24</v>
      </c>
      <c r="G875">
        <v>35</v>
      </c>
      <c r="H875">
        <v>0</v>
      </c>
      <c r="I875">
        <v>0</v>
      </c>
      <c r="J875">
        <v>349213</v>
      </c>
      <c r="K875">
        <v>7.8958000000000004</v>
      </c>
      <c r="M875" s="4" t="s">
        <v>1262</v>
      </c>
      <c r="N875" t="s">
        <v>17</v>
      </c>
    </row>
    <row r="876" spans="1:14" x14ac:dyDescent="0.25">
      <c r="A876">
        <v>851</v>
      </c>
      <c r="B876">
        <v>0</v>
      </c>
      <c r="C876">
        <v>3</v>
      </c>
      <c r="D876" t="s">
        <v>1218</v>
      </c>
      <c r="E876" s="4">
        <v>39</v>
      </c>
      <c r="F876" t="s">
        <v>24</v>
      </c>
      <c r="G876">
        <v>4</v>
      </c>
      <c r="H876">
        <v>4</v>
      </c>
      <c r="I876">
        <v>2</v>
      </c>
      <c r="J876">
        <v>347082</v>
      </c>
      <c r="K876">
        <v>31.274999999999999</v>
      </c>
      <c r="M876" s="4" t="s">
        <v>1262</v>
      </c>
      <c r="N876" t="s">
        <v>20</v>
      </c>
    </row>
    <row r="877" spans="1:14" x14ac:dyDescent="0.25">
      <c r="A877">
        <v>852</v>
      </c>
      <c r="B877">
        <v>0</v>
      </c>
      <c r="C877">
        <v>3</v>
      </c>
      <c r="D877" t="s">
        <v>1219</v>
      </c>
      <c r="E877" s="4">
        <v>19</v>
      </c>
      <c r="F877" t="s">
        <v>24</v>
      </c>
      <c r="G877">
        <v>74</v>
      </c>
      <c r="H877">
        <v>0</v>
      </c>
      <c r="I877">
        <v>0</v>
      </c>
      <c r="J877">
        <v>347060</v>
      </c>
      <c r="K877">
        <v>7.7750000000000004</v>
      </c>
      <c r="M877" s="4" t="s">
        <v>1262</v>
      </c>
      <c r="N877" t="s">
        <v>20</v>
      </c>
    </row>
    <row r="878" spans="1:14" x14ac:dyDescent="0.25">
      <c r="A878">
        <v>853</v>
      </c>
      <c r="B878">
        <v>0</v>
      </c>
      <c r="C878">
        <v>3</v>
      </c>
      <c r="D878" t="s">
        <v>1220</v>
      </c>
      <c r="E878" s="4">
        <v>23</v>
      </c>
      <c r="F878" t="s">
        <v>14</v>
      </c>
      <c r="G878">
        <v>9</v>
      </c>
      <c r="H878">
        <v>1</v>
      </c>
      <c r="I878">
        <v>1</v>
      </c>
      <c r="J878">
        <v>2678</v>
      </c>
      <c r="K878">
        <v>15.245799999999999</v>
      </c>
      <c r="M878" s="4" t="s">
        <v>1262</v>
      </c>
      <c r="N878" t="s">
        <v>17</v>
      </c>
    </row>
    <row r="879" spans="1:14" x14ac:dyDescent="0.25">
      <c r="A879">
        <v>856</v>
      </c>
      <c r="B879">
        <v>1</v>
      </c>
      <c r="C879">
        <v>3</v>
      </c>
      <c r="D879" t="s">
        <v>1221</v>
      </c>
      <c r="E879" s="4">
        <v>26</v>
      </c>
      <c r="F879" t="s">
        <v>14</v>
      </c>
      <c r="G879">
        <v>18</v>
      </c>
      <c r="H879">
        <v>0</v>
      </c>
      <c r="I879">
        <v>1</v>
      </c>
      <c r="J879">
        <v>392091</v>
      </c>
      <c r="K879">
        <v>9.35</v>
      </c>
      <c r="M879" s="4" t="s">
        <v>1262</v>
      </c>
      <c r="N879" t="s">
        <v>20</v>
      </c>
    </row>
    <row r="880" spans="1:14" x14ac:dyDescent="0.25">
      <c r="A880">
        <v>859</v>
      </c>
      <c r="B880">
        <v>1</v>
      </c>
      <c r="C880">
        <v>3</v>
      </c>
      <c r="D880" t="s">
        <v>1222</v>
      </c>
      <c r="E880" s="4">
        <v>37</v>
      </c>
      <c r="F880" t="s">
        <v>14</v>
      </c>
      <c r="G880">
        <v>24</v>
      </c>
      <c r="H880">
        <v>0</v>
      </c>
      <c r="I880">
        <v>3</v>
      </c>
      <c r="J880">
        <v>2666</v>
      </c>
      <c r="K880">
        <v>19.258299999999998</v>
      </c>
      <c r="M880" s="4" t="s">
        <v>1262</v>
      </c>
      <c r="N880" t="s">
        <v>17</v>
      </c>
    </row>
    <row r="881" spans="1:14" x14ac:dyDescent="0.25">
      <c r="A881">
        <v>861</v>
      </c>
      <c r="B881">
        <v>0</v>
      </c>
      <c r="C881">
        <v>3</v>
      </c>
      <c r="D881" t="s">
        <v>1223</v>
      </c>
      <c r="E881" s="4">
        <v>23</v>
      </c>
      <c r="F881" t="s">
        <v>24</v>
      </c>
      <c r="G881">
        <v>41</v>
      </c>
      <c r="H881">
        <v>2</v>
      </c>
      <c r="I881">
        <v>0</v>
      </c>
      <c r="J881">
        <v>350026</v>
      </c>
      <c r="K881">
        <v>14.1083</v>
      </c>
      <c r="M881" s="4" t="s">
        <v>1262</v>
      </c>
      <c r="N881" t="s">
        <v>20</v>
      </c>
    </row>
    <row r="882" spans="1:14" x14ac:dyDescent="0.25">
      <c r="A882">
        <v>870</v>
      </c>
      <c r="B882">
        <v>1</v>
      </c>
      <c r="C882">
        <v>3</v>
      </c>
      <c r="D882" t="s">
        <v>1224</v>
      </c>
      <c r="E882" s="4">
        <v>31</v>
      </c>
      <c r="F882" t="s">
        <v>24</v>
      </c>
      <c r="G882">
        <v>4</v>
      </c>
      <c r="H882">
        <v>1</v>
      </c>
      <c r="I882">
        <v>1</v>
      </c>
      <c r="J882">
        <v>347742</v>
      </c>
      <c r="K882">
        <v>11.1333</v>
      </c>
      <c r="M882" s="4" t="s">
        <v>1262</v>
      </c>
      <c r="N882" t="s">
        <v>20</v>
      </c>
    </row>
    <row r="883" spans="1:14" x14ac:dyDescent="0.25">
      <c r="A883">
        <v>871</v>
      </c>
      <c r="B883">
        <v>0</v>
      </c>
      <c r="C883">
        <v>3</v>
      </c>
      <c r="D883" t="s">
        <v>1225</v>
      </c>
      <c r="E883" s="4">
        <v>17</v>
      </c>
      <c r="F883" t="s">
        <v>24</v>
      </c>
      <c r="G883">
        <v>26</v>
      </c>
      <c r="H883">
        <v>0</v>
      </c>
      <c r="I883">
        <v>0</v>
      </c>
      <c r="J883">
        <v>349248</v>
      </c>
      <c r="K883">
        <v>7.8958000000000004</v>
      </c>
      <c r="M883" s="4" t="s">
        <v>1262</v>
      </c>
      <c r="N883" t="s">
        <v>20</v>
      </c>
    </row>
    <row r="884" spans="1:14" x14ac:dyDescent="0.25">
      <c r="A884">
        <v>874</v>
      </c>
      <c r="B884">
        <v>0</v>
      </c>
      <c r="C884">
        <v>3</v>
      </c>
      <c r="D884" t="s">
        <v>1226</v>
      </c>
      <c r="E884" s="4">
        <v>27</v>
      </c>
      <c r="F884" t="s">
        <v>24</v>
      </c>
      <c r="G884">
        <v>47</v>
      </c>
      <c r="H884">
        <v>0</v>
      </c>
      <c r="I884">
        <v>0</v>
      </c>
      <c r="J884">
        <v>345765</v>
      </c>
      <c r="K884">
        <v>9</v>
      </c>
      <c r="M884" s="4" t="s">
        <v>1262</v>
      </c>
      <c r="N884" t="s">
        <v>20</v>
      </c>
    </row>
    <row r="885" spans="1:14" x14ac:dyDescent="0.25">
      <c r="A885">
        <v>876</v>
      </c>
      <c r="B885">
        <v>1</v>
      </c>
      <c r="C885">
        <v>3</v>
      </c>
      <c r="D885" t="s">
        <v>1227</v>
      </c>
      <c r="E885" s="4">
        <v>32</v>
      </c>
      <c r="F885" t="s">
        <v>14</v>
      </c>
      <c r="G885">
        <v>15</v>
      </c>
      <c r="H885">
        <v>0</v>
      </c>
      <c r="I885">
        <v>0</v>
      </c>
      <c r="J885">
        <v>2667</v>
      </c>
      <c r="K885">
        <v>7.2249999999999996</v>
      </c>
      <c r="M885" s="4" t="s">
        <v>1262</v>
      </c>
      <c r="N885" t="s">
        <v>17</v>
      </c>
    </row>
    <row r="886" spans="1:14" x14ac:dyDescent="0.25">
      <c r="A886">
        <v>877</v>
      </c>
      <c r="B886">
        <v>0</v>
      </c>
      <c r="C886">
        <v>3</v>
      </c>
      <c r="D886" t="s">
        <v>1228</v>
      </c>
      <c r="E886" s="4">
        <v>29</v>
      </c>
      <c r="F886" t="s">
        <v>24</v>
      </c>
      <c r="G886">
        <v>20</v>
      </c>
      <c r="H886">
        <v>0</v>
      </c>
      <c r="I886">
        <v>0</v>
      </c>
      <c r="J886">
        <v>7534</v>
      </c>
      <c r="K886">
        <v>9.8458000000000006</v>
      </c>
      <c r="M886" s="4" t="s">
        <v>1262</v>
      </c>
      <c r="N886" t="s">
        <v>20</v>
      </c>
    </row>
    <row r="887" spans="1:14" x14ac:dyDescent="0.25">
      <c r="A887">
        <v>878</v>
      </c>
      <c r="B887">
        <v>0</v>
      </c>
      <c r="C887">
        <v>3</v>
      </c>
      <c r="D887" t="s">
        <v>1229</v>
      </c>
      <c r="E887" s="4">
        <v>20</v>
      </c>
      <c r="F887" t="s">
        <v>24</v>
      </c>
      <c r="G887">
        <v>19</v>
      </c>
      <c r="H887">
        <v>0</v>
      </c>
      <c r="I887">
        <v>0</v>
      </c>
      <c r="J887">
        <v>349212</v>
      </c>
      <c r="K887">
        <v>7.8958000000000004</v>
      </c>
      <c r="M887" s="4" t="s">
        <v>1262</v>
      </c>
      <c r="N887" t="s">
        <v>20</v>
      </c>
    </row>
    <row r="888" spans="1:14" x14ac:dyDescent="0.25">
      <c r="A888">
        <v>882</v>
      </c>
      <c r="B888">
        <v>0</v>
      </c>
      <c r="C888">
        <v>3</v>
      </c>
      <c r="D888" t="s">
        <v>1230</v>
      </c>
      <c r="E888" s="4">
        <v>18</v>
      </c>
      <c r="F888" t="s">
        <v>24</v>
      </c>
      <c r="G888">
        <v>33</v>
      </c>
      <c r="H888">
        <v>0</v>
      </c>
      <c r="I888">
        <v>0</v>
      </c>
      <c r="J888">
        <v>349257</v>
      </c>
      <c r="K888">
        <v>7.8958000000000004</v>
      </c>
      <c r="M888" s="4" t="s">
        <v>1262</v>
      </c>
      <c r="N888" t="s">
        <v>20</v>
      </c>
    </row>
    <row r="889" spans="1:14" x14ac:dyDescent="0.25">
      <c r="A889">
        <v>883</v>
      </c>
      <c r="B889">
        <v>0</v>
      </c>
      <c r="C889">
        <v>3</v>
      </c>
      <c r="D889" t="s">
        <v>1231</v>
      </c>
      <c r="E889" s="4">
        <v>28</v>
      </c>
      <c r="F889" t="s">
        <v>14</v>
      </c>
      <c r="G889">
        <v>22</v>
      </c>
      <c r="H889">
        <v>0</v>
      </c>
      <c r="I889">
        <v>0</v>
      </c>
      <c r="J889">
        <v>7552</v>
      </c>
      <c r="K889">
        <v>10.5167</v>
      </c>
      <c r="M889" s="4" t="s">
        <v>1262</v>
      </c>
      <c r="N889" t="s">
        <v>20</v>
      </c>
    </row>
    <row r="890" spans="1:14" x14ac:dyDescent="0.25">
      <c r="A890">
        <v>885</v>
      </c>
      <c r="B890">
        <v>0</v>
      </c>
      <c r="C890">
        <v>3</v>
      </c>
      <c r="D890" t="s">
        <v>1232</v>
      </c>
      <c r="E890" s="4">
        <v>22</v>
      </c>
      <c r="F890" t="s">
        <v>24</v>
      </c>
      <c r="G890">
        <v>25</v>
      </c>
      <c r="H890">
        <v>0</v>
      </c>
      <c r="I890">
        <v>0</v>
      </c>
      <c r="J890" t="s">
        <v>1233</v>
      </c>
      <c r="K890">
        <v>7.05</v>
      </c>
      <c r="M890" s="4" t="s">
        <v>1262</v>
      </c>
      <c r="N890" t="s">
        <v>20</v>
      </c>
    </row>
    <row r="891" spans="1:14" x14ac:dyDescent="0.25">
      <c r="A891">
        <v>886</v>
      </c>
      <c r="B891">
        <v>0</v>
      </c>
      <c r="C891">
        <v>3</v>
      </c>
      <c r="D891" t="s">
        <v>1234</v>
      </c>
      <c r="E891" s="4">
        <v>36</v>
      </c>
      <c r="F891" t="s">
        <v>14</v>
      </c>
      <c r="G891">
        <v>39</v>
      </c>
      <c r="H891">
        <v>0</v>
      </c>
      <c r="I891">
        <v>5</v>
      </c>
      <c r="J891">
        <v>382652</v>
      </c>
      <c r="K891">
        <v>29.125</v>
      </c>
      <c r="M891" s="4" t="s">
        <v>1262</v>
      </c>
      <c r="N891" t="s">
        <v>161</v>
      </c>
    </row>
    <row r="892" spans="1:14" x14ac:dyDescent="0.25">
      <c r="A892">
        <v>891</v>
      </c>
      <c r="B892">
        <v>0</v>
      </c>
      <c r="C892">
        <v>3</v>
      </c>
      <c r="D892" t="s">
        <v>1235</v>
      </c>
      <c r="E892" s="4">
        <v>19</v>
      </c>
      <c r="F892" t="s">
        <v>24</v>
      </c>
      <c r="G892">
        <v>32</v>
      </c>
      <c r="H892">
        <v>0</v>
      </c>
      <c r="I892">
        <v>0</v>
      </c>
      <c r="J892">
        <v>370376</v>
      </c>
      <c r="K892">
        <v>7.75</v>
      </c>
      <c r="M892" s="4" t="s">
        <v>1262</v>
      </c>
      <c r="N892" t="s">
        <v>161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train (version 1).xlsb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Michał Ingielewicz</cp:lastModifiedBy>
  <dcterms:created xsi:type="dcterms:W3CDTF">2021-01-16T12:55:18Z</dcterms:created>
  <dcterms:modified xsi:type="dcterms:W3CDTF">2021-01-16T16:26:52Z</dcterms:modified>
</cp:coreProperties>
</file>